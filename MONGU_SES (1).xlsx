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utal\Downloads\"/>
    </mc:Choice>
  </mc:AlternateContent>
  <xr:revisionPtr revIDLastSave="0" documentId="13_ncr:1_{B0C44877-3FE1-484B-94A2-5FF242A1C0B9}" xr6:coauthVersionLast="47" xr6:coauthVersionMax="47" xr10:uidLastSave="{00000000-0000-0000-0000-000000000000}"/>
  <bookViews>
    <workbookView xWindow="-108" yWindow="-108" windowWidth="23256" windowHeight="12456" activeTab="2" xr2:uid="{BD34087B-D959-4FFA-80EC-2B8610F9BFDD}"/>
  </bookViews>
  <sheets>
    <sheet name="Sheet1" sheetId="1" r:id="rId1"/>
    <sheet name="Livestock" sheetId="5" r:id="rId2"/>
    <sheet name="CROP PRODUCTION" sheetId="3" r:id="rId3"/>
    <sheet name="Rangeland Practices" sheetId="4" r:id="rId4"/>
    <sheet name="DEMOGRAPHICS" sheetId="2" r:id="rId5"/>
  </sheets>
  <definedNames>
    <definedName name="_xlnm._FilterDatabase" localSheetId="2" hidden="1">'CROP PRODUCTION'!$J$1:$K$8</definedName>
    <definedName name="_xlnm._FilterDatabase" localSheetId="1" hidden="1">Livestock!$I$55:$K$62</definedName>
    <definedName name="_xlnm._FilterDatabase" localSheetId="0" hidden="1">Sheet1!$A$1:$FZ$342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5" l="1"/>
  <c r="R29" i="2"/>
  <c r="S19" i="2"/>
</calcChain>
</file>

<file path=xl/sharedStrings.xml><?xml version="1.0" encoding="utf-8"?>
<sst xmlns="http://schemas.openxmlformats.org/spreadsheetml/2006/main" count="30518" uniqueCount="4267">
  <si>
    <t>start</t>
  </si>
  <si>
    <t>end</t>
  </si>
  <si>
    <t>Do you consent?</t>
  </si>
  <si>
    <t>Name of Enumerator</t>
  </si>
  <si>
    <t>Farmer's full Names</t>
  </si>
  <si>
    <t xml:space="preserve">Gender </t>
  </si>
  <si>
    <t xml:space="preserve">Age </t>
  </si>
  <si>
    <t xml:space="preserve">Phone Number </t>
  </si>
  <si>
    <t xml:space="preserve">National Registration Card Number </t>
  </si>
  <si>
    <t>District</t>
  </si>
  <si>
    <t>Vet Camp and Village</t>
  </si>
  <si>
    <t xml:space="preserve">Name of Chief/Induna? </t>
  </si>
  <si>
    <t xml:space="preserve">GPS coordinate of survey </t>
  </si>
  <si>
    <t>_GPS coordinate of survey _latitude</t>
  </si>
  <si>
    <t>_GPS coordinate of survey _longitude</t>
  </si>
  <si>
    <t>_GPS coordinate of survey _altitude</t>
  </si>
  <si>
    <t>_GPS coordinate of survey _precision</t>
  </si>
  <si>
    <t>Are you the head of your household?</t>
  </si>
  <si>
    <t>If yes, is it a male or female headed household?</t>
  </si>
  <si>
    <t>Are you a member of any group?</t>
  </si>
  <si>
    <t>If yes, please specify the group belong to and its function? (e.g FISP, Savings, etc)</t>
  </si>
  <si>
    <t xml:space="preserve">How is the network connection in your area? </t>
  </si>
  <si>
    <t>If Other, please specify?</t>
  </si>
  <si>
    <t>If other, specify</t>
  </si>
  <si>
    <t>If other specify</t>
  </si>
  <si>
    <t>Do you use crop chemicals?</t>
  </si>
  <si>
    <t>If FISP, do you sell your FISP inputs?</t>
  </si>
  <si>
    <t>Do you use cattle manual for your crop production</t>
  </si>
  <si>
    <t>**Please provide a break down of:**</t>
  </si>
  <si>
    <t>**Number**</t>
  </si>
  <si>
    <t>##### Cows</t>
  </si>
  <si>
    <t>##### Bulls</t>
  </si>
  <si>
    <t>##### Heifers</t>
  </si>
  <si>
    <t>##### Weaners</t>
  </si>
  <si>
    <t>##### Oxens</t>
  </si>
  <si>
    <t>##### Steers</t>
  </si>
  <si>
    <t>##### Calves</t>
  </si>
  <si>
    <t>Are your cattle jointly or individually owned?</t>
  </si>
  <si>
    <t>If jointly owned, how many cattle are yours?</t>
  </si>
  <si>
    <t>Is your cattle kraaled?</t>
  </si>
  <si>
    <t>Are your cattle herded?</t>
  </si>
  <si>
    <t>If other please specify</t>
  </si>
  <si>
    <t>Do you dip your cattle?</t>
  </si>
  <si>
    <t>Do you vaccinate your cattle?</t>
  </si>
  <si>
    <t>Do you deworm your cattle?</t>
  </si>
  <si>
    <t>Are you engaged in supplementation feeding practices?</t>
  </si>
  <si>
    <t>Do you receive extension support?</t>
  </si>
  <si>
    <t>If yes, from who?</t>
  </si>
  <si>
    <t>If yes, how often do you receive extension support?</t>
  </si>
  <si>
    <t>How would you rate the effectiveness of extension services?</t>
  </si>
  <si>
    <t>Who is the major buyer for your crops produce?</t>
  </si>
  <si>
    <t>Who is the major buyer for your cattle?</t>
  </si>
  <si>
    <t>How do you access buyer?</t>
  </si>
  <si>
    <t>How many cattle did you sell in the last year (2024)?</t>
  </si>
  <si>
    <t>How often do you sell your cattle?</t>
  </si>
  <si>
    <t>Do you keep records of farm operations?</t>
  </si>
  <si>
    <t>Is yes, is it:</t>
  </si>
  <si>
    <t>If yes, specify type of grazing?</t>
  </si>
  <si>
    <t>If yes, would you say people follow the plan grazing?</t>
  </si>
  <si>
    <t>Where do you conduct your farming activities?</t>
  </si>
  <si>
    <t>If both, when do you graze your cattle to the upper land?</t>
  </si>
  <si>
    <t>If both, when do you cultivate crops on the floodplains?</t>
  </si>
  <si>
    <t>Do you relocate your homestead when the flood season begins?</t>
  </si>
  <si>
    <t>Do you burn?</t>
  </si>
  <si>
    <t>If yes, in which months do you typically burn the pastures?</t>
  </si>
  <si>
    <t>Full Names</t>
  </si>
  <si>
    <t>Village/ Ward/ Camp</t>
  </si>
  <si>
    <t>If yes to the above question, do you follow it?</t>
  </si>
  <si>
    <t>If yes, how may bags per cropping cycle?</t>
  </si>
  <si>
    <t>If cattle can you provide the total number of cattle owned</t>
  </si>
  <si>
    <t>Are cattle your herded?</t>
  </si>
  <si>
    <t>Do you practice any breed programmes?</t>
  </si>
  <si>
    <t xml:space="preserve">How often do you sale your cattle in a month? </t>
  </si>
  <si>
    <t xml:space="preserve">How many days does it take you to sale your cattle? </t>
  </si>
  <si>
    <t>_id</t>
  </si>
  <si>
    <t>_uuid</t>
  </si>
  <si>
    <t>_submission_time</t>
  </si>
  <si>
    <t>_validation_status</t>
  </si>
  <si>
    <t>_notes</t>
  </si>
  <si>
    <t>_status</t>
  </si>
  <si>
    <t>_submitted_by</t>
  </si>
  <si>
    <t>__version__</t>
  </si>
  <si>
    <t>_tags</t>
  </si>
  <si>
    <t>_index</t>
  </si>
  <si>
    <t>Yes</t>
  </si>
  <si>
    <t>Peter Mahela</t>
  </si>
  <si>
    <t>Namakau kamona</t>
  </si>
  <si>
    <t>Female</t>
  </si>
  <si>
    <t>0978300084</t>
  </si>
  <si>
    <t>281007/83/1</t>
  </si>
  <si>
    <t>Mongu</t>
  </si>
  <si>
    <t>Nakatoya village</t>
  </si>
  <si>
    <t>Induna Imunga</t>
  </si>
  <si>
    <t>-15.4676855 23.2197917 1033.1751708984375 4.913</t>
  </si>
  <si>
    <t xml:space="preserve">Both Parties </t>
  </si>
  <si>
    <t>No</t>
  </si>
  <si>
    <t>Traditional joint ownership with no papers</t>
  </si>
  <si>
    <t>Secondary School Education</t>
  </si>
  <si>
    <t>Basic Mobile Phone</t>
  </si>
  <si>
    <t>Neutral (Calls &amp; SMS)</t>
  </si>
  <si>
    <t>Crop Production</t>
  </si>
  <si>
    <t>Fishing</t>
  </si>
  <si>
    <t>Crops Production     Livestock Production</t>
  </si>
  <si>
    <t xml:space="preserve">Rice Tomatoes Onions </t>
  </si>
  <si>
    <t>Rice 10 bags 50kg, k550</t>
  </si>
  <si>
    <t>Rice Tomatoes</t>
  </si>
  <si>
    <t>Well</t>
  </si>
  <si>
    <t>Yes, Night Kraal (Shifting Kraal)</t>
  </si>
  <si>
    <t>Mulching</t>
  </si>
  <si>
    <t>Poultry Cattle</t>
  </si>
  <si>
    <t>Individually owned</t>
  </si>
  <si>
    <t>Meat Production Selling/Income generation Milk Production Manure production</t>
  </si>
  <si>
    <t>Mycotic Dermatitis (Lukwekwe) Liverfluke (Minyopi ya mwa sibiti) Anthrax (Lubete)</t>
  </si>
  <si>
    <t>Yes, occasionally when there is diseases outbreak</t>
  </si>
  <si>
    <t>Lumpy Skin Disease (Sikwekwe) Anthrax (Lubete)</t>
  </si>
  <si>
    <t>Yes, during government programs</t>
  </si>
  <si>
    <t>Use manure for crops</t>
  </si>
  <si>
    <t>Government veterinary officers</t>
  </si>
  <si>
    <t>Seasonally</t>
  </si>
  <si>
    <t>Briefcase Buyers</t>
  </si>
  <si>
    <t xml:space="preserve">Limited Market Knowledge Lack of Transportation Low Prices Lack of linkages  </t>
  </si>
  <si>
    <t>Buyer comes to collect from my farm</t>
  </si>
  <si>
    <t>Lack of linkages   Unreliable/Inconsistent Off-take Low Prices Lack of Transportation Limited Market Knowledge</t>
  </si>
  <si>
    <t>Other</t>
  </si>
  <si>
    <t>Not sold any yet, just started</t>
  </si>
  <si>
    <t>Both</t>
  </si>
  <si>
    <t>April May March</t>
  </si>
  <si>
    <t>Novemeber December January September October</t>
  </si>
  <si>
    <t>No i don't</t>
  </si>
  <si>
    <t>Erosion Fire</t>
  </si>
  <si>
    <t>More erosion Less fertile soils</t>
  </si>
  <si>
    <t>Traditional Practice To let grass regrow</t>
  </si>
  <si>
    <t>September October</t>
  </si>
  <si>
    <t>88ebdb86-57cb-4ed5-a562-6d774a6960e0</t>
  </si>
  <si>
    <t>submitted_via_web</t>
  </si>
  <si>
    <t>progreenearth</t>
  </si>
  <si>
    <t>v6CvxH3ZYpy9hPPQFEEuhR</t>
  </si>
  <si>
    <t>Linda lungu</t>
  </si>
  <si>
    <t>0975421599</t>
  </si>
  <si>
    <t>963254/11/1</t>
  </si>
  <si>
    <t>Namusgakedi camp</t>
  </si>
  <si>
    <t>Chief Namutwi</t>
  </si>
  <si>
    <t>-15.4406614 23.2166166 1034.94580078125 4.335</t>
  </si>
  <si>
    <t>University/College Education</t>
  </si>
  <si>
    <t>Smart Phone</t>
  </si>
  <si>
    <t>Very Good (Internet, Calls &amp; SMS)</t>
  </si>
  <si>
    <t xml:space="preserve">Formal Employment </t>
  </si>
  <si>
    <t>Crop Production Livestock Production</t>
  </si>
  <si>
    <t xml:space="preserve">Livestock Production Crops Production    </t>
  </si>
  <si>
    <t>Maize Rice</t>
  </si>
  <si>
    <t>Maize 92, (50kg) bags and sold k720 each then Rice 4 (50kg) just for seed</t>
  </si>
  <si>
    <t>Rice 100, ( 50kg), not yet sold, 
Maize 20 bags 50kg, not sold</t>
  </si>
  <si>
    <t xml:space="preserve">Maize Rice Tomatoes Onions </t>
  </si>
  <si>
    <t>Stream</t>
  </si>
  <si>
    <t>Agro Shops</t>
  </si>
  <si>
    <t>Pests and Diseases Drought</t>
  </si>
  <si>
    <t>Cattle Poultry</t>
  </si>
  <si>
    <t>2</t>
  </si>
  <si>
    <t>Meat Production Manure production Selling/Income generation</t>
  </si>
  <si>
    <t>Mycotic Dermatitis (Lukwekwe) Foot and Mouth (Mulomo ni taku) Heartwater (Matakani)</t>
  </si>
  <si>
    <t>Monthly</t>
  </si>
  <si>
    <t>Anthrax (Lubete) Foot and Mouth (Mulomo ni litako) Lumpy Skin Disease (Sikwekwe)</t>
  </si>
  <si>
    <t xml:space="preserve">Yes, on a schedule   </t>
  </si>
  <si>
    <t>Only when requested</t>
  </si>
  <si>
    <t>Processors/ Formal Companies</t>
  </si>
  <si>
    <t xml:space="preserve">Lack of Transportation Low Prices Lack of linkages  </t>
  </si>
  <si>
    <t>Abattoirs</t>
  </si>
  <si>
    <t>Supply to buyers' facilities</t>
  </si>
  <si>
    <t>Low Prices Lack of linkages   Limited Market Knowledge</t>
  </si>
  <si>
    <t>Whenever it suits me</t>
  </si>
  <si>
    <t>February March April</t>
  </si>
  <si>
    <t>August September October Novemeber December January</t>
  </si>
  <si>
    <t>Fire</t>
  </si>
  <si>
    <t>Less Grass ( Volume) More erosion</t>
  </si>
  <si>
    <t>fb6df9ed-ba8e-4693-91ab-b2ce56082f90</t>
  </si>
  <si>
    <t>Walubita mukelabai</t>
  </si>
  <si>
    <t>Male</t>
  </si>
  <si>
    <t>0979039086</t>
  </si>
  <si>
    <t>234108/82/1</t>
  </si>
  <si>
    <t>Nakatoya camp</t>
  </si>
  <si>
    <t>Induna imunga</t>
  </si>
  <si>
    <t>-15.4676496 23.2201036 1019.24169921875 4.848</t>
  </si>
  <si>
    <t>Male Headed Household</t>
  </si>
  <si>
    <t>Livestock Production Fish Farming</t>
  </si>
  <si>
    <t>Livestock Production Crops Production     Fish Farming</t>
  </si>
  <si>
    <t>Rice Maize</t>
  </si>
  <si>
    <t>K250, Maize 13 (50kg bags and k500,  rice 18 (50kg bags</t>
  </si>
  <si>
    <t>Maize and Rice</t>
  </si>
  <si>
    <t>Tomatoes Onions  Rice Maize</t>
  </si>
  <si>
    <t xml:space="preserve">Jointly owned </t>
  </si>
  <si>
    <t>Plowing/Draught power Manure production Milk Production Transportation Meat Production Selling/Income generation</t>
  </si>
  <si>
    <t>CBPP (Maswafu) Anthrax (Lubete) Anaplasmosis (Nyoko) Foot and Mouth (Mulomo ni taku) Heartwater (Matakani)</t>
  </si>
  <si>
    <t>Anthrax (Lubete) Foot and Mouth (Mulomo ni litako)</t>
  </si>
  <si>
    <t>Yes, occasionally when there is disease outbreak</t>
  </si>
  <si>
    <t>Communal Sire</t>
  </si>
  <si>
    <t>Lack of linkages   Lack of Transportation Limited Market Knowledge</t>
  </si>
  <si>
    <t>Lack of linkages   Low Prices Lack of Transportation</t>
  </si>
  <si>
    <t>Verbal Agreement</t>
  </si>
  <si>
    <t>Communal Rangeland Plan</t>
  </si>
  <si>
    <t>Not at all</t>
  </si>
  <si>
    <t>February March April May</t>
  </si>
  <si>
    <t>Novemeber December January</t>
  </si>
  <si>
    <t>Yes, I relocate to higher ground</t>
  </si>
  <si>
    <t>Fire Erosion Over grazing</t>
  </si>
  <si>
    <t>More Grass (Volume) Less fertile soils</t>
  </si>
  <si>
    <t xml:space="preserve">To let grass regrow Tick control </t>
  </si>
  <si>
    <t>9fbd7746-c1b5-46ad-a8da-4cd1f4acf2aa</t>
  </si>
  <si>
    <t>Walubita walubita</t>
  </si>
  <si>
    <t>0971720144</t>
  </si>
  <si>
    <t>234020/82/1</t>
  </si>
  <si>
    <t>Imumba</t>
  </si>
  <si>
    <t>-15.4677576 23.2201446 1034.47021484375 4.919</t>
  </si>
  <si>
    <t>Yes, Other</t>
  </si>
  <si>
    <t>Fisp</t>
  </si>
  <si>
    <t>Livestock Production Crop Production</t>
  </si>
  <si>
    <t>Maize Rice Tomatoes Sweet Potatoes</t>
  </si>
  <si>
    <t>Rice 48 (50kg)bags k550, maize 6 (50kg)bags k350</t>
  </si>
  <si>
    <t>Rice 22 (50kg) bags, k450</t>
  </si>
  <si>
    <t>Pests and Diseases Knowledge Gap Limited Extension Services Limited access to farming inputs</t>
  </si>
  <si>
    <t>Meat Production Selling/Income generation Manure production Plowing/Draught power Milk Production Transportation</t>
  </si>
  <si>
    <t>Foot and Mouth (Mulomo ni taku) CBPP (Maswafu) Anaplasmosis (Nyoko) Anthrax (Lubete) Lumpy Skin Disease (Sikwekwe)</t>
  </si>
  <si>
    <t>Anthrax (Lubete) Lumpy Skin Disease (Sikwekwe)</t>
  </si>
  <si>
    <t>Lack of linkages   Low Prices</t>
  </si>
  <si>
    <t xml:space="preserve">Fire Foreign plant evading  </t>
  </si>
  <si>
    <t>More Grass (Types) Less fertile soils</t>
  </si>
  <si>
    <t>Tick control  To let grass regrow</t>
  </si>
  <si>
    <t>c4ada4a5-e00f-46e2-9533-d3d42c4a2d45</t>
  </si>
  <si>
    <t>Sydney mukeyoi</t>
  </si>
  <si>
    <t>0775265973</t>
  </si>
  <si>
    <t>274000/82/1</t>
  </si>
  <si>
    <t>Imunga</t>
  </si>
  <si>
    <t>-15.46773 23.2200974 1026.8900146484375 4.612</t>
  </si>
  <si>
    <t>FISP</t>
  </si>
  <si>
    <t>Rice 10 (50kg) bags k450 , maize 6 (50kg) bags k500</t>
  </si>
  <si>
    <t>Maize 1 (50kg) bags,</t>
  </si>
  <si>
    <t>Cattle</t>
  </si>
  <si>
    <t>7</t>
  </si>
  <si>
    <t>Meat Production Selling/Income generation Plowing/Draught power Manure production Milk Production</t>
  </si>
  <si>
    <t>CBPP (Maswafu) Foot and Mouth (Mulomo ni taku) Anthrax (Lubete) Anaplasmosis (Nyoko) Heartwater (Matakani) Lumpy Skin Disease (Sikwekwe)</t>
  </si>
  <si>
    <t>Anthrax (Lubete) Foot and Mouth (Mulomo ni litako) Lumpy Skin Disease (Sikwekwe) Brucellosis (Butuku bwa Kufoloza)</t>
  </si>
  <si>
    <t xml:space="preserve">Limited Market Knowledge Low Prices Lack of linkages  </t>
  </si>
  <si>
    <t>Lack of linkages   Low Prices Lack of Transportation Limited Market Knowledge</t>
  </si>
  <si>
    <t>March April February</t>
  </si>
  <si>
    <t>Less Grass ( Volume) Less fertile soils More erosion</t>
  </si>
  <si>
    <t>4842cd7a-913f-4f3d-9142-8984dc17b63d</t>
  </si>
  <si>
    <t>Nayunda</t>
  </si>
  <si>
    <t>Mukubuta Mukubuta</t>
  </si>
  <si>
    <t>0971692974</t>
  </si>
  <si>
    <t>349247/82/1</t>
  </si>
  <si>
    <t xml:space="preserve">Namushekendi camp/ farm institute </t>
  </si>
  <si>
    <t>-15.4406717 23.21725 965.5 13.18</t>
  </si>
  <si>
    <t>Traditional joint ownership with papers from headman/king/queen</t>
  </si>
  <si>
    <t>Good (Calls &amp; SMS)</t>
  </si>
  <si>
    <t>Rice</t>
  </si>
  <si>
    <t>Rice: 23 bags (50kg) at k800/bag</t>
  </si>
  <si>
    <t>Rice: 105bags (50kg) at k400/bag</t>
  </si>
  <si>
    <t>Floodplains</t>
  </si>
  <si>
    <t>Yes, Raw (Direct Application)</t>
  </si>
  <si>
    <t>Mix with soil</t>
  </si>
  <si>
    <t>Limited access to farming inputs Lack of capital High cost of inputs (fertilizers, pesticides)</t>
  </si>
  <si>
    <t>Plowing/Draught power Milk Production</t>
  </si>
  <si>
    <t>CBPP (Maswafu) Heartwater (Matakani)</t>
  </si>
  <si>
    <t>Only tickborne diseases are prevalent</t>
  </si>
  <si>
    <t>CBPP (Maswafu)</t>
  </si>
  <si>
    <t>During a disease outbreak</t>
  </si>
  <si>
    <t>Lack of linkages   Low Prices Limited Market Knowledge</t>
  </si>
  <si>
    <t>Lack of linkages   Low Prices Predominance of Intermediaries</t>
  </si>
  <si>
    <t>0</t>
  </si>
  <si>
    <t>March April</t>
  </si>
  <si>
    <t>Novemeber December January February</t>
  </si>
  <si>
    <t>Fire Limited access to water sources</t>
  </si>
  <si>
    <t>Less Grass ( Volume)</t>
  </si>
  <si>
    <t>a8d7b0b1-17d7-4e14-87c8-656931c6fadc</t>
  </si>
  <si>
    <t>Mufalali Mufau</t>
  </si>
  <si>
    <t>0779069114</t>
  </si>
  <si>
    <t>200667/82/1</t>
  </si>
  <si>
    <t xml:space="preserve">Namushekendi camp/farm institute </t>
  </si>
  <si>
    <t xml:space="preserve">Namutwi </t>
  </si>
  <si>
    <t>-15.4403767 23.2169967 997.9 6.616</t>
  </si>
  <si>
    <t>Traditional sole ownership with papers from headman/king/queen</t>
  </si>
  <si>
    <t>Poor</t>
  </si>
  <si>
    <t>Rice: 4bags (50kg) @ k800/bag, so</t>
  </si>
  <si>
    <t>Rice: 42bags (50kg) at k400/bag</t>
  </si>
  <si>
    <t>Maize Tomatoes Chinese Cabbage Rape Onions  Hibiscus Saddariffa (Sindambi)</t>
  </si>
  <si>
    <t>Rain</t>
  </si>
  <si>
    <t>Yes, Compost (Processed)</t>
  </si>
  <si>
    <t>Pests and Diseases Limited access to farming inputs Knowledge Gap</t>
  </si>
  <si>
    <t>Plowing/Draught power</t>
  </si>
  <si>
    <t>Foot and Mouth (Mulomo ni taku) Heartwater (Matakani) Anthrax (Lubete)</t>
  </si>
  <si>
    <t>Yes, through government vaccination programs</t>
  </si>
  <si>
    <t>I don't sell</t>
  </si>
  <si>
    <t>Lower land (Flood plains)</t>
  </si>
  <si>
    <t>Over grazing</t>
  </si>
  <si>
    <t>Less water Less Grass ( Volume)</t>
  </si>
  <si>
    <t>To let grass regrow</t>
  </si>
  <si>
    <t>August September</t>
  </si>
  <si>
    <t>5fedc95f-f7ae-463d-b194-fe8e69da91fb</t>
  </si>
  <si>
    <t xml:space="preserve">Nayunda </t>
  </si>
  <si>
    <t>Anastasia Mbewe</t>
  </si>
  <si>
    <t>0977141701</t>
  </si>
  <si>
    <t>264921/52/1</t>
  </si>
  <si>
    <t xml:space="preserve">Namushekendi 
Farm institute </t>
  </si>
  <si>
    <t>Yes, Farming Cooperative</t>
  </si>
  <si>
    <t xml:space="preserve">Amended Cooperative, Rice production </t>
  </si>
  <si>
    <t>Livestock Production</t>
  </si>
  <si>
    <t>3bags, kept it for seed</t>
  </si>
  <si>
    <t>6 bags( 50kg) was consumed</t>
  </si>
  <si>
    <t>Rice Maize Rape Chinese Cabbage Tomatoes</t>
  </si>
  <si>
    <t>Self Propagated</t>
  </si>
  <si>
    <t>Pests and Diseases Drought Floods</t>
  </si>
  <si>
    <t>Poultry</t>
  </si>
  <si>
    <t>53101b0f-5dc8-45cd-b027-5564484d18ff</t>
  </si>
  <si>
    <t xml:space="preserve">Namayonga Lizazi </t>
  </si>
  <si>
    <t>0977397862</t>
  </si>
  <si>
    <t>220089/82/1</t>
  </si>
  <si>
    <t xml:space="preserve">Namushekendi camp 
Farm institute </t>
  </si>
  <si>
    <t xml:space="preserve">NAMUTWI </t>
  </si>
  <si>
    <t>Namushekendi Multi purpose : crop ( rice) &amp; livestock (cattle)</t>
  </si>
  <si>
    <t xml:space="preserve">Crops Production    </t>
  </si>
  <si>
    <t>45 bags (50kg), not sold</t>
  </si>
  <si>
    <t>Maize Cassava</t>
  </si>
  <si>
    <t>Pests and Diseases Floods Drought</t>
  </si>
  <si>
    <t>Very Ineffective</t>
  </si>
  <si>
    <t>Lack of linkages   Limited Market Knowledge Lack of Transportation</t>
  </si>
  <si>
    <t>September October Novemeber December January</t>
  </si>
  <si>
    <t>be0d8867-ddc8-4c15-82ec-c40b652a6fb4</t>
  </si>
  <si>
    <t>Mufungulwa Lubinda</t>
  </si>
  <si>
    <t>0970753549</t>
  </si>
  <si>
    <t>205092/83/1</t>
  </si>
  <si>
    <t xml:space="preserve">Namushekendi camp/ farming institute </t>
  </si>
  <si>
    <t>-15.4414167 23.2168 1094.5 12.733</t>
  </si>
  <si>
    <t xml:space="preserve">Oxfarm cooperative, Horticulture production and Village banking </t>
  </si>
  <si>
    <t>60 bags ( 50kg) @ k450/bag</t>
  </si>
  <si>
    <t>Maize Rape Okra Other</t>
  </si>
  <si>
    <t>Selling/Income generation Plowing/Draught power Manure production Milk Production</t>
  </si>
  <si>
    <t>CBPP (Maswafu) Foot and Mouth (Mulomo ni taku) Black Leg (Ngongola) Lumpy Skin Disease (Sikwekwe)</t>
  </si>
  <si>
    <t>Weekly</t>
  </si>
  <si>
    <t>CBPP (Maswafu) Black Leg (Ngongola) Anthrax (Lubete)</t>
  </si>
  <si>
    <t>Predominance of Intermediaries Limited Market Knowledge Low Prices</t>
  </si>
  <si>
    <t>Limited Market Knowledge Lack of Transportation Inadequate Infrastructure</t>
  </si>
  <si>
    <t xml:space="preserve">When they are old and tired </t>
  </si>
  <si>
    <t>February March</t>
  </si>
  <si>
    <t>September October Novemeber</t>
  </si>
  <si>
    <t>Yes, I partially relocate (move family members)</t>
  </si>
  <si>
    <t>To let grass regrow Other (Please Specify)</t>
  </si>
  <si>
    <t>c955acb6-3010-46b8-b695-19e6acc3bb1c</t>
  </si>
  <si>
    <t>Mwangala Mukela</t>
  </si>
  <si>
    <t>09765526428</t>
  </si>
  <si>
    <t>246083/82/1</t>
  </si>
  <si>
    <t>Namutwi</t>
  </si>
  <si>
    <t>-15.440295 23.2169667 1018.1 3.74</t>
  </si>
  <si>
    <t>Primary School Education</t>
  </si>
  <si>
    <t>Rice: 20 bags ( 50kg) at K500</t>
  </si>
  <si>
    <t>Maize Tomatoes Cabbage Chinese Cabbage Rape</t>
  </si>
  <si>
    <t>Milk Production Plowing/Draught power</t>
  </si>
  <si>
    <t>Salt</t>
  </si>
  <si>
    <t>Less Grass (Types)</t>
  </si>
  <si>
    <t>84ee5d38-94da-421a-8deb-0f242ceea44b</t>
  </si>
  <si>
    <t xml:space="preserve">Margaret wina kumuyo </t>
  </si>
  <si>
    <t>0978847161</t>
  </si>
  <si>
    <t>104427/85/1</t>
  </si>
  <si>
    <t>-15.4403 23.216925 1015.1 4.7</t>
  </si>
  <si>
    <t>Female Headed Household</t>
  </si>
  <si>
    <t>Feed to livestock</t>
  </si>
  <si>
    <t>Pests and Diseases Knowledge Gap Limited access to farming inputs</t>
  </si>
  <si>
    <t>Selling/Income generation</t>
  </si>
  <si>
    <t>Foot and Mouth (Mulomo ni taku) Anthrax (Lubete) Heartwater (Matakani)</t>
  </si>
  <si>
    <t>CBPP (Maswafu) Foot and Mouth (Mulomo ni litako) Anthrax (Lubete)</t>
  </si>
  <si>
    <t>Over grazing More of Cropping Activities</t>
  </si>
  <si>
    <t>Less Grass ( Volume) Less water</t>
  </si>
  <si>
    <t>September August</t>
  </si>
  <si>
    <t>ddd2f36d-4a27-498c-89eb-431ffcd15afa</t>
  </si>
  <si>
    <t>Mwananembo Muwindwa</t>
  </si>
  <si>
    <t>0770265350</t>
  </si>
  <si>
    <t>220425/82/1</t>
  </si>
  <si>
    <t>-15.4408 23.2167767 1010.0 4.16</t>
  </si>
  <si>
    <t>Rice: 15 bags (50kg) @ k500/bag</t>
  </si>
  <si>
    <t>5b (50kg), did not sell</t>
  </si>
  <si>
    <t>Asethectic value</t>
  </si>
  <si>
    <t>CBPP (Maswafu) Black Leg (Ngongola) Heartwater (Matakani)</t>
  </si>
  <si>
    <t>CBPP (Maswafu) Black Leg (Ngongola)</t>
  </si>
  <si>
    <t>Borrowed Bull</t>
  </si>
  <si>
    <t>Low Prices Lack of Transportation Inadequate Infrastructure</t>
  </si>
  <si>
    <t>More of Cropping Activities Fire Over grazing</t>
  </si>
  <si>
    <t>40d2bd4c-1a7a-4b41-b2b9-0c595ddf142f</t>
  </si>
  <si>
    <t xml:space="preserve">Monde Mubiana </t>
  </si>
  <si>
    <t>0971768566</t>
  </si>
  <si>
    <t>362427/82/1</t>
  </si>
  <si>
    <t>-15.44083 23.21698 1026.5 4.9</t>
  </si>
  <si>
    <t>12 bags (50kg) @ k600/bag</t>
  </si>
  <si>
    <t>35 bags (50kg) @ k400/bag</t>
  </si>
  <si>
    <t>Rape Chinese Cabbage</t>
  </si>
  <si>
    <t>Pests and Diseases Limited Extension Services Limited access to farming inputs</t>
  </si>
  <si>
    <t>0ffdc339-ad08-469b-84e1-aeff4c7c78fa</t>
  </si>
  <si>
    <t xml:space="preserve">NAYUNDA </t>
  </si>
  <si>
    <t>Mitumwa Kwibisa</t>
  </si>
  <si>
    <t>09770643070</t>
  </si>
  <si>
    <t>209064/84/1</t>
  </si>
  <si>
    <t xml:space="preserve">Namushekendi camp/Farming Institute </t>
  </si>
  <si>
    <t>-15.4409067 23.216785 1024.2 3.52</t>
  </si>
  <si>
    <t>10 bags (50kg) @ k800</t>
  </si>
  <si>
    <t>26 bags (50kg) @ k550/bag</t>
  </si>
  <si>
    <t>Maize Rape Chinese Cabbage Tomatoes</t>
  </si>
  <si>
    <t>Pests and Diseases Knowledge Gap Drought</t>
  </si>
  <si>
    <t>CBPP (Maswafu) Foot and Mouth (Mulomo ni taku) Black Leg (Ngongola)</t>
  </si>
  <si>
    <t>Every two weeks</t>
  </si>
  <si>
    <t>Brucellosis (Butuku bwa Kufoloza) Black Leg (Ngongola) CBPP (Maswafu) Anthrax (Lubete)</t>
  </si>
  <si>
    <t>Predominance of Intermediaries Low Prices Lack of Transportation</t>
  </si>
  <si>
    <t xml:space="preserve">Limited Market Knowledge Lack of Transportation Limited access to finance </t>
  </si>
  <si>
    <t>When they are old and tired</t>
  </si>
  <si>
    <t>5f151793-be84-49ec-a84d-1825299701eb</t>
  </si>
  <si>
    <t>Mwauluka mwalubita</t>
  </si>
  <si>
    <t>0774375633</t>
  </si>
  <si>
    <t>181484/82/1</t>
  </si>
  <si>
    <t>Chief namutwi</t>
  </si>
  <si>
    <t>-15.4403706 23.2168915 1020.717529296875 4.854</t>
  </si>
  <si>
    <t>Rice 30 bags(50kg)at k450 per bag</t>
  </si>
  <si>
    <t>Rice 60bags(50kg) at k450 per bag</t>
  </si>
  <si>
    <t>Maize Rape Tomatoes</t>
  </si>
  <si>
    <t>Limited access to farming inputs Pests and Diseases Lack of capital High cost of inputs (fertilizers, pesticides)</t>
  </si>
  <si>
    <t>Selling/Income generation Plowing/Draught power</t>
  </si>
  <si>
    <t>Inbreeding</t>
  </si>
  <si>
    <t>When my cows are sick</t>
  </si>
  <si>
    <t>December</t>
  </si>
  <si>
    <t>Less Grass ( Volume) Less Grass (Types) More water</t>
  </si>
  <si>
    <t>c1ad1e79-b02c-48a6-bb11-dbfe951d1a01</t>
  </si>
  <si>
    <t xml:space="preserve">Mukumbuta mukelabai </t>
  </si>
  <si>
    <t>0979985852</t>
  </si>
  <si>
    <t>243994/82/1</t>
  </si>
  <si>
    <t xml:space="preserve">Namushekendi/farm institute </t>
  </si>
  <si>
    <t>-15.4403349 23.2168997 1037.163818359375 4.927</t>
  </si>
  <si>
    <t>Entrepreneurial Activities</t>
  </si>
  <si>
    <t>12bags of 50kg at k800 per bag</t>
  </si>
  <si>
    <t>45 bags of 50kg at k500</t>
  </si>
  <si>
    <t>Cabbage Rape</t>
  </si>
  <si>
    <t>Pests and Diseases Floods Limited access to farming inputs</t>
  </si>
  <si>
    <t>Manure production</t>
  </si>
  <si>
    <t>CBPP (Maswafu) Heartwater (Matakani) Anaplasmosis (Nyoko)</t>
  </si>
  <si>
    <t>Effective</t>
  </si>
  <si>
    <t>Low Prices</t>
  </si>
  <si>
    <t>Low Prices Lack of Transportation</t>
  </si>
  <si>
    <t>Yes, I partially relocate (move livestock)</t>
  </si>
  <si>
    <t>Fire Over grazing</t>
  </si>
  <si>
    <t>Less Grass ( Volume) More water</t>
  </si>
  <si>
    <t>e735849c-72d9-4bc2-bef8-04a0f95be592</t>
  </si>
  <si>
    <t>Musings katukula</t>
  </si>
  <si>
    <t>0772339076</t>
  </si>
  <si>
    <t>350111/82/1</t>
  </si>
  <si>
    <t>-15.4408356 23.2167457 1026.5177001953125 4.498</t>
  </si>
  <si>
    <t>4 bags of 50kg at k800 per bag</t>
  </si>
  <si>
    <t>20 bags of (50kg) at k400</t>
  </si>
  <si>
    <t>Maize Rape Okra</t>
  </si>
  <si>
    <t>Yes, Manual Irrigation</t>
  </si>
  <si>
    <t>Pests and Diseases Drought High temperatures Limited access to farming inputs</t>
  </si>
  <si>
    <t>Manure production Breeding</t>
  </si>
  <si>
    <t>Anaplasmosis (Nyoko) Anthrax (Lubete) CBPP (Maswafu) Heartwater (Matakani)</t>
  </si>
  <si>
    <t>CBPP (Maswafu) Anthrax (Lubete)</t>
  </si>
  <si>
    <t>Lack of Transportation</t>
  </si>
  <si>
    <t>Fire Erosion Limited access to water sources</t>
  </si>
  <si>
    <t>Less Grass ( Volume) Less fertile soils Less water</t>
  </si>
  <si>
    <t>6886c66e-077c-4ad8-9640-7d7cb4e79194</t>
  </si>
  <si>
    <t>Mulunga Samyambe</t>
  </si>
  <si>
    <t>0970346760</t>
  </si>
  <si>
    <t>271061/82/1</t>
  </si>
  <si>
    <t>-15.4408222 23.2167238 1032.091064453125 4.567</t>
  </si>
  <si>
    <t>Rented</t>
  </si>
  <si>
    <t>Maize</t>
  </si>
  <si>
    <t>3 bags (50kg) at k800 per bag</t>
  </si>
  <si>
    <t>35 bags(50kg) at k450 per bag</t>
  </si>
  <si>
    <t>Maize Tomatoes Onions  Chinese Cabbage Rape Cabbage</t>
  </si>
  <si>
    <t>Throw away</t>
  </si>
  <si>
    <t>Pests and Diseases Drought Floods Limited access to farming inputs</t>
  </si>
  <si>
    <t>b2483573-773f-4695-b1ce-60f56534c9ae</t>
  </si>
  <si>
    <t>Mataba ngenda</t>
  </si>
  <si>
    <t>0976979450</t>
  </si>
  <si>
    <t>185287/82/1</t>
  </si>
  <si>
    <t>-15.4408231 23.2167428 1025.048095703125 4.745</t>
  </si>
  <si>
    <t>Cassava</t>
  </si>
  <si>
    <t>11bags (50kg) at k350 per bag</t>
  </si>
  <si>
    <t>20 bags(50kg) at k450 per bag</t>
  </si>
  <si>
    <t xml:space="preserve">Rape Tomatoes Onions </t>
  </si>
  <si>
    <t>Drought Pests and Diseases Limited access to farming inputs</t>
  </si>
  <si>
    <t>FRA</t>
  </si>
  <si>
    <t>Lack of Transportation Low Prices Limited Market Knowledge</t>
  </si>
  <si>
    <t>d2edaa4c-37d6-476a-9b85-6fff90cc4c03</t>
  </si>
  <si>
    <t xml:space="preserve">Nelamo mushimbei beatrice </t>
  </si>
  <si>
    <t>0778340394</t>
  </si>
  <si>
    <t>177471/82/1</t>
  </si>
  <si>
    <t>-15.4408311 23.216793 1029.9332275390625 4.973</t>
  </si>
  <si>
    <t>No Formal Education</t>
  </si>
  <si>
    <t>10 bags(50kg)at k450 per bag</t>
  </si>
  <si>
    <t xml:space="preserve">20 bags (50kg) at k600 per bag </t>
  </si>
  <si>
    <t>Tomatoes Rape Chinese Cabbage Maize</t>
  </si>
  <si>
    <t>Limited access to farming inputs Pests and Diseases High temperatures</t>
  </si>
  <si>
    <t>Milk Production Manure production Selling/Income generation Meat Production</t>
  </si>
  <si>
    <t>Low Prices Lack of Transportation Limited Market Knowledge</t>
  </si>
  <si>
    <t>afc40a60-5053-4fab-9d59-cd44bd2ad0ff</t>
  </si>
  <si>
    <t>Tony kazima</t>
  </si>
  <si>
    <t>Friday Muzamai</t>
  </si>
  <si>
    <t>0979555604</t>
  </si>
  <si>
    <t>301596/82/1</t>
  </si>
  <si>
    <t xml:space="preserve">Sambiana/ Mukololo </t>
  </si>
  <si>
    <t>-15.4682482 23.1591829 1031.31787109375 3.918</t>
  </si>
  <si>
    <t xml:space="preserve">FISP </t>
  </si>
  <si>
    <t>Traditional sole ownership with no papers</t>
  </si>
  <si>
    <t>Crops Production     Livestock Production Fish Farming</t>
  </si>
  <si>
    <t>Rice , 48 bags by 50kg and price k250</t>
  </si>
  <si>
    <t>Rice, 60 bags 50 kg and price k450</t>
  </si>
  <si>
    <t>Maize Pumpkins Okra</t>
  </si>
  <si>
    <t>Limited access to farming inputs Drought High cost of inputs (fertilizers, pesticides)</t>
  </si>
  <si>
    <t>Plowing/Draught power Selling/Income generation Transportation</t>
  </si>
  <si>
    <t>Liverfluke (Minyopi ya mwa sibiti) Anaplasmosis (Nyoko) CBPP (Maswafu)</t>
  </si>
  <si>
    <t>Low Prices Limited Market Knowledge Unreliable/Inconsistent Off-take</t>
  </si>
  <si>
    <t>Less Grass (Types) Less fertile soils Less Grass ( Volume)</t>
  </si>
  <si>
    <t>b4a54324-a548-4c81-ae8f-38240faa6175</t>
  </si>
  <si>
    <t>Maambo maambo</t>
  </si>
  <si>
    <t>0772507057</t>
  </si>
  <si>
    <t>306123/82/1</t>
  </si>
  <si>
    <t>-15.46434 23.15728 1024.2 4.933</t>
  </si>
  <si>
    <t xml:space="preserve">FISP , agriculture inputs access </t>
  </si>
  <si>
    <t>Good (Internet, Calls &amp; SMS)</t>
  </si>
  <si>
    <t>Fishing Livestock Production</t>
  </si>
  <si>
    <t>Maize and rice, Maize 7 bags by 50kg while rice was did not mature drought,  K300/ bag</t>
  </si>
  <si>
    <t>Maize and rice, 15 bags by 50 kg and 20 bags by 50 kg</t>
  </si>
  <si>
    <t>Beans Tomatoes Onions  Rape Pumpkins Rice Maize</t>
  </si>
  <si>
    <t>Limited access to farming inputs Knowledge Gap Pests and Diseases</t>
  </si>
  <si>
    <t>Cattle Poultry Pigs</t>
  </si>
  <si>
    <t>Selling/Income generation Plowing/Draught power Meat Production Transportation</t>
  </si>
  <si>
    <t>Liverfluke (Minyopi ya mwa sibiti) CBPP (Maswafu) Mycotic Dermatitis (Lukwekwe) Eye Infections/Pink Eye (Butuku bwa meto)</t>
  </si>
  <si>
    <t>Geographical Isolation Low Prices Limited Market Knowledge</t>
  </si>
  <si>
    <t>Geographical Isolation Low Prices Lack of Transportation</t>
  </si>
  <si>
    <t>Less Grass (Types) Less fertile soils More Unpalatable grasses</t>
  </si>
  <si>
    <t>To let grass regrow Traditional Practice</t>
  </si>
  <si>
    <t>August September October</t>
  </si>
  <si>
    <t>b99ab056-baba-4fbb-9c2f-be4b6df83de3</t>
  </si>
  <si>
    <t xml:space="preserve">Peter Mahela </t>
  </si>
  <si>
    <t xml:space="preserve">Imasiku Mwiya </t>
  </si>
  <si>
    <t>0978869669</t>
  </si>
  <si>
    <t>261889/82/1</t>
  </si>
  <si>
    <t>Libumu</t>
  </si>
  <si>
    <t xml:space="preserve">Chief Namutwi </t>
  </si>
  <si>
    <t>-15.345709 23.1288941 1025.5604248046875 4.175</t>
  </si>
  <si>
    <t xml:space="preserve">Rice 98 bags 50kgs 
Not sold </t>
  </si>
  <si>
    <t>Maize Rice Cassava</t>
  </si>
  <si>
    <t>Floods Drought Pests and Diseases</t>
  </si>
  <si>
    <t>Meat Production Selling/Income generation Plowing/Draught power Manure production Milk Production Transportation</t>
  </si>
  <si>
    <t>Annually</t>
  </si>
  <si>
    <t>No, I do not deworm</t>
  </si>
  <si>
    <t xml:space="preserve">Low Prices Predominance of Intermediaries Lack of linkages  </t>
  </si>
  <si>
    <t>Local market</t>
  </si>
  <si>
    <t>Low Prices Lack of linkages   Lack of Transportation</t>
  </si>
  <si>
    <t>Fire Erosion</t>
  </si>
  <si>
    <t>Less Grass ( Volume) Less Grass (Types) Less fertile soils</t>
  </si>
  <si>
    <t>ded31761-5ad6-481c-b7b1-ee5fb1fde4ec</t>
  </si>
  <si>
    <t>Akuya kakuya</t>
  </si>
  <si>
    <t>0975854659</t>
  </si>
  <si>
    <t>286041/82/1</t>
  </si>
  <si>
    <t>-15.3457255 23.1288834 1035.931640625 3.79</t>
  </si>
  <si>
    <t>Rice 45 bags 50kgs, @ k350</t>
  </si>
  <si>
    <t xml:space="preserve">Low Prices Limited Market Knowledge Lack of linkages  </t>
  </si>
  <si>
    <t>October Novemeber December January</t>
  </si>
  <si>
    <t>Tick control  For fish nets placing To let grass regrow</t>
  </si>
  <si>
    <t>3325e418-a929-4f71-ae86-62ab373a9511</t>
  </si>
  <si>
    <t>0976609771</t>
  </si>
  <si>
    <t>288968/82/1</t>
  </si>
  <si>
    <t>-15.3457262 23.1288839 1028.8336181640625 4.835</t>
  </si>
  <si>
    <t>Rice 15 bags, 50kg k350</t>
  </si>
  <si>
    <t>Brucellosis (Butuku bwa Kufoloza) Botulism (Kubama) Heartwater (Matakani) Liverfluke (Minyopi ya mwa sibiti) Anaplasmosis (Nyoko) Anthrax (Lubete) Mycotic Dermatitis (Lukwekwe) Black Leg (Ngongola)  Bovine Tuberculosis Lumpy Skin Disease (Sikwekwe)</t>
  </si>
  <si>
    <t>Foot and Mouth (Mulomo ni litako) Botulism (Kubama) Lumpy Skin Disease (Sikwekwe)</t>
  </si>
  <si>
    <t>Lack of linkages   Limited Market Knowledge Low Prices</t>
  </si>
  <si>
    <t>Lack of Transportation Limited Market Knowledge Lack of linkages   Low Prices</t>
  </si>
  <si>
    <t>Less Grass ( Volume) Less Grass (Types) More erosion</t>
  </si>
  <si>
    <t>7599df66-03a8-4b0d-9a2e-ef37dad5d27f</t>
  </si>
  <si>
    <t>Philip Mayubelo</t>
  </si>
  <si>
    <t>0976096596</t>
  </si>
  <si>
    <t>262768/82/1</t>
  </si>
  <si>
    <t>-15.3457056 23.1288689 1032.73876953125 4.922</t>
  </si>
  <si>
    <t xml:space="preserve">Maize 15 bags 50kg </t>
  </si>
  <si>
    <t>October November  December January</t>
  </si>
  <si>
    <t>c4cb781a-4361-40fe-a32c-852154a170e9</t>
  </si>
  <si>
    <t>Tembo Tembo</t>
  </si>
  <si>
    <t>0773274481</t>
  </si>
  <si>
    <t>349545/82/1</t>
  </si>
  <si>
    <t>-15.3456877 23.1288799 1024.2760009765625 4.385</t>
  </si>
  <si>
    <t xml:space="preserve">Rice 50 bags 50kg @ k300 </t>
  </si>
  <si>
    <t>Drought Floods Pests and Diseases</t>
  </si>
  <si>
    <t>Every 6 months</t>
  </si>
  <si>
    <t>Limited Market Knowledge Lack of linkages   Lack of Transportation</t>
  </si>
  <si>
    <t>Aggregation points/hubs</t>
  </si>
  <si>
    <t>953f2c55-60dc-4a3e-8782-dcccf0749580</t>
  </si>
  <si>
    <t>Mwanayanda lutoombi</t>
  </si>
  <si>
    <t>0968958597</t>
  </si>
  <si>
    <t>208825/82/1</t>
  </si>
  <si>
    <t>-15.345722 23.1289409 1027.17822265625 4.657</t>
  </si>
  <si>
    <t>Maize Rice Sweet Potatoes</t>
  </si>
  <si>
    <t>Rice 12 bags 50hgs @ k1000 each 
Maize 22 bags 50kgs @ k800 each</t>
  </si>
  <si>
    <t>Rice 62 bags @ k 500
Maize 42 bags @ k400</t>
  </si>
  <si>
    <t>Pests and Diseases</t>
  </si>
  <si>
    <t>Meat Production Selling/Income generation Transportation Manure production Plowing/Draught power Milk Production</t>
  </si>
  <si>
    <t>Brucellosis (Butuku bwa Kufoloza) Botulism (Kubama) Heartwater (Matakani) Liverfluke (Minyopi ya mwa sibiti)</t>
  </si>
  <si>
    <t>Botulism (Kubama) Anthrax (Lubete) Black Leg (Ngongola) Brucellosis (Butuku bwa Kufoloza) Lumpy Skin Disease (Sikwekwe)</t>
  </si>
  <si>
    <t>99d3304b-3246-4589-997f-727ce53ba309</t>
  </si>
  <si>
    <t xml:space="preserve">PETER MAHELA </t>
  </si>
  <si>
    <t>Kalaluka imutongo</t>
  </si>
  <si>
    <t>0978572615</t>
  </si>
  <si>
    <t>262575/82/1</t>
  </si>
  <si>
    <t>-15.3357905 23.1253585 1020.300048828125 4.716</t>
  </si>
  <si>
    <t xml:space="preserve">Rice 12 bags 50kgs </t>
  </si>
  <si>
    <t>Botulism (Kubama) Brucellosis (Butuku bwa Kufoloza) Liverfluke (Minyopi ya mwa sibiti) Mycotic Dermatitis (Lukwekwe) Anaplasmosis (Nyoko) Anthrax (Lubete)  Bovine Tuberculosis Lumpy Skin Disease (Sikwekwe)</t>
  </si>
  <si>
    <t>Anthrax (Lubete) Botulism (Kubama) Foot and Mouth (Mulomo ni litako) Black Leg (Ngongola)</t>
  </si>
  <si>
    <t>Local market Aggregation points/hubs Buyer comes to collect from my farm</t>
  </si>
  <si>
    <t>April February March</t>
  </si>
  <si>
    <t>Less fertile soils Less Grass ( Volume) Less Grass (Types)</t>
  </si>
  <si>
    <t>ff700415-5674-45ac-9631-db2e60012f22</t>
  </si>
  <si>
    <t>Mulonda kaywala</t>
  </si>
  <si>
    <t>0977532713</t>
  </si>
  <si>
    <t>126023/18/1</t>
  </si>
  <si>
    <t>-15.2972614 23.1460431 1062.1055908203125 3.88</t>
  </si>
  <si>
    <t>Rice 40 bags, 50kg @ k600</t>
  </si>
  <si>
    <t>Botulism (Kubama) Black Leg (Ngongola) Foot and Mouth (Mulomo ni litako)</t>
  </si>
  <si>
    <t>February April March</t>
  </si>
  <si>
    <t>Less Grass ( Volume) Less Grass (Types) Less water</t>
  </si>
  <si>
    <t>Tick control  To let grass regrow Traditional Practice Hunt small animals</t>
  </si>
  <si>
    <t>d9e13dc7-0816-45d5-92bd-20161f695d4e</t>
  </si>
  <si>
    <t>Inambao Mudia</t>
  </si>
  <si>
    <t>0971153731</t>
  </si>
  <si>
    <t>188388/82/1</t>
  </si>
  <si>
    <t>-15.3456374 23.1288178 1028.3555908203125 4.897</t>
  </si>
  <si>
    <t>Rice 30 bags/ k450</t>
  </si>
  <si>
    <t>Borehole</t>
  </si>
  <si>
    <t>Pests and Diseases Lack of capital</t>
  </si>
  <si>
    <t>Meat Production Manure production Plowing/Draught power Selling/Income generation Milk Production</t>
  </si>
  <si>
    <t>Anaplasmosis (Nyoko) Mycotic Dermatitis (Lukwekwe) Eye Infections/Pink Eye (Butuku bwa meto) Botulism (Kubama) Foot and Mouth (Mulomo ni taku)</t>
  </si>
  <si>
    <t>Low Prices Lack of linkages   Limited Market Knowledge Lack of Transportation</t>
  </si>
  <si>
    <t>Supply to buyers' facilities Buyer comes to collect from my farm</t>
  </si>
  <si>
    <t>Rotational Grazing</t>
  </si>
  <si>
    <t>Less fertile soils Less Grass (Types)</t>
  </si>
  <si>
    <t>9ceefc39-e963-4c93-8154-78196c37811e</t>
  </si>
  <si>
    <t>Simandi nico</t>
  </si>
  <si>
    <t>0974888840</t>
  </si>
  <si>
    <t>366886/82/1</t>
  </si>
  <si>
    <t>-15.345679 23.1288279 1026.142822265625 4.699</t>
  </si>
  <si>
    <t>Rice 12 bags, 50kg k450</t>
  </si>
  <si>
    <t>Maize Tomatoes</t>
  </si>
  <si>
    <t>Pests and Diseases Drought Knowledge Gap</t>
  </si>
  <si>
    <t>Meat Production Plowing/Draught power Milk Production Manure production Breeding Transportation</t>
  </si>
  <si>
    <t>Heartwater (Matakani) Botulism (Kubama) Anaplasmosis (Nyoko) Mycotic Dermatitis (Lukwekwe)</t>
  </si>
  <si>
    <t xml:space="preserve">Low Prices Limited Market Knowledge Lack of Transportation Lack of linkages  </t>
  </si>
  <si>
    <t>Transhumance</t>
  </si>
  <si>
    <t>September October Novemeber January</t>
  </si>
  <si>
    <t>Less Grass ( Volume) Less fertile soils</t>
  </si>
  <si>
    <t>Tick control  For fish nets placing</t>
  </si>
  <si>
    <t>411ec6f4-f262-4d30-a483-e21862b6fcf7</t>
  </si>
  <si>
    <t>Imasiku mutazi</t>
  </si>
  <si>
    <t>0977664426</t>
  </si>
  <si>
    <t>247710/82/1</t>
  </si>
  <si>
    <t>-15.3456688 23.128821 1028.7200927734375 4.9</t>
  </si>
  <si>
    <t xml:space="preserve">Rice 16 bags k400 </t>
  </si>
  <si>
    <t>Pests and Diseases Knowledge Gap</t>
  </si>
  <si>
    <t>Meat Production Manure production Plowing/Draught power Selling/Income generation</t>
  </si>
  <si>
    <t>Botulism (Kubama) Brucellosis (Butuku bwa Kufoloza) Anthrax (Lubete) Anaplasmosis (Nyoko) Foot and Mouth (Mulomo ni taku)</t>
  </si>
  <si>
    <t>Foot and Mouth (Mulomo ni litako) Anthrax (Lubete) Botulism (Kubama) Brucellosis (Butuku bwa Kufoloza)</t>
  </si>
  <si>
    <t>Lack of linkages   Low Prices Limited Market Knowledge Lack of Transportation</t>
  </si>
  <si>
    <t>Local market Buyer comes to collect from my farm</t>
  </si>
  <si>
    <t>August September October Novemeber January</t>
  </si>
  <si>
    <t>Less Grass (Types) More erosion Less fertile soils</t>
  </si>
  <si>
    <t>467519e6-78a1-42a5-9e8f-40c34da9cae3</t>
  </si>
  <si>
    <t xml:space="preserve">Many units Sibeso </t>
  </si>
  <si>
    <t>0977418381</t>
  </si>
  <si>
    <t>262156/82/1</t>
  </si>
  <si>
    <t>Libumbu</t>
  </si>
  <si>
    <t>Chief libumbu</t>
  </si>
  <si>
    <t>-15.3456721 23.1288338 1023.58740234375 3.807</t>
  </si>
  <si>
    <t>Formal Employment  Livestock Production Crop Production</t>
  </si>
  <si>
    <t>Rice bags 98, 50kg k500</t>
  </si>
  <si>
    <t>Limited access to farming inputs Lack of capital Limited Extension Services</t>
  </si>
  <si>
    <t>Meat Production Selling/Income generation Plowing/Draught power Milk Production Manure production Breeding</t>
  </si>
  <si>
    <t>Foot and Mouth (Mulomo ni taku) Botulism (Kubama) Brucellosis (Butuku bwa Kufoloza) Heartwater (Matakani) Mycotic Dermatitis (Lukwekwe)</t>
  </si>
  <si>
    <t>Foot and Mouth (Mulomo ni litako) Brucellosis (Butuku bwa Kufoloza) Botulism (Kubama) Lumpy Skin Disease (Sikwekwe)</t>
  </si>
  <si>
    <t>Lack of linkages   Lack of Transportation Low Prices Limited Market Knowledge</t>
  </si>
  <si>
    <t>August October Novemeber January</t>
  </si>
  <si>
    <t>74b25536-2671-452e-a45d-603524ac4e21</t>
  </si>
  <si>
    <t>Nawa yuyi</t>
  </si>
  <si>
    <t>0979464099</t>
  </si>
  <si>
    <t>192945/82/81</t>
  </si>
  <si>
    <t>-15.34567 23.1288333 1025.6722412109375 4.631</t>
  </si>
  <si>
    <t xml:space="preserve">4 bags of rice 50kg, k800 per bag </t>
  </si>
  <si>
    <t>28 bags of rice, 50kg, k450</t>
  </si>
  <si>
    <t>Pests and Diseases Knowledge Gap Limited Extension Services</t>
  </si>
  <si>
    <t>Brucellosis (Butuku bwa Kufoloza) Foot and Mouth (Mulomo ni litako) Botulism (Kubama) Anthrax (Lubete)</t>
  </si>
  <si>
    <t>7e99daf7-8e56-419e-9948-44fb99fdc055</t>
  </si>
  <si>
    <t>Aksiwa akolwa</t>
  </si>
  <si>
    <t>285692/82/1</t>
  </si>
  <si>
    <t>-15.3456628 23.1288397 1026.603759765625 4.786</t>
  </si>
  <si>
    <t>Meat Production Manure production Selling/Income generation Plowing/Draught power</t>
  </si>
  <si>
    <t>Botulism (Kubama) Brucellosis (Butuku bwa Kufoloza) Liverfluke (Minyopi ya mwa sibiti) Anaplasmosis (Nyoko) Mycotic Dermatitis (Lukwekwe)</t>
  </si>
  <si>
    <t>Low Prices Limited Market Knowledge</t>
  </si>
  <si>
    <t>Less Grass ( Volume) Less fertile soils Less Grass (Types)</t>
  </si>
  <si>
    <t>August September November  October</t>
  </si>
  <si>
    <t>90d23b1a-ea35-4cfc-a464-d1e84b758c14</t>
  </si>
  <si>
    <t>Mulyokela Mulele</t>
  </si>
  <si>
    <t>097</t>
  </si>
  <si>
    <t>166136/82/1</t>
  </si>
  <si>
    <t>Chief Namatwi</t>
  </si>
  <si>
    <t>-15.3456718 23.1288545 1030.028076171875 4.325</t>
  </si>
  <si>
    <t>Milk Production Manure production Plowing/Draught power Selling/Income generation Meat Production</t>
  </si>
  <si>
    <t>Botulism (Kubama) Brucellosis (Butuku bwa Kufoloza) CBPP (Maswafu) Liverfluke (Minyopi ya mwa sibiti) Heartwater (Matakani) Anthrax (Lubete)</t>
  </si>
  <si>
    <t>Limited Market Knowledge Lack of Transportation Low Prices</t>
  </si>
  <si>
    <t>e41987cf-30f4-4740-83ef-837d4a1170ff</t>
  </si>
  <si>
    <t>Ngula walubita</t>
  </si>
  <si>
    <t>241959/82/1</t>
  </si>
  <si>
    <t>-15.3456851 23.1288523 1029.32861328125 4.51</t>
  </si>
  <si>
    <t>Rice 12 bags, 50kg @ k500</t>
  </si>
  <si>
    <t>Poor soil fertility Knowledge Gap Pests and Diseases</t>
  </si>
  <si>
    <t>Anaplasmosis (Nyoko) Botulism (Kubama) Brucellosis (Butuku bwa Kufoloza) Heartwater (Matakani) Lumpy Skin Disease (Sikwekwe) Black Leg (Ngongola)</t>
  </si>
  <si>
    <t>Low Prices Limited Market Knowledge Lack of Transportation</t>
  </si>
  <si>
    <t>Over grazing Fire Erosion</t>
  </si>
  <si>
    <t>Less Grass (Types) Less Grass ( Volume) Less fertile soils</t>
  </si>
  <si>
    <t>14b92723-c123-404a-8354-bfaefbd2e1ba</t>
  </si>
  <si>
    <t>Naganga Namukolo</t>
  </si>
  <si>
    <t>0978380620</t>
  </si>
  <si>
    <t>189414/82/1</t>
  </si>
  <si>
    <t xml:space="preserve">Libumbu </t>
  </si>
  <si>
    <t>-15.3456753 23.1288637 1023.012451171875 4.301</t>
  </si>
  <si>
    <t xml:space="preserve">Yes, Rangeland Group   </t>
  </si>
  <si>
    <t>Sefula mutwambwa katongo sako</t>
  </si>
  <si>
    <t xml:space="preserve">Rice 90 bags, not sold, maize 4 bags 50kgs </t>
  </si>
  <si>
    <t>Heartwater (Matakani) Brucellosis (Butuku bwa Kufoloza) Lumpy Skin Disease (Sikwekwe) Mycotic Dermatitis (Lukwekwe) Anaplasmosis (Nyoko) Botulism (Kubama) Black Leg (Ngongola)</t>
  </si>
  <si>
    <t xml:space="preserve">Low Prices Lack of Transportation Limited Market Knowledge Lack of linkages  </t>
  </si>
  <si>
    <t>Less Grass ( Volume) Less Grass (Types) Less fertile soils More fertile soils</t>
  </si>
  <si>
    <t>a36188dc-444c-454a-8b75-99ff4a7a5433</t>
  </si>
  <si>
    <t>Mundial Mundia</t>
  </si>
  <si>
    <t>0972336208</t>
  </si>
  <si>
    <t>334116/82/1</t>
  </si>
  <si>
    <t>-15.345677 23.1288512 1044.7064208984375 4.467</t>
  </si>
  <si>
    <t>7886722d-d60b-449a-9096-973d57c0ca35</t>
  </si>
  <si>
    <t>Clara liswaniso</t>
  </si>
  <si>
    <t>0977793394</t>
  </si>
  <si>
    <t>222240/82/1</t>
  </si>
  <si>
    <t>-15.3456861 23.1288634 1031.7503662109375 4.619</t>
  </si>
  <si>
    <t>Fisp and NAREP</t>
  </si>
  <si>
    <t>Maize Rice Cassava Sweet Potatoes</t>
  </si>
  <si>
    <t>Rice 600 bags 50kg @ k500
Maize 200bags 50kg @ k350</t>
  </si>
  <si>
    <t>Botulism (Kubama) Foot and Mouth (Mulomo ni taku) Heartwater (Matakani) Anaplasmosis (Nyoko) Mycotic Dermatitis (Lukwekwe) Anthrax (Lubete) Black Leg (Ngongola)</t>
  </si>
  <si>
    <t>March April May</t>
  </si>
  <si>
    <t>2472b073-dcad-492e-8b84-be636088459f</t>
  </si>
  <si>
    <t>Inambao litebele</t>
  </si>
  <si>
    <t>0973070812</t>
  </si>
  <si>
    <t>192123/82/1</t>
  </si>
  <si>
    <t>-15.3456815 23.1289002 1024.8114013671875 4.967</t>
  </si>
  <si>
    <t>Cassva 6 bags 50kg  Rice 55 bags, @k500</t>
  </si>
  <si>
    <t>Pests and Diseases Drought Limited access to farming inputs</t>
  </si>
  <si>
    <t>Foot and Mouth (Mulomo ni taku) Botulism (Kubama) Heartwater (Matakani) Anaplasmosis (Nyoko) Mycotic Dermatitis (Lukwekwe) Lumpy Skin Disease (Sikwekwe)</t>
  </si>
  <si>
    <t>Less fertile soils Less Grass (Types) Less Grass ( Volume)</t>
  </si>
  <si>
    <t>1f24bdb1-1dd5-4561-8e5e-f23006154cf9</t>
  </si>
  <si>
    <t>Jacob mwitaminwa inambo</t>
  </si>
  <si>
    <t>218464/82/1</t>
  </si>
  <si>
    <t>-15.345696 23.1289001 1030.6739501953125 4.043</t>
  </si>
  <si>
    <t>Rice 35 bags, 50kg k500</t>
  </si>
  <si>
    <t>Brucellosis (Butuku bwa Kufoloza) Mycotic Dermatitis (Lukwekwe) Anaplasmosis (Nyoko) Heartwater (Matakani) Botulism (Kubama) Black Leg (Ngongola) Bovine Dermatophilosis (Senkobo)</t>
  </si>
  <si>
    <t>Botulism (Kubama) Anthrax (Lubete) Lumpy Skin Disease (Sikwekwe)</t>
  </si>
  <si>
    <t>9b433ea5-9607-406a-b780-70701e68610b</t>
  </si>
  <si>
    <t>Walusiku Mubita</t>
  </si>
  <si>
    <t>0976719492</t>
  </si>
  <si>
    <t>243384/82/1</t>
  </si>
  <si>
    <t>-15.3457146 23.1288664 1029.882568359375 7.87</t>
  </si>
  <si>
    <t>Rice 85 bags, 50kg k 450</t>
  </si>
  <si>
    <t>Brucellosis (Butuku bwa Kufoloza) Botulism (Kubama) Heartwater (Matakani) Anaplasmosis (Nyoko) Anthrax (Lubete) Lumpy Skin Disease (Sikwekwe) Black Leg (Ngongola)</t>
  </si>
  <si>
    <t>Botulism (Kubama) Foot and Mouth (Mulomo ni litako) Anthrax (Lubete) Black Leg (Ngongola) Lumpy Skin Disease (Sikwekwe)</t>
  </si>
  <si>
    <t>Less Grass ( Volume) Less Grass (Types) More erosion Less fertile soils</t>
  </si>
  <si>
    <t>67d90d83-3213-4401-b50a-eb54b0689548</t>
  </si>
  <si>
    <t>Tony Kazima</t>
  </si>
  <si>
    <t>Nyambe Wanyayi</t>
  </si>
  <si>
    <t>0962904626</t>
  </si>
  <si>
    <t>288316/82/1</t>
  </si>
  <si>
    <t xml:space="preserve">Tungi camp and samba village </t>
  </si>
  <si>
    <t xml:space="preserve">Libumbu/ wanyayi </t>
  </si>
  <si>
    <t>-15.2955497 23.0024005 1000.3 4.333</t>
  </si>
  <si>
    <t>Selling/Income generation Plowing/Draught power Manure production Milk Production Transportation</t>
  </si>
  <si>
    <t>CBPP (Maswafu) Liverfluke (Minyopi ya mwa sibiti) Anaplasmosis (Nyoko)</t>
  </si>
  <si>
    <t>Low Prices Limited Market Knowledge Geographical Isolation</t>
  </si>
  <si>
    <t>Less fertile soils More erosion Less Grass ( Volume)</t>
  </si>
  <si>
    <t>0c34891f-e893-497e-a3e6-9a255150d0c5</t>
  </si>
  <si>
    <t>Mufiti Masisani</t>
  </si>
  <si>
    <t>0777343473</t>
  </si>
  <si>
    <t>342764/82/1</t>
  </si>
  <si>
    <t xml:space="preserve">Tuning and mangongi village </t>
  </si>
  <si>
    <t>Libumbu/ Munapwili</t>
  </si>
  <si>
    <t>-15.2935814 23.0335869 1024.510498046875 4.931</t>
  </si>
  <si>
    <t>Fish Farming Livestock Production</t>
  </si>
  <si>
    <t>Cattle Pigs Poultry</t>
  </si>
  <si>
    <t>Milk Production Selling/Income generation Plowing/Draught power Manure production Transportation</t>
  </si>
  <si>
    <t>Liverfluke (Minyopi ya mwa sibiti) CBPP (Maswafu) Anaplasmosis (Nyoko) Black Leg (Ngongola)</t>
  </si>
  <si>
    <t>Ineffective</t>
  </si>
  <si>
    <t>Limited Market Knowledge</t>
  </si>
  <si>
    <t>Quarterly</t>
  </si>
  <si>
    <t>To let grass regrow For fish nets placing</t>
  </si>
  <si>
    <t>5a086ef8-04cb-43bc-a458-4d805775162c</t>
  </si>
  <si>
    <t xml:space="preserve">Tony kazima </t>
  </si>
  <si>
    <t>Liboni makuya</t>
  </si>
  <si>
    <t>0763070783</t>
  </si>
  <si>
    <t>206092/82/1</t>
  </si>
  <si>
    <t xml:space="preserve">Tungi camp and Mangongi village </t>
  </si>
  <si>
    <t>Libumbu/ Munapwi</t>
  </si>
  <si>
    <t>-15.2940022 23.0296939 1024.373779296875 4.778</t>
  </si>
  <si>
    <t>Crop Production Fishing</t>
  </si>
  <si>
    <t xml:space="preserve">Tomatoes Rape Okra Onions </t>
  </si>
  <si>
    <t xml:space="preserve">Maize , 10 bags by 50 kg, K500  </t>
  </si>
  <si>
    <t>Maize, 8 bags by 50 kg, K370 / bag</t>
  </si>
  <si>
    <t>Pumpkins Hibiscus Saddariffa (Sindambi) Onions  Okra</t>
  </si>
  <si>
    <t>Burn</t>
  </si>
  <si>
    <t>Milk Production Manure production Plowing/Draught power Selling/Income generation</t>
  </si>
  <si>
    <t>Local residents</t>
  </si>
  <si>
    <t>Fire Bush Encroachment</t>
  </si>
  <si>
    <t>Less fertile soils Less Grass ( Volume) More Unpalatable grasses</t>
  </si>
  <si>
    <t>278f8c3f-8892-473b-8d6d-8ac33a1113ac</t>
  </si>
  <si>
    <t>Simakando maata</t>
  </si>
  <si>
    <t>0954032966</t>
  </si>
  <si>
    <t>267222/82/1</t>
  </si>
  <si>
    <t>Tuning vet camp and suka</t>
  </si>
  <si>
    <t>Libumbu/ malumo</t>
  </si>
  <si>
    <t>-15.2970325 23.0319868 1030.5040283203125 3.903</t>
  </si>
  <si>
    <t>Selling/Income generation Plowing/Draught power Milk Production Manure production</t>
  </si>
  <si>
    <t>Anaplasmosis (Nyoko) CBPP (Maswafu) Liverfluke (Minyopi ya mwa sibiti) Lumpy Skin Disease (Sikwekwe) Black Leg (Ngongola)</t>
  </si>
  <si>
    <t>034562a7-92d1-4022-8f60-d5b8165d41e8</t>
  </si>
  <si>
    <t>Mubyana Simushi</t>
  </si>
  <si>
    <t>0974821840</t>
  </si>
  <si>
    <t>277580/82/1</t>
  </si>
  <si>
    <t>Tungi camp and lindu</t>
  </si>
  <si>
    <t>Lubumbu/ Ndiyoyi</t>
  </si>
  <si>
    <t>-15.2969649 23.0320335 1029.4161376953125 4.514</t>
  </si>
  <si>
    <t>Selling/Income generation Manure production Plowing/Draught power</t>
  </si>
  <si>
    <t>CBPP (Maswafu) Anaplasmosis (Nyoko) Black Leg (Ngongola)</t>
  </si>
  <si>
    <t>More fertile soils Less Grass ( Volume)</t>
  </si>
  <si>
    <t>928fc655-5079-4aa0-8618-bd2f5c6773b0</t>
  </si>
  <si>
    <t>Mandiana sifuba</t>
  </si>
  <si>
    <t>0770091421</t>
  </si>
  <si>
    <t>228455/16/1</t>
  </si>
  <si>
    <t>Tungi vet camp / sitengu</t>
  </si>
  <si>
    <t xml:space="preserve">Lubumbu/ munono </t>
  </si>
  <si>
    <t>-15.3038933 23.0153475 1035.8935546875 4.062</t>
  </si>
  <si>
    <t>Manure production Selling/Income generation Plowing/Draught power</t>
  </si>
  <si>
    <t>More erosion Less fertile soils Less Grass ( Volume) More Unpalatable grasses</t>
  </si>
  <si>
    <t>5924681a-51ef-41a7-a898-b7617d6de0cf</t>
  </si>
  <si>
    <t>Wamulume Nyambe</t>
  </si>
  <si>
    <t>0971663959</t>
  </si>
  <si>
    <t>287045/82/1</t>
  </si>
  <si>
    <t xml:space="preserve">Tungi camp and Munga village </t>
  </si>
  <si>
    <t>Libumbu / munono</t>
  </si>
  <si>
    <t>-15.3039312 23.0154663 1049.48095703125 4.998</t>
  </si>
  <si>
    <t>Selling/Income generation Manure production Plowing/Draught power Transportation</t>
  </si>
  <si>
    <t>No, I do not vaccinate</t>
  </si>
  <si>
    <t>Fire More Unpalatable grasses</t>
  </si>
  <si>
    <t>Less fertile soils Less Grass ( Volume) More erosion</t>
  </si>
  <si>
    <t>fb5a6b04-2d72-496b-92da-e36fc815d7fe</t>
  </si>
  <si>
    <t>Mubyana Nosisuku</t>
  </si>
  <si>
    <t>0950379037</t>
  </si>
  <si>
    <t>231813/82/1</t>
  </si>
  <si>
    <t>Tungi camp and samba</t>
  </si>
  <si>
    <t>Libumbu/ wayinyaye</t>
  </si>
  <si>
    <t>-15.2955064 23.002446 1020.3375244140625 4.064</t>
  </si>
  <si>
    <t>Plowing/Draught power Selling/Income generation Manure production Milk Production</t>
  </si>
  <si>
    <t>Anaplasmosis (Nyoko) Liverfluke (Minyopi ya mwa sibiti) CBPP (Maswafu)</t>
  </si>
  <si>
    <t>Less Grass ( Volume) Less Grass (Types)</t>
  </si>
  <si>
    <t>Other (Please Specify)</t>
  </si>
  <si>
    <t>0a81776a-44c1-4e6a-9cd0-cd848873a165</t>
  </si>
  <si>
    <t>Tebuho tebuho</t>
  </si>
  <si>
    <t>0975310926</t>
  </si>
  <si>
    <t>301576/82/1</t>
  </si>
  <si>
    <t>Sambiana / mukololo mukololo</t>
  </si>
  <si>
    <t>-15.4646492 23.1569781 1102.2197265625 4.936</t>
  </si>
  <si>
    <t>Crops Production     Fish Farming Livestock Production</t>
  </si>
  <si>
    <t>Maize and rice, 20 bags by 50 kg and 25 bags by 50 kg, prce k300  and k300 respectively,</t>
  </si>
  <si>
    <t>Maize 20 bags 
Rice 25 bags by 50 kgs/ K450 per bag</t>
  </si>
  <si>
    <t>Rice Maize Rape Tomatoes</t>
  </si>
  <si>
    <t>Drought Pests and Diseases</t>
  </si>
  <si>
    <t>Pigs Cattle Poultry</t>
  </si>
  <si>
    <t>Manure production Selling/Income generation Plowing/Draught power Transportation Milk Production</t>
  </si>
  <si>
    <t>Anthrax (Lubete) CBPP (Maswafu) Anaplasmosis (Nyoko) Botulism (Kubama)</t>
  </si>
  <si>
    <t>CBPP (Maswafu) Anthrax (Lubete) Botulism (Kubama)</t>
  </si>
  <si>
    <t xml:space="preserve">Limited Market Knowledge Lack of linkages  </t>
  </si>
  <si>
    <t>Lack of Transportation Limited Market Knowledge</t>
  </si>
  <si>
    <t>Over grazing Fire</t>
  </si>
  <si>
    <t>Less Grass (Types) Less Grass ( Volume) More water</t>
  </si>
  <si>
    <t>Traditional Practice</t>
  </si>
  <si>
    <t>bd2cea83-b6cb-48e1-bc63-57bdbc5d1b2a</t>
  </si>
  <si>
    <t>Kaluwe Mwaka</t>
  </si>
  <si>
    <t>Bruce Kapelwa Kapelwa</t>
  </si>
  <si>
    <t>0971409043</t>
  </si>
  <si>
    <t>312884/82/1</t>
  </si>
  <si>
    <t>-15.4644551 23.1575407 1039.3035888671875 4.708</t>
  </si>
  <si>
    <t>Rice 70 bag by 50kgs/ K350 per bag</t>
  </si>
  <si>
    <t>Rice 50 bags by 50kgs/ K500 per bag</t>
  </si>
  <si>
    <t>Cattle Goats Poultry</t>
  </si>
  <si>
    <t>Selling/Income generation Manure production Milk Production Plowing/Draught power Breeding Transportation</t>
  </si>
  <si>
    <t>CBPP (Maswafu) Botulism (Kubama) Anthrax (Lubete)</t>
  </si>
  <si>
    <t>Lack of linkages   Limited Market Knowledge</t>
  </si>
  <si>
    <t xml:space="preserve">Butcheries </t>
  </si>
  <si>
    <t>Fire More of Cropping Activities Over grazing</t>
  </si>
  <si>
    <t>September August October July</t>
  </si>
  <si>
    <t>93c6665d-c0b6-47f2-8e6b-b71d642ac982</t>
  </si>
  <si>
    <t xml:space="preserve">Kaluwe Mwaka </t>
  </si>
  <si>
    <t>Akalubelwa Chinganda</t>
  </si>
  <si>
    <t>0950990739</t>
  </si>
  <si>
    <t>311816/82/1</t>
  </si>
  <si>
    <t xml:space="preserve">Tungi,  Malabo </t>
  </si>
  <si>
    <t>-15.2938366 23.0346281 1022.5543212890625 3.805</t>
  </si>
  <si>
    <t>N/A</t>
  </si>
  <si>
    <t>Crop Production Livestock Production Fishing</t>
  </si>
  <si>
    <t>Maize Pumpkins</t>
  </si>
  <si>
    <t>Maize 7 bags by 50kg</t>
  </si>
  <si>
    <t xml:space="preserve">Maize 15 bags by 50kg </t>
  </si>
  <si>
    <t>Maize Pumpkins Sweet Potatoes</t>
  </si>
  <si>
    <t>Pests and Diseases Drought Lack of capital</t>
  </si>
  <si>
    <t>Selling/Income generation Breeding Milk Production Manure production Plowing/Draught power</t>
  </si>
  <si>
    <t>CBPP (Maswafu) Anthrax (Lubete) Black Leg (Ngongola) Lumpy Skin Disease (Sikwekwe) Botulism (Kubama)</t>
  </si>
  <si>
    <t>Limited Market Knowledge Low Prices</t>
  </si>
  <si>
    <t>Over grazing Fire More of Cropping Activities</t>
  </si>
  <si>
    <t>Less Grass ( Volume) Less water More Unpalatable grasses</t>
  </si>
  <si>
    <t>ad703073-833c-44d1-bc64-ee3532d067c1</t>
  </si>
  <si>
    <t>Akufuna Kasimonq</t>
  </si>
  <si>
    <t>0954348651</t>
  </si>
  <si>
    <t>244566/82/1</t>
  </si>
  <si>
    <t>Tungi,  Liyeyi village Malabo</t>
  </si>
  <si>
    <t>-15.2970724 23.0320273 1027.560546875 4.878</t>
  </si>
  <si>
    <t>Fishing Livestock Production Crop Production</t>
  </si>
  <si>
    <t xml:space="preserve">Maize 12 bags by 50kgs </t>
  </si>
  <si>
    <t>Maize 19</t>
  </si>
  <si>
    <t>Maize Sweet Potatoes Pumpkins</t>
  </si>
  <si>
    <t>Dam/Lagoon</t>
  </si>
  <si>
    <t>Manure production Transportation Plowing/Draught power Selling/Income generation Milk Production</t>
  </si>
  <si>
    <t>Limited access to finance  Low Prices Inadequate Infrastructure</t>
  </si>
  <si>
    <t>Less Grass ( Volume) More Unpalatable grasses</t>
  </si>
  <si>
    <t>September October August</t>
  </si>
  <si>
    <t>87b52062-6940-45e5-9a65-be58fa46c54c</t>
  </si>
  <si>
    <t>Maimbolwa Mwangana</t>
  </si>
  <si>
    <t>0953980949</t>
  </si>
  <si>
    <t>277493/82/1</t>
  </si>
  <si>
    <t>Tungi, malabo</t>
  </si>
  <si>
    <t>-15.2970766 23.0320764 1023.94091796875 4.709</t>
  </si>
  <si>
    <t>Maize Rape Okra Pumpkins</t>
  </si>
  <si>
    <t>Maize 1 bags by 50kg</t>
  </si>
  <si>
    <t>Maize Tomatoes Onions  Rape Okra</t>
  </si>
  <si>
    <t>Manure production Plowing/Draught power Selling/Income generation</t>
  </si>
  <si>
    <t>CBPP (Maswafu) Botulism (Kubama) Lumpy Skin Disease (Sikwekwe)</t>
  </si>
  <si>
    <t>Low Prices Unreliable/Inconsistent Off-take Limited Market Knowledge</t>
  </si>
  <si>
    <t>Less Grass (Types) Less Grass ( Volume)</t>
  </si>
  <si>
    <t>9604e00c-f6ed-45db-9e22-8dcda0f7358a</t>
  </si>
  <si>
    <t xml:space="preserve">Simandi Pelekelo Chris </t>
  </si>
  <si>
    <t>0971823146</t>
  </si>
  <si>
    <t>245479/82/1</t>
  </si>
  <si>
    <t>Tungi</t>
  </si>
  <si>
    <t>-15.2970491 23.0320886 1020.762939453125 4.588</t>
  </si>
  <si>
    <t>Livestock Production Entrepreneurial Activities</t>
  </si>
  <si>
    <t xml:space="preserve">Maize 25 bags by 50kgs </t>
  </si>
  <si>
    <t>Maize 30 bags by 50 kgs</t>
  </si>
  <si>
    <t>Maize Sweet Potatoes</t>
  </si>
  <si>
    <t>Selling/Income generation Plowing/Draught power Milk Production Transportation</t>
  </si>
  <si>
    <t>CBPP (Maswafu) Botulism (Kubama) Black Leg (Ngongola)</t>
  </si>
  <si>
    <t>Inadequate Infrastructure Limited Market Knowledge</t>
  </si>
  <si>
    <t>c50d4155-18d3-42e2-af84-8679608d7056</t>
  </si>
  <si>
    <t>Wamulume Wamulume</t>
  </si>
  <si>
    <t>0770267946</t>
  </si>
  <si>
    <t>287046/82/1</t>
  </si>
  <si>
    <t xml:space="preserve">Tungi, Malabo munga village </t>
  </si>
  <si>
    <t>-15.3038648 23.0154465 1025.7509765625 4.742</t>
  </si>
  <si>
    <t>Fishing Crop Production</t>
  </si>
  <si>
    <t xml:space="preserve">Maize 10 bags by 50kgs </t>
  </si>
  <si>
    <t>Pests and Diseases Floods</t>
  </si>
  <si>
    <t>Selling/Income generation Manure production Milk Production Transportation</t>
  </si>
  <si>
    <t>Low Prices Inadequate Infrastructure</t>
  </si>
  <si>
    <t>c6faf602-1c23-46f0-a857-b74541ce4c6b</t>
  </si>
  <si>
    <t>Mutemwa Mukumbuta</t>
  </si>
  <si>
    <t>0750195934</t>
  </si>
  <si>
    <t>192993/82/1</t>
  </si>
  <si>
    <t xml:space="preserve">Tungi, Malabo Munga village </t>
  </si>
  <si>
    <t>-15.3038644 23.0154525 1030.1422119140625 4.533</t>
  </si>
  <si>
    <t>Maize 14 bags by 50kgs bag</t>
  </si>
  <si>
    <t>Selling/Income generation Milk Production Manure production</t>
  </si>
  <si>
    <t>Anaplasmosis (Nyoko) CBPP (Maswafu) Botulism (Kubama) Anthrax (Lubete)</t>
  </si>
  <si>
    <t>Low Prices Inadequate Infrastructure Limited Market Knowledge</t>
  </si>
  <si>
    <t>Less Grass ( Volume) More Unpalatable grasses More water</t>
  </si>
  <si>
    <t>6dae4bff-3076-401f-92d1-a9a26c7f2dae</t>
  </si>
  <si>
    <t>Lubinda Nosiku</t>
  </si>
  <si>
    <t>191015/82/1</t>
  </si>
  <si>
    <t xml:space="preserve">Tungi </t>
  </si>
  <si>
    <t>-15.2954672 23.0024283 1040.329345703125 10.61</t>
  </si>
  <si>
    <t>Manure production Plowing/Draught power Milk Production Selling/Income generation</t>
  </si>
  <si>
    <t>Anaplasmosis (Nyoko) CBPP (Maswafu)</t>
  </si>
  <si>
    <t>5e776c03-54ef-486e-847f-d06c2416aaa7</t>
  </si>
  <si>
    <t>Siyaisi Nosiku</t>
  </si>
  <si>
    <t>0971841482</t>
  </si>
  <si>
    <t>314715/82/1</t>
  </si>
  <si>
    <t>-15.295561 23.0026542 1026.7647705078125 4.038</t>
  </si>
  <si>
    <t>Selling/Income generation Manure production Milk Production Plowing/Draught power</t>
  </si>
  <si>
    <t>CBPP (Maswafu) Anaplasmosis (Nyoko) Botulism (Kubama) Black Leg (Ngongola)</t>
  </si>
  <si>
    <t>Fire More of Cropping Activities</t>
  </si>
  <si>
    <t>4f9cca0a-eafc-4ebe-b5cc-d89f41ba860e</t>
  </si>
  <si>
    <t>0976928126</t>
  </si>
  <si>
    <t>301704/82/1</t>
  </si>
  <si>
    <t>-15.4768767 23.1530517 1032.0 4.7</t>
  </si>
  <si>
    <t>Maize 40 bags/ K510 per bag</t>
  </si>
  <si>
    <t>Maize 60 bags / K510 per bag</t>
  </si>
  <si>
    <t>River</t>
  </si>
  <si>
    <t>Milk Production Manure production Selling/Income generation Transportation</t>
  </si>
  <si>
    <t>Yes, on a schedule</t>
  </si>
  <si>
    <t>CBPP (Maswafu) Anthrax (Lubete) Botulism (Kubama) Black Leg (Ngongola)</t>
  </si>
  <si>
    <t>July August September October</t>
  </si>
  <si>
    <t>ba491bf1-870b-4632-b97a-7f75ee44e04f</t>
  </si>
  <si>
    <t>Lubinda Lubinda</t>
  </si>
  <si>
    <t>0770862332</t>
  </si>
  <si>
    <t>281151/83/1</t>
  </si>
  <si>
    <t>Sambiana</t>
  </si>
  <si>
    <t>-15.4710967 23.1673317 1012.6 4.32</t>
  </si>
  <si>
    <t>Rice 12 bags/ K450 per bag</t>
  </si>
  <si>
    <t>Manure production Plowing/Draught power Transportation</t>
  </si>
  <si>
    <t>Lack of Transportation Low Prices</t>
  </si>
  <si>
    <t>Less Grass (Types) More Unpalatable grasses</t>
  </si>
  <si>
    <t>490e89b2-d85b-4e20-9596-17c15825d616</t>
  </si>
  <si>
    <t>0774193075</t>
  </si>
  <si>
    <t>135122/82/1</t>
  </si>
  <si>
    <t xml:space="preserve">Sambiana </t>
  </si>
  <si>
    <t>-15.47299 23.1693533 1020.1 4.7</t>
  </si>
  <si>
    <t>Rice 5 bags
Maize 4 bags</t>
  </si>
  <si>
    <t>Pests and Diseases Drought Limited Extension Services</t>
  </si>
  <si>
    <t>Foot and Mouth (Mulomo ni taku) CBPP (Maswafu) Botulism (Kubama) Anaplasmosis (Nyoko)</t>
  </si>
  <si>
    <t>Less Grass ( Volume) Less Grass (Types) More Unpalatable grasses</t>
  </si>
  <si>
    <t>e16b2e00-399f-424d-8992-c336ff0101b6</t>
  </si>
  <si>
    <t>Nosiku namushi</t>
  </si>
  <si>
    <t>0761994618</t>
  </si>
  <si>
    <t>161842/84/1</t>
  </si>
  <si>
    <t>Tungi/nambulu village</t>
  </si>
  <si>
    <t>Chief livumbu</t>
  </si>
  <si>
    <t>-15.2691285 23.1134446 0.0 2799.999</t>
  </si>
  <si>
    <t>Cabbage</t>
  </si>
  <si>
    <t>20 bags of k50 at k250 per bag</t>
  </si>
  <si>
    <t>Yes, Solar Powered Irrigation</t>
  </si>
  <si>
    <t>Knowledge Gap Pests and Diseases Limited Extension Services</t>
  </si>
  <si>
    <t>Milk Production Selling/Income generation Manure production</t>
  </si>
  <si>
    <t>Anaplasmosis (Nyoko) CBPP (Maswafu) Eye Infections/Pink Eye (Butuku bwa meto) Anthrax (Lubete) Black Leg (Ngongola)</t>
  </si>
  <si>
    <t>CBPP (Maswafu) Anthrax (Lubete) Black Leg (Ngongola)</t>
  </si>
  <si>
    <t>725c19b0-63a4-4bef-a8d8-4ce7a0be0760</t>
  </si>
  <si>
    <t>Mwangala liomba</t>
  </si>
  <si>
    <t>0977429941</t>
  </si>
  <si>
    <t>173260/83/1</t>
  </si>
  <si>
    <t>Tungi/lilundu village</t>
  </si>
  <si>
    <t>Sole ownership with government certification papers</t>
  </si>
  <si>
    <t>Entrepreneurial Activities Crop Production</t>
  </si>
  <si>
    <t xml:space="preserve">Maize Soya Beans </t>
  </si>
  <si>
    <t>74 bags of 50kg at k700 per bag</t>
  </si>
  <si>
    <t>750 bags (50kg) at k340</t>
  </si>
  <si>
    <t>Maize Rape</t>
  </si>
  <si>
    <t>High cost of inputs (fertilizers, pesticides) Pests and Diseases Limited Extension Services</t>
  </si>
  <si>
    <t>Anthrax (Lubete) CBPP (Maswafu) Black Leg (Ngongola) Botulism (Kubama)</t>
  </si>
  <si>
    <t>Limited access to finance Low Prices Geographical Isolation</t>
  </si>
  <si>
    <t>Less Grass ( Volume) More Grass (Volume) More Grass (Types)</t>
  </si>
  <si>
    <t>453d1f63-4712-4d60-9037-56c5d6c84612</t>
  </si>
  <si>
    <t>Walubita ndui</t>
  </si>
  <si>
    <t>0979765818</t>
  </si>
  <si>
    <t>221682/82/1</t>
  </si>
  <si>
    <t>Tungi/nalongo village</t>
  </si>
  <si>
    <t>Chief libumbo</t>
  </si>
  <si>
    <t>Cabbage Other</t>
  </si>
  <si>
    <t>Egg plants and garden eggs</t>
  </si>
  <si>
    <t>100 bags of 50kg at 180 per bag</t>
  </si>
  <si>
    <t>Yes, Petrol Powered Irrigation</t>
  </si>
  <si>
    <t>Manure production Milk Production Selling/Income generation</t>
  </si>
  <si>
    <t>Foot and Mouth (Mulomo ni taku) Botulism (Kubama) Anaplasmosis (Nyoko)</t>
  </si>
  <si>
    <t>Limited access to finance Low Prices Lack of Transportation</t>
  </si>
  <si>
    <t xml:space="preserve">Inadequate Infrastructure Low Prices Limited access to finance </t>
  </si>
  <si>
    <t>Less Grass ( Volume) More Grass (Volume)</t>
  </si>
  <si>
    <t>8baf1d84-27bb-4b3c-8133-2d15f30441bf</t>
  </si>
  <si>
    <t>Patrick mwalusi kulobone</t>
  </si>
  <si>
    <t>0972552031</t>
  </si>
  <si>
    <t>178393/82/1</t>
  </si>
  <si>
    <t>Tungi/lipuluti village</t>
  </si>
  <si>
    <t>Okra Other</t>
  </si>
  <si>
    <t>8 bags of 50kg at k400 per bag</t>
  </si>
  <si>
    <t>Pests and Diseases Limited Extension Services Other</t>
  </si>
  <si>
    <t>Lack of Transportation Limited Market Knowledge Low Prices</t>
  </si>
  <si>
    <t>January</t>
  </si>
  <si>
    <t>2481bf4e-b8ca-468e-8341-60b5ef366f7f</t>
  </si>
  <si>
    <t>Saboi ndui</t>
  </si>
  <si>
    <t>0976009036</t>
  </si>
  <si>
    <t>384725/82/1</t>
  </si>
  <si>
    <t>Chief Libumbu</t>
  </si>
  <si>
    <t xml:space="preserve">Cabbage Tomatoes Rape Onions </t>
  </si>
  <si>
    <t>10bags of 50kg at 200 per bag</t>
  </si>
  <si>
    <t>High cost of inputs (fertilizers, pesticides) Limited access to farming inputs Pests and Diseases</t>
  </si>
  <si>
    <t>June July</t>
  </si>
  <si>
    <t>1d7e3728-61ed-40b1-9163-74a21626a229</t>
  </si>
  <si>
    <t>Mwimanenwa liswaniso</t>
  </si>
  <si>
    <t>0976728176</t>
  </si>
  <si>
    <t>248028/82/1</t>
  </si>
  <si>
    <t>Okra Rape</t>
  </si>
  <si>
    <t>Pests and Diseases Lack of capital Drought High temperatures</t>
  </si>
  <si>
    <t>Low Prices Limited access to finance Limited Market Knowledge Unreliable/Inconsistent Off-take</t>
  </si>
  <si>
    <t>557c5d2f-f1ff-4fb1-8720-e4ec9bd64d2a</t>
  </si>
  <si>
    <t>Makisa Mubika</t>
  </si>
  <si>
    <t>0750660820</t>
  </si>
  <si>
    <t>394103/82/1</t>
  </si>
  <si>
    <t>Tungi/suuka village</t>
  </si>
  <si>
    <t>Garden eggs</t>
  </si>
  <si>
    <t>26 bags of 50kg at k350 per bag</t>
  </si>
  <si>
    <t>Cassava Sweet Potatoes Maize</t>
  </si>
  <si>
    <t>Pests and Diseases Limited access to farming inputs Poor soil fertility</t>
  </si>
  <si>
    <t>Lack of Transportation Low Prices Unreliable/Inconsistent Off-take Limited Market Knowledge</t>
  </si>
  <si>
    <t>November  October</t>
  </si>
  <si>
    <t>3fe2451f-f692-4c4f-b918-1b70a0861e1c</t>
  </si>
  <si>
    <t>Mwandamena mwikisa</t>
  </si>
  <si>
    <t>0972704382</t>
  </si>
  <si>
    <t>283477/82/1</t>
  </si>
  <si>
    <t>Tungi/utoya village</t>
  </si>
  <si>
    <t>K2500</t>
  </si>
  <si>
    <t>Okra Rape Other</t>
  </si>
  <si>
    <t>40 bags of 50kg at 250 per bag</t>
  </si>
  <si>
    <t>Rape Okra</t>
  </si>
  <si>
    <t>Breeding Milk Production</t>
  </si>
  <si>
    <t>CBPP (Maswafu) Anaplasmosis (Nyoko) Anthrax (Lubete)</t>
  </si>
  <si>
    <t>More Grass (Types) More Grass (Volume)</t>
  </si>
  <si>
    <t xml:space="preserve">October November </t>
  </si>
  <si>
    <t>e940c9b5-7406-400b-9777-1518ea187ba0</t>
  </si>
  <si>
    <t>Monde mutemwa</t>
  </si>
  <si>
    <t>0773737342</t>
  </si>
  <si>
    <t>388207/82/1</t>
  </si>
  <si>
    <t>Okra Rape Other Maize</t>
  </si>
  <si>
    <t>10 bags of 50kg at k250</t>
  </si>
  <si>
    <t>Egg plants</t>
  </si>
  <si>
    <t>Pests and Diseases Limited access to farming inputs Drought</t>
  </si>
  <si>
    <t>Low Prices Lack of Transportation Unreliable/Inconsistent Off-take</t>
  </si>
  <si>
    <t>fe0e8966-efed-467b-af55-ea9b5a52c9fa</t>
  </si>
  <si>
    <t>Songiso liswaniso</t>
  </si>
  <si>
    <t>0978872569</t>
  </si>
  <si>
    <t>261378/82/1</t>
  </si>
  <si>
    <t>Hibiscus Saddariffa (Sindambi) Okra Rape Other</t>
  </si>
  <si>
    <t>7 bags of 50kg at k300 per bag</t>
  </si>
  <si>
    <t>Pests and Diseases Limited access to farming inputs High cost of inputs (fertilizers, pesticides)</t>
  </si>
  <si>
    <t>Low Prices Lack of Transportation Limited access to finance</t>
  </si>
  <si>
    <t>48406880-3206-4682-b576-8bb557669747</t>
  </si>
  <si>
    <t>Mwauluka mubita</t>
  </si>
  <si>
    <t>0972341003</t>
  </si>
  <si>
    <t>241165/82/1</t>
  </si>
  <si>
    <t>Tomatoes Onions  Maize</t>
  </si>
  <si>
    <t>15 bags of 50kg at k500 per bag</t>
  </si>
  <si>
    <t>20 bags of 50kg at k450 per bag</t>
  </si>
  <si>
    <t>Maize Sweet Potatoes Tomatoes Other</t>
  </si>
  <si>
    <t>High cost of inputs (fertilizers, pesticides) Pests and Diseases Limited access to farming inputs</t>
  </si>
  <si>
    <t>Low Prices Lack of Transportation Unreliable/Inconsistent Off-take Limited Market Knowledge</t>
  </si>
  <si>
    <t>544fc86b-9429-44e7-873d-37c10d209e34</t>
  </si>
  <si>
    <t>Matakala liswaniso</t>
  </si>
  <si>
    <t>0972556501</t>
  </si>
  <si>
    <t>27753782/1</t>
  </si>
  <si>
    <t>Okra Rape Hibiscus Saddariffa (Sindambi)</t>
  </si>
  <si>
    <t>20 bags of 50kg at k400 per bag</t>
  </si>
  <si>
    <t>Rape</t>
  </si>
  <si>
    <t>Milk Production</t>
  </si>
  <si>
    <t>Anaplasmosis (Nyoko) Botulism (Kubama) CBPP (Maswafu) Anthrax (Lubete)</t>
  </si>
  <si>
    <t>More water Less Grass (Types) More Grass (Volume)</t>
  </si>
  <si>
    <t>559c4263-2900-4c04-8794-0823fb64be6f</t>
  </si>
  <si>
    <t>Situmbeko situmbeko</t>
  </si>
  <si>
    <t>0974422134</t>
  </si>
  <si>
    <t>384713/82/1</t>
  </si>
  <si>
    <t>Tungi/nalumino village</t>
  </si>
  <si>
    <t>Cabbage Tomatoes</t>
  </si>
  <si>
    <t>120 bags of 50kg at k150 per bag</t>
  </si>
  <si>
    <t>Maize Rice Cabbage Rape Other Chinese Cabbage</t>
  </si>
  <si>
    <t>Green pepper and garden eggs</t>
  </si>
  <si>
    <t>Selling/Income generation Manure production Milk Production</t>
  </si>
  <si>
    <t>Anthrax (Lubete) CBPP (Maswafu) Botulism (Kubama) Anaplasmosis (Nyoko)</t>
  </si>
  <si>
    <t>38e2875b-f124-433c-b3f8-a03802bc9c21</t>
  </si>
  <si>
    <t>Liswaniso Liswaniso</t>
  </si>
  <si>
    <t>0977889719</t>
  </si>
  <si>
    <t>332342/82/1</t>
  </si>
  <si>
    <t>Tungi/lipuluti</t>
  </si>
  <si>
    <t>Milk Production Manure production Selling/Income generation</t>
  </si>
  <si>
    <t>Lumpy Skin Disease (Sikwekwe) Foot and Mouth (Mulomo ni taku) CBPP (Maswafu) Anaplasmosis (Nyoko)</t>
  </si>
  <si>
    <t>CBPP (Maswafu) Foot and Mouth (Mulomo ni litako) Lumpy Skin Disease (Sikwekwe)</t>
  </si>
  <si>
    <t>fb89d231-8059-4889-a550-fbe4c5713915</t>
  </si>
  <si>
    <t>Ndui kunolu</t>
  </si>
  <si>
    <t>0957141542</t>
  </si>
  <si>
    <t>312675/82/1</t>
  </si>
  <si>
    <t>9 bags 50kg at k300 per bag</t>
  </si>
  <si>
    <t>Okra Hibiscus Saddariffa (Sindambi) Rape</t>
  </si>
  <si>
    <t>Limited access to farming inputs Pests and Diseases High cost of inputs (fertilizers, pesticides)</t>
  </si>
  <si>
    <t>Pigs Poultry</t>
  </si>
  <si>
    <t>Low Prices Lack of Transportation Limited Market Knowledge Limited access to finance</t>
  </si>
  <si>
    <t>Less fertile soils</t>
  </si>
  <si>
    <t>62614ae8-efb1-498c-83c9-e8c351e5a252</t>
  </si>
  <si>
    <t>Akatongokwa Sipalo</t>
  </si>
  <si>
    <t>0977469561</t>
  </si>
  <si>
    <t>253874/82/1</t>
  </si>
  <si>
    <t>Tungi/namuke village</t>
  </si>
  <si>
    <t>Cabbage Tomatoes Maize</t>
  </si>
  <si>
    <t>30bags of 50kg at k600 per bag</t>
  </si>
  <si>
    <t>Pests and Diseases Limited access to farming inputs High cost of inputs (fertilizers, pesticides) Drought</t>
  </si>
  <si>
    <t>Selling/Income generation Manure production Meat Production</t>
  </si>
  <si>
    <t>CBPP (Maswafu) Botulism (Kubama)</t>
  </si>
  <si>
    <t>Lack of Transportation Unreliable/Inconsistent Off-take Limited Market Knowledge</t>
  </si>
  <si>
    <t>1a5d6ddf-19c0-4f90-9b31-68ad3c35b8ae</t>
  </si>
  <si>
    <t>Pumulo lubinda</t>
  </si>
  <si>
    <t>0954843472</t>
  </si>
  <si>
    <t>406592/82/1</t>
  </si>
  <si>
    <t>Okra</t>
  </si>
  <si>
    <t>1 bag of 25kg at k200</t>
  </si>
  <si>
    <t>Limited access to water sources</t>
  </si>
  <si>
    <t>Less fertile soils More erosion More water</t>
  </si>
  <si>
    <t>5b60308f-76bc-4863-bbf2-9eef3e554e48</t>
  </si>
  <si>
    <t>Balele mwimanenwa</t>
  </si>
  <si>
    <t>0968724048</t>
  </si>
  <si>
    <t>357265/82/1</t>
  </si>
  <si>
    <t>Selling/Income generation Manure production</t>
  </si>
  <si>
    <t>Anaplasmosis (Nyoko) Lumpy Skin Disease (Sikwekwe) Foot and Mouth (Mulomo ni taku) Botulism (Kubama) CBPP (Maswafu)</t>
  </si>
  <si>
    <t>CBPP (Maswafu) Foot and Mouth (Mulomo ni litako) Botulism (Kubama)</t>
  </si>
  <si>
    <t>Lack of Transportation Low Prices Inadequate Infrastructure</t>
  </si>
  <si>
    <t>Fire Limited access to water sources Over grazing</t>
  </si>
  <si>
    <t>82a24cb8-3ea6-4c08-afd4-75e3ceb3d61a</t>
  </si>
  <si>
    <t>Liywali liswaniso</t>
  </si>
  <si>
    <t>0955519078</t>
  </si>
  <si>
    <t>248243/82/1</t>
  </si>
  <si>
    <t>Tungi/Namuke village</t>
  </si>
  <si>
    <t>Maize Tomatoes Cabbage</t>
  </si>
  <si>
    <t>20 bags (50kg)at k350 per bag</t>
  </si>
  <si>
    <t>10 bags (50kg) at k340 per bag</t>
  </si>
  <si>
    <t>Other Rape Cabbage</t>
  </si>
  <si>
    <t>Pests and Diseases High cost of inputs (fertilizers, pesticides) Limited access to farming inputs</t>
  </si>
  <si>
    <t>046d097c-2167-4610-870b-b51b87deb478</t>
  </si>
  <si>
    <t xml:space="preserve">Golden Mweemba Ng'andu </t>
  </si>
  <si>
    <t>Tukuulu Muyumbana</t>
  </si>
  <si>
    <t>0952223390</t>
  </si>
  <si>
    <t>274117/82/1</t>
  </si>
  <si>
    <t>-15.4675983 23.2201533 1078.6 4.683</t>
  </si>
  <si>
    <t>Livestock Production Entrepreneurial Activities Other</t>
  </si>
  <si>
    <t xml:space="preserve">Gardening </t>
  </si>
  <si>
    <t>Rice Tomatoes Rape</t>
  </si>
  <si>
    <t>Rice 4 x 50 kg x k450
Maize 1x25 kg x k 200
Rape/Tomatoes   K 1000</t>
  </si>
  <si>
    <t xml:space="preserve">Rice 50 x 50kg k450 
</t>
  </si>
  <si>
    <t>Maize Rice Tomatoes Rape Cassava</t>
  </si>
  <si>
    <t>Manure production Plowing/Draught power Selling/Income generation Milk Production Transportation</t>
  </si>
  <si>
    <t>Foot and Mouth (Mulomo ni litako) CBPP (Maswafu) Anthrax (Lubete)</t>
  </si>
  <si>
    <t xml:space="preserve">Predominance of Intermediaries Low Prices Lack of linkages  </t>
  </si>
  <si>
    <t>December January February March April</t>
  </si>
  <si>
    <t>Fire Over grazing More Unpalatable grasses More of Cropping Activities</t>
  </si>
  <si>
    <t>More Grass (Volume) Less fertile soils More water</t>
  </si>
  <si>
    <t>5d5cf25d-3a66-47a5-8267-ae3de3014c50</t>
  </si>
  <si>
    <t>Kumoyo Mulonda</t>
  </si>
  <si>
    <t>0972705354</t>
  </si>
  <si>
    <t>317742/82/1</t>
  </si>
  <si>
    <t>-15.4675867 23.2202583 1004.0 4.666</t>
  </si>
  <si>
    <t>Entrepreneurial Activities Livestock Production</t>
  </si>
  <si>
    <t xml:space="preserve">Rice 5 x 50kg kept for seed
Maize 6 x 50kg for consumption </t>
  </si>
  <si>
    <t xml:space="preserve">Rice 50 x 50 kg x k500 
Maize 12 x 50kg for consumption </t>
  </si>
  <si>
    <t>Limited Market Knowledge Lack of linkages   Low Prices</t>
  </si>
  <si>
    <t>Predominance of Intermediaries Lack of Transportation Low Prices</t>
  </si>
  <si>
    <t>Over grazing More of Cropping Activities Fire More Unpalatable grasses</t>
  </si>
  <si>
    <t>More Grass (Volume) More water More fertile soils More Grass (Types)</t>
  </si>
  <si>
    <t>2baa5460-5c16-4dd1-8c9f-b2868c256620</t>
  </si>
  <si>
    <t>Micheal Mashebe Sepiso</t>
  </si>
  <si>
    <t>0972306995</t>
  </si>
  <si>
    <t>209942/82/1</t>
  </si>
  <si>
    <t xml:space="preserve">Namutwi/ Silishebo </t>
  </si>
  <si>
    <t>-15.467625 23.220095 1023.4 3.44</t>
  </si>
  <si>
    <t>SWAC and CAC</t>
  </si>
  <si>
    <t>Livestock Production Other</t>
  </si>
  <si>
    <t xml:space="preserve">Plowing for others </t>
  </si>
  <si>
    <t>Rice Rape Tomatoes Onions  Chinese Cabbage</t>
  </si>
  <si>
    <t xml:space="preserve">Rice 4 x 50kg x k350 
Maize 15 x 50kg for consumption </t>
  </si>
  <si>
    <t xml:space="preserve">Maize 8 x 50kg for consumption 
Rice 38 x 50kg x k500 </t>
  </si>
  <si>
    <t>Maize Rice Cassava Tomatoes Rape</t>
  </si>
  <si>
    <t>Limited access to farming inputs Pests and Diseases Knowledge Gap</t>
  </si>
  <si>
    <t>Selling/Income generation Plowing/Draught power Transportation Manure production Milk Production</t>
  </si>
  <si>
    <t>Low Prices Geographical Isolation Limited Market Knowledge</t>
  </si>
  <si>
    <t xml:space="preserve">Low Prices Predominance of Intermediaries Limited access to finance </t>
  </si>
  <si>
    <t>Over grazing Limited access to water sources Fire More of Cropping Activities</t>
  </si>
  <si>
    <t>More Grass (Volume) More water More fertile soils</t>
  </si>
  <si>
    <t>b64c5ce5-4b10-4ebf-a218-e51961446dd3</t>
  </si>
  <si>
    <t>0979903179</t>
  </si>
  <si>
    <t xml:space="preserve">Institute </t>
  </si>
  <si>
    <t>-15.4401167 23.2165033 1038.6 4.5</t>
  </si>
  <si>
    <t>Crop Production Livestock Production Other</t>
  </si>
  <si>
    <t xml:space="preserve">Rice polishing machine </t>
  </si>
  <si>
    <t>Crops Production     Livestock Production Tree Crops (Agroforestry)</t>
  </si>
  <si>
    <t>Rice Rape Chinese Cabbage</t>
  </si>
  <si>
    <t xml:space="preserve">Rice 72 x 50kg x k600 </t>
  </si>
  <si>
    <t>Rice 113 x 50kg x k550</t>
  </si>
  <si>
    <t>Tomatoes Rape Chinese Cabbage</t>
  </si>
  <si>
    <t>Plowing/Draught power Milk Production Manure production Selling/Income generation</t>
  </si>
  <si>
    <t>Other (Please Specify) Lack of capital Limited grazing areas</t>
  </si>
  <si>
    <t>Over grazing Fire More Unpalatable grasses</t>
  </si>
  <si>
    <t>More Grass (Volume) More Grass (Types) More water</t>
  </si>
  <si>
    <t>Hunt small animals To let grass regrow</t>
  </si>
  <si>
    <t>7a417785-38bd-412c-be1c-33d7adc6bc75</t>
  </si>
  <si>
    <t xml:space="preserve">Anayawa Silume </t>
  </si>
  <si>
    <t>0975171275</t>
  </si>
  <si>
    <t>295957/82/1</t>
  </si>
  <si>
    <t xml:space="preserve">Tungi/Lubyau </t>
  </si>
  <si>
    <t>Libumbu/Wasamunu</t>
  </si>
  <si>
    <t>-15.3278333 23.04004 1023.3 4.9</t>
  </si>
  <si>
    <t xml:space="preserve">Maize 30 x 50kg  for consumption only. </t>
  </si>
  <si>
    <t>Maize 45 x 50kg x k400</t>
  </si>
  <si>
    <t>Maize Sweet Potatoes Tomatoes Rape Chinese Cabbage</t>
  </si>
  <si>
    <t>Botulism (Kubama) Foot and Mouth (Mulomo ni litako) CBPP (Maswafu) Anthrax (Lubete)</t>
  </si>
  <si>
    <t>Low Prices Geographical Isolation Lack of Transportation</t>
  </si>
  <si>
    <t>Fire More of Cropping Activities Over grazing More Unpalatable grasses</t>
  </si>
  <si>
    <t>More Grass (Volume) More Grass (Types) More fertile soils More water</t>
  </si>
  <si>
    <t>Other (Please Specify) For fish nets placing To let grass regrow</t>
  </si>
  <si>
    <t xml:space="preserve">August September October November </t>
  </si>
  <si>
    <t>1cce1cb9-ee7f-4734-b7f3-33eca0d0f48d</t>
  </si>
  <si>
    <t xml:space="preserve">Yusiku  Silume </t>
  </si>
  <si>
    <t>0953350959</t>
  </si>
  <si>
    <t>Libumbu/ Wasamunu</t>
  </si>
  <si>
    <t>-15.3278133 23.039985 1014.5 4.22</t>
  </si>
  <si>
    <t xml:space="preserve">Maize 22 x 50kg for consumption only </t>
  </si>
  <si>
    <t xml:space="preserve">Maize 9 x 50kg for consumption only </t>
  </si>
  <si>
    <t>Yes, Diesel Powered Irrigation</t>
  </si>
  <si>
    <t>Drought Floods High cost of inputs (fertilizers, pesticides)</t>
  </si>
  <si>
    <t>CBPP (Maswafu) Foot and Mouth (Mulomo ni litako) Black Leg (Ngongola) Anthrax (Lubete)</t>
  </si>
  <si>
    <t>Over grazing More of Cropping Activities Fire Limited access to water sources</t>
  </si>
  <si>
    <t>More Grass (Volume) More water More erosion</t>
  </si>
  <si>
    <t>To let grass regrow Traditional Practice For fish nets placing</t>
  </si>
  <si>
    <t>13c45883-5a8e-4d60-9140-516fb79ad263</t>
  </si>
  <si>
    <t>Samutumwa Mundia</t>
  </si>
  <si>
    <t>0963243739</t>
  </si>
  <si>
    <t>291422/82/1</t>
  </si>
  <si>
    <t>Tungi/Noki</t>
  </si>
  <si>
    <t>Namutwi/Muwana</t>
  </si>
  <si>
    <t>-15.3386183 23.0332967 1042.0 4.283</t>
  </si>
  <si>
    <t xml:space="preserve">Nyungano saving group </t>
  </si>
  <si>
    <t xml:space="preserve">Maize 0 due to drought </t>
  </si>
  <si>
    <t xml:space="preserve">Maize 10 x 50kg x k450 </t>
  </si>
  <si>
    <t>Pigs Goats Poultry</t>
  </si>
  <si>
    <t>More of Cropping Activities Fire</t>
  </si>
  <si>
    <t>January December</t>
  </si>
  <si>
    <t>1a74a2a5-9ab4-4f1d-b721-98f3de34909f</t>
  </si>
  <si>
    <t>Inambao Mufungulwa</t>
  </si>
  <si>
    <t>0977454995</t>
  </si>
  <si>
    <t>223068/82/1</t>
  </si>
  <si>
    <t>Tungi/Namuke</t>
  </si>
  <si>
    <t>Libumbu/Kakema</t>
  </si>
  <si>
    <t>-15.2762833 23.03512 1033.7 4.95</t>
  </si>
  <si>
    <t xml:space="preserve">Maize 35 x 50kg x k300
</t>
  </si>
  <si>
    <t>Maize 78 x 50kg x k500</t>
  </si>
  <si>
    <t>Maize Pumpkins Other</t>
  </si>
  <si>
    <t xml:space="preserve">Watermelon </t>
  </si>
  <si>
    <t>Maize Salt Other</t>
  </si>
  <si>
    <t>Low Prices Lack of Transportation Predominance of Intermediaries</t>
  </si>
  <si>
    <t>Low Prices Predominance of Intermediaries Unreliable/Inconsistent Off-take</t>
  </si>
  <si>
    <t xml:space="preserve">Fully implemented   </t>
  </si>
  <si>
    <t>January February March April May June</t>
  </si>
  <si>
    <t>July August September October Novemeber December</t>
  </si>
  <si>
    <t>Fire More of Cropping Activities More Unpalatable grasses</t>
  </si>
  <si>
    <t>More water More fertile soils More Grass (Volume) More Grass (Types)</t>
  </si>
  <si>
    <t>July August</t>
  </si>
  <si>
    <t>a798da1d-ed0a-48ef-9d4b-65950d995a3e</t>
  </si>
  <si>
    <t>Inyambao Namonda</t>
  </si>
  <si>
    <t>0764959200</t>
  </si>
  <si>
    <t>269589/82/1</t>
  </si>
  <si>
    <t>Tungi/Nalongo</t>
  </si>
  <si>
    <t>Libumbu/Mukape</t>
  </si>
  <si>
    <t>-15.2761883 23.0352133 1042.0 4.74</t>
  </si>
  <si>
    <t>Rape Cabbage Tomatoes Okra</t>
  </si>
  <si>
    <t xml:space="preserve">Maize 12 x 50kg for consumption only 
</t>
  </si>
  <si>
    <t xml:space="preserve">Maize 8 x 50kg  for consumption only 
Cabbage 
Tomatoes </t>
  </si>
  <si>
    <t>Over grazing More of Cropping Activities Fire</t>
  </si>
  <si>
    <t>More Grass (Volume) More Grass (Types) More Unpalatable grasses More fertile soils More water</t>
  </si>
  <si>
    <t>ea428eea-56de-4e37-a506-99c43ec9460f</t>
  </si>
  <si>
    <t>Golden Ngandu Mweemba</t>
  </si>
  <si>
    <t>Nefuno Likando</t>
  </si>
  <si>
    <t>0976033232</t>
  </si>
  <si>
    <t>134963/82/1</t>
  </si>
  <si>
    <t>Tungi/Lutiyo</t>
  </si>
  <si>
    <t>Munono/Likando</t>
  </si>
  <si>
    <t>-15.3277785 23.0400264 1037.150390625 4.623</t>
  </si>
  <si>
    <t xml:space="preserve">Multipurpose  cooperative </t>
  </si>
  <si>
    <t>Crop Production Entrepreneurial Activities</t>
  </si>
  <si>
    <t>Rice 20 x 50kg to be used for consumption 
Maize 25 x 50kg x k350</t>
  </si>
  <si>
    <t>Manure production Milk Production Selling/Income generation Plowing/Draught power Transportation</t>
  </si>
  <si>
    <t>CBPP (Maswafu) Foot and Mouth (Mulomo ni litako) Anthrax (Lubete) Black Leg (Ngongola) Lumpy Skin Disease (Sikwekwe)</t>
  </si>
  <si>
    <t>Lack of Transportation Geographical Isolation Low Prices</t>
  </si>
  <si>
    <t>February March April May June</t>
  </si>
  <si>
    <t>August September October Novemeber</t>
  </si>
  <si>
    <t>More of Cropping Activities Limited access to water sources Fire</t>
  </si>
  <si>
    <t>Other (Please Specify) Hunt small animals For fish nets placing To let grass regrow</t>
  </si>
  <si>
    <t>August July September October</t>
  </si>
  <si>
    <t>61db7f31-d0c7-4332-860e-c4e55a9a6220</t>
  </si>
  <si>
    <t>Golden Mweemba Ngandu</t>
  </si>
  <si>
    <t>Wamulungwe Mundia</t>
  </si>
  <si>
    <t>0768378447</t>
  </si>
  <si>
    <t>371649/82/1</t>
  </si>
  <si>
    <t>Tungi/ Imuba</t>
  </si>
  <si>
    <t>Libumbu/mwitelela</t>
  </si>
  <si>
    <t>-15.3277724 23.0400493 1037.150390625 4.05</t>
  </si>
  <si>
    <t>Maize 6 x 50kg  for consumption only</t>
  </si>
  <si>
    <t xml:space="preserve">Maize 15 x 50kg for consumption only </t>
  </si>
  <si>
    <t>Maize Rape Tomatoes Chinese Cabbage</t>
  </si>
  <si>
    <t>CBPP (Maswafu) Foot and Mouth (Mulomo ni litako) Anthrax (Lubete) Botulism (Kubama)</t>
  </si>
  <si>
    <t>To let grass regrow For fish nets placing Other (Please Specify) Hunt small animals</t>
  </si>
  <si>
    <t>fdb1e239-765f-4319-b8e5-7f8c9546f8d0</t>
  </si>
  <si>
    <t xml:space="preserve">Golden Mweemba Ngandu </t>
  </si>
  <si>
    <t>Litungi Ngenda</t>
  </si>
  <si>
    <t>0975982552</t>
  </si>
  <si>
    <t>291622/82/1</t>
  </si>
  <si>
    <t>Namutwi/muwana</t>
  </si>
  <si>
    <t>-15.3385861 23.0334175 1019.981689453125 4.738</t>
  </si>
  <si>
    <t>Yes, Other Yes, Farming Cooperative</t>
  </si>
  <si>
    <t>Nyungano savings group</t>
  </si>
  <si>
    <t>Maize 12.5 x 50kg x k450</t>
  </si>
  <si>
    <t>CBPP (Maswafu) Foot and Mouth (Mulomo ni litako) Botulism (Kubama) Black Leg (Ngongola)</t>
  </si>
  <si>
    <t>July August September Novemeber October</t>
  </si>
  <si>
    <t>More Grass (Volume) More Grass (Types) More Unpalatable grasses More water</t>
  </si>
  <si>
    <t>To let grass regrow For fish nets placing Traditional Practice</t>
  </si>
  <si>
    <t>7f79bcef-47fa-4303-90dc-8f2ab096f14a</t>
  </si>
  <si>
    <t>Danny katete</t>
  </si>
  <si>
    <t>0973448032</t>
  </si>
  <si>
    <t>313087/82/1</t>
  </si>
  <si>
    <t>Tungi/Namangu</t>
  </si>
  <si>
    <t>Libumbu/Simakumba</t>
  </si>
  <si>
    <t>-15.2762502 23.0352811 1009.599365234375 4.817</t>
  </si>
  <si>
    <t>Tomatoes Maize Rice Cabbage Okra Other</t>
  </si>
  <si>
    <t xml:space="preserve">Green pepper </t>
  </si>
  <si>
    <t>Maize 8 x 50kg for consumption only 
Rice 15 x 50kg x k400</t>
  </si>
  <si>
    <t xml:space="preserve">Maize 20 x 50kg for consumption only 
</t>
  </si>
  <si>
    <t>Maize Rice Rape Cabbage Tomatoes Okra Other</t>
  </si>
  <si>
    <t>Other Molasses Salt</t>
  </si>
  <si>
    <t>More of Cropping Activities Fire More Unpalatable grasses</t>
  </si>
  <si>
    <t>6db4406f-46c7-4c73-a503-7e835b42e342</t>
  </si>
  <si>
    <t>Lubono Bemba</t>
  </si>
  <si>
    <t>0979025996</t>
  </si>
  <si>
    <t>173823/82/1</t>
  </si>
  <si>
    <t xml:space="preserve">Tungi vet camp &amp; Lubiao </t>
  </si>
  <si>
    <t xml:space="preserve">Wasamunono/Likando </t>
  </si>
  <si>
    <t>-15.3277283 23.0401 1027.2 4.05</t>
  </si>
  <si>
    <t>Maize Rape Chinese Cabbage</t>
  </si>
  <si>
    <t>Pests and Diseases Knowledge Gap Floods</t>
  </si>
  <si>
    <t>Can't give a break down</t>
  </si>
  <si>
    <t xml:space="preserve">Can't give a break down </t>
  </si>
  <si>
    <t>CBPP (Maswafu) Black Leg (Ngongola) Foot and Mouth (Mulomo ni litako)</t>
  </si>
  <si>
    <t>Low Prices Lack of Transportation Geographical Isolation</t>
  </si>
  <si>
    <t>More Unpalatable grasses</t>
  </si>
  <si>
    <t>0e2d7dd2-6d36-40ea-90f1-966ea778745b</t>
  </si>
  <si>
    <t>Nanga Imasiku</t>
  </si>
  <si>
    <t>0969586298</t>
  </si>
  <si>
    <t>313129/82/1</t>
  </si>
  <si>
    <t xml:space="preserve">Tungi camp/ siputa </t>
  </si>
  <si>
    <t>-15.3278183 23.0398983 1017.9 4.75</t>
  </si>
  <si>
    <t>Plowing/Draught power Manure production Milk Production Asethectic value</t>
  </si>
  <si>
    <t>Less water Less Grass (Types) More Unpalatable grasses</t>
  </si>
  <si>
    <t>d7fb05fa-e06b-47f2-b303-54bed53055bc</t>
  </si>
  <si>
    <t>Mikasa Maliwa</t>
  </si>
  <si>
    <t xml:space="preserve">No number </t>
  </si>
  <si>
    <t>191531/82/1</t>
  </si>
  <si>
    <t>Tungi Vet camp/Imuba</t>
  </si>
  <si>
    <t xml:space="preserve">Mwitelela </t>
  </si>
  <si>
    <t>-15.3277683 23.0399067 1021.3 4.55</t>
  </si>
  <si>
    <t>Maize: 8 bags(50kg), did not sell</t>
  </si>
  <si>
    <t>Maize: 45 bags (50kg) @ k300/bag</t>
  </si>
  <si>
    <t>Milk Production Manure production Selling/Income generation Plowing/Draught power Asethectic value</t>
  </si>
  <si>
    <t>Anaplasmosis (Nyoko) Botulism (Kubama) CBPP (Maswafu)</t>
  </si>
  <si>
    <t>Lack of Transportation Predominance of Intermediaries Geographical Isolation</t>
  </si>
  <si>
    <t xml:space="preserve">When need of finances </t>
  </si>
  <si>
    <t>More Unpalatable grasses Less Grass ( Volume)</t>
  </si>
  <si>
    <t>d48acb48-bc8d-4b51-8aec-9b3f06e2f803</t>
  </si>
  <si>
    <t>Lubasi Mubiana</t>
  </si>
  <si>
    <t>0963550237</t>
  </si>
  <si>
    <t>587401/52/1</t>
  </si>
  <si>
    <t xml:space="preserve">Tungi Vet camp/ Noki </t>
  </si>
  <si>
    <t>-15.3278067 23.04005 1040.5 4.65</t>
  </si>
  <si>
    <t>Nyungano; village banking</t>
  </si>
  <si>
    <t>Maize: 12 bags (50kg), did not sell</t>
  </si>
  <si>
    <t>Maize: 23 bags (50kg) @ k400</t>
  </si>
  <si>
    <t>Botulism (Kubama) Anaplasmosis (Nyoko) CBPP (Maswafu) Foot and Mouth (Mulomo ni taku)</t>
  </si>
  <si>
    <t>Foot and Mouth (Mulomo ni litako) CBPP (Maswafu) Botulism (Kubama)</t>
  </si>
  <si>
    <t>Lack of linkages   Limited Market Knowledge Predominance of Intermediaries</t>
  </si>
  <si>
    <t>Lack of Transportation Geographical Isolation Limited Market Knowledge</t>
  </si>
  <si>
    <t>Only sell when a personal crisis arises</t>
  </si>
  <si>
    <t>Erosion More Unpalatable grasses Fire</t>
  </si>
  <si>
    <t>67919691-6792-49d6-982f-28930c02e9ac</t>
  </si>
  <si>
    <t xml:space="preserve">Mwala litungi </t>
  </si>
  <si>
    <t>0771503340</t>
  </si>
  <si>
    <t>345418/82/1</t>
  </si>
  <si>
    <t>Tungi Camp/ Noki</t>
  </si>
  <si>
    <t>-15.3386361 23.0334253 1016.4 4.633</t>
  </si>
  <si>
    <t>Tunkongote: Village banking</t>
  </si>
  <si>
    <t>Asethectic value Plowing/Draught power</t>
  </si>
  <si>
    <t>Botulism (Kubama) Anaplasmosis (Nyoko) Foot and Mouth (Mulomo ni taku) CBPP (Maswafu)</t>
  </si>
  <si>
    <t>Botulism (Kubama) Foot and Mouth (Mulomo ni litako)</t>
  </si>
  <si>
    <t>Very Effective</t>
  </si>
  <si>
    <t>Limited access to water sources More Unpalatable grasses</t>
  </si>
  <si>
    <t>a276378c-24f0-4e27-a5d9-17e8c745c295</t>
  </si>
  <si>
    <t>Mwana Mono</t>
  </si>
  <si>
    <t>0954085344</t>
  </si>
  <si>
    <t>341506/82/1</t>
  </si>
  <si>
    <t>Tungi camp, Noki</t>
  </si>
  <si>
    <t>-15.3385981 23.033502 1031.1000000000001 4.3</t>
  </si>
  <si>
    <t>Maize : 5 bags(50kg) @ k250/bag</t>
  </si>
  <si>
    <t>Botulism (Kubama)</t>
  </si>
  <si>
    <t xml:space="preserve">Feedlots </t>
  </si>
  <si>
    <t>When a crisis arises</t>
  </si>
  <si>
    <t>67cf04ad-8b90-49e4-a9fa-b18baa0fb9a7</t>
  </si>
  <si>
    <t>Muliyokele Mwimanenwa</t>
  </si>
  <si>
    <t>0769526809</t>
  </si>
  <si>
    <t>357260/82/1</t>
  </si>
  <si>
    <t>Tungi Vet camp/ Lipuluti</t>
  </si>
  <si>
    <t>-15.2762083 23.0352233 1009.6 4.775</t>
  </si>
  <si>
    <t>Selling/Income generation Milk Production</t>
  </si>
  <si>
    <t>Anaplasmosis (Nyoko) CBPP (Maswafu) Botulism (Kubama) Anthrax (Lubete) Eye Infections/Pink Eye (Butuku bwa meto)</t>
  </si>
  <si>
    <t>Anthrax (Lubete) Botulism (Kubama) CBPP (Maswafu)</t>
  </si>
  <si>
    <t>Over grazing More Unpalatable grasses</t>
  </si>
  <si>
    <t>f4b60ae5-5972-4044-8791-a0cdf4f5cc0b</t>
  </si>
  <si>
    <t>Nalikwingi Tombi</t>
  </si>
  <si>
    <t>0972573752</t>
  </si>
  <si>
    <t>670182/81/1</t>
  </si>
  <si>
    <t xml:space="preserve">Tungi camp/ Lubiao </t>
  </si>
  <si>
    <t>Wasamunono/Likando</t>
  </si>
  <si>
    <t>-15.3278167 23.0399818 1024.199462890625 4.2</t>
  </si>
  <si>
    <t>Cabbage Tomatoes Chinese Cabbage Rape</t>
  </si>
  <si>
    <t>Just begun</t>
  </si>
  <si>
    <t>Chinese Cabbage Cabbage Rape Tomatoes</t>
  </si>
  <si>
    <t>Lack of linkages   Unreliable/Inconsistent Off-take Lack of Transportation</t>
  </si>
  <si>
    <t>7cf9a4c5-5bb1-476e-b578-1171cca67d91</t>
  </si>
  <si>
    <t>Lisimba Lisimba</t>
  </si>
  <si>
    <t>0765777075</t>
  </si>
  <si>
    <t>358560/82/1</t>
  </si>
  <si>
    <t>Tungi camp/ simundwe</t>
  </si>
  <si>
    <t>-15.327782 23.0399817 1027.44580078125 4.658</t>
  </si>
  <si>
    <t>Plowing/Draught power Milk Production Asethectic value Manure production</t>
  </si>
  <si>
    <t>Less water More Unpalatable grasses Less Grass ( Volume)</t>
  </si>
  <si>
    <t>7bd86488-a836-44e2-b5ff-a3d1685ff51b</t>
  </si>
  <si>
    <t xml:space="preserve">Muwana Muwana </t>
  </si>
  <si>
    <t>0768378558</t>
  </si>
  <si>
    <t>191828/82/1</t>
  </si>
  <si>
    <t>Tungi camp/Noki</t>
  </si>
  <si>
    <t>-15.3387024 23.0332876 1009.820556640625 4.887</t>
  </si>
  <si>
    <t xml:space="preserve">Nyungano:village banking </t>
  </si>
  <si>
    <t>Maize Pumpkins Other Beans</t>
  </si>
  <si>
    <t>Drought Other Pests and Diseases</t>
  </si>
  <si>
    <t>9f31b216-3c12-4f1f-b8b2-14c26e67a54e</t>
  </si>
  <si>
    <t xml:space="preserve">Sepiso Muyangwa </t>
  </si>
  <si>
    <t>0951542050</t>
  </si>
  <si>
    <t>317481/82/1</t>
  </si>
  <si>
    <t xml:space="preserve">Tungi camp, Noki </t>
  </si>
  <si>
    <t>-15.3386193 23.0333809 1048.6177978515625 4.739</t>
  </si>
  <si>
    <t xml:space="preserve">Nyungano; village banking </t>
  </si>
  <si>
    <t>Maize: 10 bags (50kg) @ k500/bag</t>
  </si>
  <si>
    <t>Geographical Isolation Lack of Transportation Low Prices</t>
  </si>
  <si>
    <t>d7ce221b-f172-44ba-a90e-f11945a570bd</t>
  </si>
  <si>
    <t>Situmbeko songiso</t>
  </si>
  <si>
    <t>0774887329</t>
  </si>
  <si>
    <t>371807/82/1</t>
  </si>
  <si>
    <t>Tungi vet camp/Lipuluti</t>
  </si>
  <si>
    <t>-15.2762005 23.0352762 1027.9249267578125 4.632</t>
  </si>
  <si>
    <t xml:space="preserve">Impwa
Green pepper </t>
  </si>
  <si>
    <t>Okra: 4 bags(50kg) @ k250/bag</t>
  </si>
  <si>
    <t>Anaplasmosis (Nyoko) CBPP (Maswafu) Foot and Mouth (Mulomo ni taku) Anthrax (Lubete) Botulism (Kubama) Eye Infections/Pink Eye (Butuku bwa meto)</t>
  </si>
  <si>
    <t xml:space="preserve">Limited Market Knowledge Predominance of Intermediaries Lack of linkages  </t>
  </si>
  <si>
    <t>3b1fd8d9-440d-4f0d-8e11-7509655f1d9c</t>
  </si>
  <si>
    <t xml:space="preserve">Walusiku kapelwa </t>
  </si>
  <si>
    <t>0976341372</t>
  </si>
  <si>
    <t>277791/82/1</t>
  </si>
  <si>
    <t xml:space="preserve">Tungi vet camp/ Sumwa </t>
  </si>
  <si>
    <t>-15.2762069 23.0351715 1012.7838134765625 4.593</t>
  </si>
  <si>
    <t xml:space="preserve">Kasulu: Village Banking </t>
  </si>
  <si>
    <t>Maize:0
Pumpkins: 0</t>
  </si>
  <si>
    <t>Maize: 30 bags (50kg) @k500/bag
Pumpkins : 300 @ k20/Pumpkin</t>
  </si>
  <si>
    <t>Anaplasmosis (Nyoko) Heartwater (Matakani) Foot and Mouth (Mulomo ni taku)</t>
  </si>
  <si>
    <t>Foot and Mouth (Mulomo ni litako)</t>
  </si>
  <si>
    <t>Lack of Transportation Low Prices Geographical Isolation</t>
  </si>
  <si>
    <t>Geographical Isolation Lack of Transportation Limited Market Knowledge</t>
  </si>
  <si>
    <t xml:space="preserve">When a personal crisis arises </t>
  </si>
  <si>
    <t>c1925109-88b4-4302-a9ec-05faa348c08d</t>
  </si>
  <si>
    <t>Namakau Mukela</t>
  </si>
  <si>
    <t>0955660327</t>
  </si>
  <si>
    <t>384466/82/1</t>
  </si>
  <si>
    <t>Tuning vet camp/ Lubiao</t>
  </si>
  <si>
    <t>Wasamunu</t>
  </si>
  <si>
    <t>-15.3277964 23.039965 1024.8878173828125 4.968</t>
  </si>
  <si>
    <t>High temperatures Floods Drought</t>
  </si>
  <si>
    <t>Plowing/Draught power Milk Production Manure production</t>
  </si>
  <si>
    <t>Anaplasmosis (Nyoko) CBPP (Maswafu) Botulism (Kubama)</t>
  </si>
  <si>
    <t>Inbreeding Communal Sire</t>
  </si>
  <si>
    <t>659cb7d3-3d62-4ef7-ae65-02896a8fe828</t>
  </si>
  <si>
    <t>Yula Mubiana</t>
  </si>
  <si>
    <t>0973261228</t>
  </si>
  <si>
    <t>198709/82/1</t>
  </si>
  <si>
    <t>-15.3652684 23.165399 1015.10888671875 4.811</t>
  </si>
  <si>
    <t>Maize Rice Pumpkins Sweet Potatoes</t>
  </si>
  <si>
    <t>Maize 30 bags
Rice 0</t>
  </si>
  <si>
    <t xml:space="preserve">Maize 30 bags by 50kgs 
Rice 32 bags by 50kg </t>
  </si>
  <si>
    <t>Maize Rice Sweet Potatoes Pumpkins</t>
  </si>
  <si>
    <t>Pests and Diseases Drought High temperatures</t>
  </si>
  <si>
    <t>Botulism (Kubama) Black Leg (Ngongola) Liverfluke (Minyopi ya mwa sibiti)</t>
  </si>
  <si>
    <t>CBPP (Maswafu) Black Leg (Ngongola) Botulism (Kubama)</t>
  </si>
  <si>
    <t>Low Prices Unreliable/Inconsistent Off-take Inadequate Infrastructure</t>
  </si>
  <si>
    <t>66132eaa-d955-48be-8b51-5e64954c82e5</t>
  </si>
  <si>
    <t>Akapelwa Mulowa</t>
  </si>
  <si>
    <t>0777340135</t>
  </si>
  <si>
    <t>312370/82/1</t>
  </si>
  <si>
    <t>-15.3643797 23.1653441 1003.67333984375 145.602</t>
  </si>
  <si>
    <t>Maize Rice Rape</t>
  </si>
  <si>
    <t>Maize 5 bags by 50kgs 
Rice 55 bags by 50kgs/ K500 per bag</t>
  </si>
  <si>
    <t>Drought Pests and Diseases High temperatures</t>
  </si>
  <si>
    <t>Plowing/Draught power Manure production Milk Production</t>
  </si>
  <si>
    <t>Anaplasmosis (Nyoko) Black Leg (Ngongola) Botulism (Kubama)</t>
  </si>
  <si>
    <t>fceac14f-f3f6-4d19-9712-cb68d356ea9e</t>
  </si>
  <si>
    <t>Milupi Milupi</t>
  </si>
  <si>
    <t>0971887720</t>
  </si>
  <si>
    <t>276916/82/1</t>
  </si>
  <si>
    <t>-15.364282 23.1652491 1005.902099609375 14.55</t>
  </si>
  <si>
    <t>Rice Maize Rape</t>
  </si>
  <si>
    <t>Rice 21 bags/ K300 per bag</t>
  </si>
  <si>
    <t>Rice 130 bags/ K500 per bag</t>
  </si>
  <si>
    <t>Manure production Plowing/Draught power Milk Production</t>
  </si>
  <si>
    <t>Foot and Mouth (Mulomo ni taku) Anthrax (Lubete) Botulism (Kubama)</t>
  </si>
  <si>
    <t>October September August</t>
  </si>
  <si>
    <t>703f373e-45ac-4fc4-91f8-c5458891388a</t>
  </si>
  <si>
    <t>Nawa Mwangala</t>
  </si>
  <si>
    <t xml:space="preserve">0973110102 </t>
  </si>
  <si>
    <t>262159/82/1</t>
  </si>
  <si>
    <t>-15.3642803 23.1653363 1024.037353515625 6.687</t>
  </si>
  <si>
    <t>Rice 12 bags / K200 per bag</t>
  </si>
  <si>
    <t xml:space="preserve">Rice 25 bags/ K500 per bag </t>
  </si>
  <si>
    <t>Maize Rice Pumpkins</t>
  </si>
  <si>
    <t>Botulism (Kubama) Anthrax (Lubete) Mycotic Dermatitis (Lukwekwe)</t>
  </si>
  <si>
    <t>Low Prices Limited access to finance Limited Market Knowledge</t>
  </si>
  <si>
    <t>af56273f-deb0-4a1c-946b-7e6388bfa8b5</t>
  </si>
  <si>
    <t>0777607407</t>
  </si>
  <si>
    <t>297009/82/1</t>
  </si>
  <si>
    <t>-15.3582212 23.1549937 1027.465087890625 4.878</t>
  </si>
  <si>
    <t>Fishing Livestock Production Crop Production Entrepreneurial Activities</t>
  </si>
  <si>
    <t>Tomatoes</t>
  </si>
  <si>
    <t>Tomato 100 boxes / K300 per box</t>
  </si>
  <si>
    <t>Rice 12 bags / K500 per bag</t>
  </si>
  <si>
    <t>Maize Tomatoes Rape Cassava Rice</t>
  </si>
  <si>
    <t>Plowing/Draught power Selling/Income generation Milk Production Manure production</t>
  </si>
  <si>
    <t>Mycotic Dermatitis (Lukwekwe) Botulism (Kubama) CBPP (Maswafu) Black Leg (Ngongola) Anthrax (Lubete)</t>
  </si>
  <si>
    <t>e43ed5e8-3331-4fc9-988e-58b44488b489</t>
  </si>
  <si>
    <t>Nawa Wamulume</t>
  </si>
  <si>
    <t>0773266146</t>
  </si>
  <si>
    <t>292598/82/1</t>
  </si>
  <si>
    <t>-15.358223 23.1549744 1025.6978759765625 5.681</t>
  </si>
  <si>
    <t>Rice 2 bags</t>
  </si>
  <si>
    <t>Rice 20 bags by 50kgs/ K400 per bag</t>
  </si>
  <si>
    <t>Maize Rice Rape Sweet Potatoes</t>
  </si>
  <si>
    <t>Drought Pests and Diseases Knowledge Gap</t>
  </si>
  <si>
    <t>Black Leg (Ngongola) Mycotic Dermatitis (Lukwekwe) CBPP (Maswafu)</t>
  </si>
  <si>
    <t>Low Prices Limited Market Knowledge Limited access to finance</t>
  </si>
  <si>
    <t>Limited access to water sources Fire More of Cropping Activities</t>
  </si>
  <si>
    <t>f4521051-bba1-468d-be83-9e86c46c4287</t>
  </si>
  <si>
    <t>Mubita Situmbeko</t>
  </si>
  <si>
    <t>0779772186</t>
  </si>
  <si>
    <t>239093/82/1</t>
  </si>
  <si>
    <t>-15.3580849 23.1549849 1028.1954345703125 5.278</t>
  </si>
  <si>
    <t>Crop Production Livestock Production Entrepreneurial Activities</t>
  </si>
  <si>
    <t xml:space="preserve">Rice 12 bags by 50kgs,  K500 per bag </t>
  </si>
  <si>
    <t>Maize Rice Tomatoes Rape Pumpkins</t>
  </si>
  <si>
    <t>Anaplasmosis (Nyoko) CBPP (Maswafu) Anthrax (Lubete)</t>
  </si>
  <si>
    <t>Black Leg (Ngongola) Anthrax (Lubete) CBPP (Maswafu)</t>
  </si>
  <si>
    <t>Limited Market Knowledge Limited access to finance Low Prices</t>
  </si>
  <si>
    <t>Low Prices Limited access to finance  Limited Market Knowledge</t>
  </si>
  <si>
    <t>1f4f3716-6792-4908-b4dd-71b3643551e3</t>
  </si>
  <si>
    <t>Mundia Mundia</t>
  </si>
  <si>
    <t>0978847099</t>
  </si>
  <si>
    <t>311626/82/1</t>
  </si>
  <si>
    <t>-15.3642817 23.1652767 1044.3999999999999 4.633</t>
  </si>
  <si>
    <t>Rice 10 bags</t>
  </si>
  <si>
    <t>Rice 50 bags/K700</t>
  </si>
  <si>
    <t>Maize Rice Rape Cassava Sweet Potatoes</t>
  </si>
  <si>
    <t>Limited access to farming inputs Drought Pests and Diseases</t>
  </si>
  <si>
    <t>Brucellosis (Butuku bwa Kufoloza) Botulism (Kubama) Anthrax (Lubete)</t>
  </si>
  <si>
    <t xml:space="preserve">Low Prices Limited Market Knowledge Limited access to finance </t>
  </si>
  <si>
    <t>74f3389f-a971-4b21-9bff-0f75615ff4ea</t>
  </si>
  <si>
    <t>Mubiana Mututwa</t>
  </si>
  <si>
    <t>0973110102</t>
  </si>
  <si>
    <t>311632/82/1</t>
  </si>
  <si>
    <t>-15.3644183 23.1653517 1010.8 4.8</t>
  </si>
  <si>
    <t>Rice 20 bags / K200</t>
  </si>
  <si>
    <t xml:space="preserve">Rice 30 bags/K500 per bag </t>
  </si>
  <si>
    <t>Drought Limited access to farming inputs Pests and Diseases</t>
  </si>
  <si>
    <t>More of Cropping Activities Over grazing Fire</t>
  </si>
  <si>
    <t>b9d37448-bade-4137-8ad7-0a983cc03f79</t>
  </si>
  <si>
    <t xml:space="preserve">Imasiku Mundia </t>
  </si>
  <si>
    <t>0777413137</t>
  </si>
  <si>
    <t>285899/11/1</t>
  </si>
  <si>
    <t>-15.36436 23.165295 1002.1999999999999 4.55</t>
  </si>
  <si>
    <t>Maize 15 bags/ K400
Rice 100 bags/ K500</t>
  </si>
  <si>
    <t>Maize 20 bags
Rice 120 bags / K500 per bag</t>
  </si>
  <si>
    <t>Maize Rice Cabbage Rape Tomatoes</t>
  </si>
  <si>
    <t>CBPP (Maswafu) Botulism (Kubama) Liverfluke (Minyopi ya mwa sibiti) Anaplasmosis (Nyoko) Anthrax (Lubete) Lumpy Skin Disease (Sikwekwe) Eye Infections/Pink Eye (Butuku bwa meto)</t>
  </si>
  <si>
    <t>To let grass regrow Tick control  Traditional Practice</t>
  </si>
  <si>
    <t>f69ac1d1-40ba-4250-a99e-f937dfea937c</t>
  </si>
  <si>
    <t>Mubiana Malamo</t>
  </si>
  <si>
    <t>0977704795</t>
  </si>
  <si>
    <t>273328/82/1</t>
  </si>
  <si>
    <t>-15.3642717 23.1653317 1029.8 4.5</t>
  </si>
  <si>
    <t>Rice 70 bags / K1000</t>
  </si>
  <si>
    <t>Rice 130 bags /K500 per bag</t>
  </si>
  <si>
    <t>Maize Rice Tomatoes Rape Okra Pumpkins</t>
  </si>
  <si>
    <t>CBPP (Maswafu) Botulism (Kubama) Anaplasmosis (Nyoko) Anthrax (Lubete)</t>
  </si>
  <si>
    <t>3d4bb944-015c-4c65-877a-e7d445491427</t>
  </si>
  <si>
    <t>Mwanza Masiliso</t>
  </si>
  <si>
    <t>0971809500</t>
  </si>
  <si>
    <t>339291/82/1</t>
  </si>
  <si>
    <t>-15.35819 23.155005 1024.3 3.0</t>
  </si>
  <si>
    <t>Crop Production Entrepreneurial Activities Livestock Production Fishing</t>
  </si>
  <si>
    <t xml:space="preserve">Rice 7 bags </t>
  </si>
  <si>
    <t>Rice 30 bags/ K450</t>
  </si>
  <si>
    <t>Maize Tomatoes Cassava Rice</t>
  </si>
  <si>
    <t>CBPP (Maswafu) Botulism (Kubama) Anaplasmosis (Nyoko) Mycotic Dermatitis (Lukwekwe) Black Leg (Ngongola)</t>
  </si>
  <si>
    <t>Botulism (Kubama) CBPP (Maswafu) Black Leg (Ngongola)</t>
  </si>
  <si>
    <t>bcdbd22b-9db5-4303-8c3e-599d6c9544fc</t>
  </si>
  <si>
    <t>0979473870</t>
  </si>
  <si>
    <t>252402/82/1</t>
  </si>
  <si>
    <t>-15.3583167 23.155 1029.8 9.0</t>
  </si>
  <si>
    <t>Rice 5 bags</t>
  </si>
  <si>
    <t xml:space="preserve">Rice 100 bags by 50 kgs / K400 per bag </t>
  </si>
  <si>
    <t>Maize Rice Rape Tomatoes</t>
  </si>
  <si>
    <t>Mycotic Dermatitis (Lukwekwe) Anaplasmosis (Nyoko)</t>
  </si>
  <si>
    <t>489902a1-22cf-444f-a57f-1b77aa7ca65a</t>
  </si>
  <si>
    <t>Inambwae Wanyambe</t>
  </si>
  <si>
    <t>0974660388</t>
  </si>
  <si>
    <t>244798/82/1</t>
  </si>
  <si>
    <t>-15.3582967 23.155105 994.5999999999999 6.95</t>
  </si>
  <si>
    <t>Entrepreneurial Activities Crop Production Livestock Production</t>
  </si>
  <si>
    <t>Rice 73 bags by 50 kgs, K400 per bag</t>
  </si>
  <si>
    <t>Maize Rice Sweet Potatoes Cassava Pumpkins</t>
  </si>
  <si>
    <t>Limited Market Knowledge Low Prices Limited access to finance</t>
  </si>
  <si>
    <t xml:space="preserve">Limited Market Knowledge Low Prices Limited access to finance </t>
  </si>
  <si>
    <t>d2aa4970-485d-43a9-9b33-1b3103db09e1</t>
  </si>
  <si>
    <t>Mubiana nakwambwa</t>
  </si>
  <si>
    <t>0976405298</t>
  </si>
  <si>
    <t>253667/82/1</t>
  </si>
  <si>
    <t>Siwito/liyala village</t>
  </si>
  <si>
    <t xml:space="preserve">Chef nalubutu </t>
  </si>
  <si>
    <t>-15.2208083 22.998345 1026.3 4.416</t>
  </si>
  <si>
    <t>Savings group</t>
  </si>
  <si>
    <t>Manure production Selling/Income generation Breeding</t>
  </si>
  <si>
    <t>Anaplasmosis (Nyoko) Botulism (Kubama)</t>
  </si>
  <si>
    <t>Low Prices Lack of Transportation Limited access to finance  Limited Market Knowledge</t>
  </si>
  <si>
    <t>Less water Less Grass ( Volume) Less Grass (Types)</t>
  </si>
  <si>
    <t>245a0ff1-349d-456c-b537-1551733f3108</t>
  </si>
  <si>
    <t>Nakwambwa nakwambwa</t>
  </si>
  <si>
    <t>0952788334</t>
  </si>
  <si>
    <t>357326/82/1</t>
  </si>
  <si>
    <t>-15.2207667 22.9982717 1024.3999999999999 4.633</t>
  </si>
  <si>
    <t>Maize Okra Rape</t>
  </si>
  <si>
    <t>6 bags of 50kg at k450 per bag</t>
  </si>
  <si>
    <t>12 bags of 50kg at k400 per bag</t>
  </si>
  <si>
    <t>Sweet Potatoes Tomatoes</t>
  </si>
  <si>
    <t>Limited access to farming inputs High cost of inputs (fertilizers, pesticides) Pests and Diseases</t>
  </si>
  <si>
    <t>Limited Market Knowledge Low Prices Unreliable/Inconsistent Off-take Limited access to finance</t>
  </si>
  <si>
    <t>e1cbd5d7-54e1-43c3-94b9-ef612d65e76d</t>
  </si>
  <si>
    <t xml:space="preserve">Silokwa mutakanuka </t>
  </si>
  <si>
    <t>0969668330</t>
  </si>
  <si>
    <t>249683/82/2</t>
  </si>
  <si>
    <t>Siwito/nyiya</t>
  </si>
  <si>
    <t xml:space="preserve">Chef libumbu </t>
  </si>
  <si>
    <t>-15.2207167 22.9983317 1040.3 4.616</t>
  </si>
  <si>
    <t>Rape Other Tomatoes Okra Maize</t>
  </si>
  <si>
    <t xml:space="preserve">Egg plants and garden eggs </t>
  </si>
  <si>
    <t xml:space="preserve">4 bags of 50kg at k340 per bag </t>
  </si>
  <si>
    <t>25 bags of 50kg at k340 per bag</t>
  </si>
  <si>
    <t>Tomatoes Rape Okra</t>
  </si>
  <si>
    <t>High cost of inputs (fertilizers, pesticides) Drought Limited access to farming inputs Pests and Diseases</t>
  </si>
  <si>
    <t>Anaplasmosis (Nyoko) Botulism (Kubama) CBPP (Maswafu) Foot and Mouth (Mulomo ni taku)</t>
  </si>
  <si>
    <t>Lack of Transportation Inadequate Infrastructure Unreliable/Inconsistent Off-take</t>
  </si>
  <si>
    <t>3bc0ac36-fee4-49a3-b1be-36b9cb30efaa</t>
  </si>
  <si>
    <t>Mwakamui lutangu</t>
  </si>
  <si>
    <t>0952220041</t>
  </si>
  <si>
    <t>194225/82/1</t>
  </si>
  <si>
    <t xml:space="preserve">Siwito/liyala village </t>
  </si>
  <si>
    <t>-15.220805 22.9983017 1033.3999999999999 4.96</t>
  </si>
  <si>
    <t xml:space="preserve">10 bags of 50kg at k400 per bag </t>
  </si>
  <si>
    <t>CBPP (Maswafu) Foot and Mouth (Mulomo ni taku) Anaplasmosis (Nyoko)</t>
  </si>
  <si>
    <t>Sell/Trade</t>
  </si>
  <si>
    <t>Less water More water</t>
  </si>
  <si>
    <t>69fb2a21-4ca9-4006-9cb1-676409d06f6f</t>
  </si>
  <si>
    <t>Wamundila nyelukwa</t>
  </si>
  <si>
    <t>224838/82/1</t>
  </si>
  <si>
    <t>-15.2208433 22.998255 1024.6 4.533</t>
  </si>
  <si>
    <t>Rape Okra Other</t>
  </si>
  <si>
    <t>20 bags of 50kg at k250 per bag</t>
  </si>
  <si>
    <t>Manure production Selling/Income generation Milk Production</t>
  </si>
  <si>
    <t>Anthrax (Lubete) Lumpy Skin Disease (Sikwekwe) CBPP (Maswafu)</t>
  </si>
  <si>
    <t>dc06be29-cf03-4e5b-83aa-42bfcac80249</t>
  </si>
  <si>
    <t>Sezengo sikwibele</t>
  </si>
  <si>
    <t>0965171993</t>
  </si>
  <si>
    <t>267988/82/1</t>
  </si>
  <si>
    <t xml:space="preserve">Siwito/naloko village </t>
  </si>
  <si>
    <t>-15.2208367 22.99837 1012.1 4.9</t>
  </si>
  <si>
    <t>Maize Sweet Potatoes Sorghum</t>
  </si>
  <si>
    <t>7b3ac09e-cbeb-431d-8c3a-078209a4dee8</t>
  </si>
  <si>
    <t>Wankie chinyama</t>
  </si>
  <si>
    <t>0774902276</t>
  </si>
  <si>
    <t>182564/84/1</t>
  </si>
  <si>
    <t>Siwito/naloko village</t>
  </si>
  <si>
    <t>-15.2208217 22.9984367 1027.7 4.5</t>
  </si>
  <si>
    <t>ee8cc07c-27a9-4bcd-84e3-31269b851f0f</t>
  </si>
  <si>
    <t>Muyembe given namakando</t>
  </si>
  <si>
    <t>0775530431</t>
  </si>
  <si>
    <t>105620/86/1</t>
  </si>
  <si>
    <t xml:space="preserve">Siwito/kakita village </t>
  </si>
  <si>
    <t>-15.220815 22.9983517 1021.7 3.916</t>
  </si>
  <si>
    <t>cee441d7-d3a2-4b49-9709-29a4bc27aaee</t>
  </si>
  <si>
    <t>Chikoti kailu</t>
  </si>
  <si>
    <t>0962992127</t>
  </si>
  <si>
    <t>215221/84/1</t>
  </si>
  <si>
    <t xml:space="preserve">Siwito/tuwe village </t>
  </si>
  <si>
    <t>-15.2209267 22.9985883 981.4 4.916</t>
  </si>
  <si>
    <t>Livestock Production Fishing Crop Production</t>
  </si>
  <si>
    <t>Tomatoes Okra Rape Chinese Cabbage Maize</t>
  </si>
  <si>
    <t>10 bags of 50kg k500 per bag</t>
  </si>
  <si>
    <t>Rape Tomatoes Okra Maize Chinese Cabbage</t>
  </si>
  <si>
    <t>Limited access to farming inputs High cost of inputs (fertilizers, pesticides) Pests and Diseases High temperatures</t>
  </si>
  <si>
    <t>fea7f7fb-572f-4e3c-a548-cca00f82c163</t>
  </si>
  <si>
    <t>Sinyama musole</t>
  </si>
  <si>
    <t>0957416058</t>
  </si>
  <si>
    <t>225914/82/1</t>
  </si>
  <si>
    <t xml:space="preserve">Siwito/noloko village </t>
  </si>
  <si>
    <t>-15.2207217 22.9982767 1007.1 4.6</t>
  </si>
  <si>
    <t>71f22236-e22d-4b85-bdf2-d2138fe2d2e8</t>
  </si>
  <si>
    <t>0962605342</t>
  </si>
  <si>
    <t>309294/82/1</t>
  </si>
  <si>
    <t>-15.2207117 22.99835 1001.1 4.74</t>
  </si>
  <si>
    <t>Hibiscus Saddariffa (Sindambi) Rape Onions  Maize</t>
  </si>
  <si>
    <t>Drought Pests and Diseases Limited access to farming inputs High cost of inputs (fertilizers, pesticides)</t>
  </si>
  <si>
    <t>2b2b682c-1474-4d97-96b8-758a10ac3f68</t>
  </si>
  <si>
    <t>Lubinda mumeka</t>
  </si>
  <si>
    <t>0976396443</t>
  </si>
  <si>
    <t>303601/32/1</t>
  </si>
  <si>
    <t xml:space="preserve">Siwito/nasaya village </t>
  </si>
  <si>
    <t>-15.2207583 22.9983133 1021.3000000000001 3.85</t>
  </si>
  <si>
    <t>6 bags of 50kg at k130 per bag</t>
  </si>
  <si>
    <t>Low Prices Lack of Transportation Limited access to finance Limited Market Knowledge</t>
  </si>
  <si>
    <t>408b561c-f608-4c1b-a4a9-0426fc52d0ec</t>
  </si>
  <si>
    <t>Sinyemba ngunga</t>
  </si>
  <si>
    <t>0954288590</t>
  </si>
  <si>
    <t>249278/82/1</t>
  </si>
  <si>
    <t xml:space="preserve">Siwito/lifuweko village </t>
  </si>
  <si>
    <t>-15.220775 22.9982833 1036.0 4.94</t>
  </si>
  <si>
    <t>Rape Other</t>
  </si>
  <si>
    <t xml:space="preserve">2 bags of 50kg at k50 per bag </t>
  </si>
  <si>
    <t>4caf972a-13fe-4ac2-aacf-5f61457254b8</t>
  </si>
  <si>
    <t xml:space="preserve">Lutangu kufamuyeke </t>
  </si>
  <si>
    <t>0776468279</t>
  </si>
  <si>
    <t>309208/82/1</t>
  </si>
  <si>
    <t xml:space="preserve">Chief nalubutu </t>
  </si>
  <si>
    <t>-15.22025 22.99849 1005.0 4.583</t>
  </si>
  <si>
    <t>Rape Chinese Cabbage Okra Tomatoes</t>
  </si>
  <si>
    <t>ae4a92fc-c16a-413c-badf-accef12fa445</t>
  </si>
  <si>
    <t xml:space="preserve">Daniel mundia </t>
  </si>
  <si>
    <t>0956184547</t>
  </si>
  <si>
    <t>233773/82/1</t>
  </si>
  <si>
    <t>Chief nalubutu</t>
  </si>
  <si>
    <t>-15.2208417 22.998355 1030.5 4.833</t>
  </si>
  <si>
    <t>Tomatoes Rape Other</t>
  </si>
  <si>
    <t xml:space="preserve">3 bags of 50kg at k250 per bag </t>
  </si>
  <si>
    <t>6 bags of 50kg at k350 per bag</t>
  </si>
  <si>
    <t>Sweet Potatoes Rape Hibiscus Saddariffa (Sindambi)</t>
  </si>
  <si>
    <t>Pests and Diseases Limited access to farming inputs High cost of inputs (fertilizers, pesticides) Limited Extension Services</t>
  </si>
  <si>
    <t>695141b0-3c36-4604-a7b0-eac93b174500</t>
  </si>
  <si>
    <t>Kabisa kabisa</t>
  </si>
  <si>
    <t>0760174782</t>
  </si>
  <si>
    <t>235595/82/1</t>
  </si>
  <si>
    <t>Siwito/lealui village</t>
  </si>
  <si>
    <t>-15.22064 22.9984967 1033.1999999999998 4.55</t>
  </si>
  <si>
    <t>Limited access to finance  Low Prices Lack of Transportation</t>
  </si>
  <si>
    <t>Limited access to water sources Over grazing</t>
  </si>
  <si>
    <t>8763ef59-db5a-4d84-aeb3-e59cdda45970</t>
  </si>
  <si>
    <t>Muyunda muyunda</t>
  </si>
  <si>
    <t>0956511408</t>
  </si>
  <si>
    <t>319856/82/1</t>
  </si>
  <si>
    <t xml:space="preserve">Siwito camp and Naluseke </t>
  </si>
  <si>
    <t xml:space="preserve">Nalubutu </t>
  </si>
  <si>
    <t>-15.1646353 22.9977187 1038.1000000000001 3.557</t>
  </si>
  <si>
    <t>Rice , 8 bags by 50 kg , price k350</t>
  </si>
  <si>
    <t>CBPP (Maswafu) Liverfluke (Minyopi ya mwa sibiti) Black Leg (Ngongola) Anaplasmosis (Nyoko)</t>
  </si>
  <si>
    <t>More Grass (Types) Less Grass ( Volume) Less fertile soils</t>
  </si>
  <si>
    <t xml:space="preserve">September October November </t>
  </si>
  <si>
    <t>60268081-f2b5-4a7d-8b33-6400bef369dc</t>
  </si>
  <si>
    <t xml:space="preserve">Tony Kazima </t>
  </si>
  <si>
    <t>Alice mwan'aku</t>
  </si>
  <si>
    <t>0953984447</t>
  </si>
  <si>
    <t>213349/82/1</t>
  </si>
  <si>
    <t>Siwito camp and lingala</t>
  </si>
  <si>
    <t>Nalubutu</t>
  </si>
  <si>
    <t>-15.1646756 22.9977575 1037.1000000000001 4.8</t>
  </si>
  <si>
    <t xml:space="preserve">Siwaki group </t>
  </si>
  <si>
    <t>Drought Pests and Diseases Floods</t>
  </si>
  <si>
    <t>Plowing/Draught power Selling/Income generation Manure production Milk Production Transportation</t>
  </si>
  <si>
    <t>CBPP (Maswafu) Black Leg (Ngongola) Anaplasmosis (Nyoko) Liverfluke (Minyopi ya mwa sibiti)</t>
  </si>
  <si>
    <t>More Grass (Types)</t>
  </si>
  <si>
    <t>October November  September</t>
  </si>
  <si>
    <t>8221d981-81ac-4e41-9449-2814919e2fad</t>
  </si>
  <si>
    <t>Mwanangombe mwakamui</t>
  </si>
  <si>
    <t>077265721</t>
  </si>
  <si>
    <t>25983/82/1</t>
  </si>
  <si>
    <t>Siwito  and lingala</t>
  </si>
  <si>
    <t>Nalubutu / katiasuwa</t>
  </si>
  <si>
    <t>-15.1646512 22.9976904 1020.6 4.866</t>
  </si>
  <si>
    <t>Maize,  80 bags by 50 kg , k500</t>
  </si>
  <si>
    <t>Maize,  40 bags by 50 kg , k400</t>
  </si>
  <si>
    <t>Poor soil fertility Drought Pests and Diseases</t>
  </si>
  <si>
    <t>Selling/Income generation Manure production Plowing/Draught power Milk Production</t>
  </si>
  <si>
    <t>CBPP (Maswafu) Anaplasmosis (Nyoko) Black Leg (Ngongola) Liverfluke (Minyopi ya mwa sibiti)</t>
  </si>
  <si>
    <t>835c594a-1e0d-4113-948c-3d9a5bf14fc4</t>
  </si>
  <si>
    <t>Njekwa wasamumu</t>
  </si>
  <si>
    <t>0978897426</t>
  </si>
  <si>
    <t>239412/82/1</t>
  </si>
  <si>
    <t xml:space="preserve">Siwito and ikwela village </t>
  </si>
  <si>
    <t>Nalubutu and lyambwega</t>
  </si>
  <si>
    <t>-15.1646458 22.9977459 1017.0 4.566</t>
  </si>
  <si>
    <t xml:space="preserve">Siwaki and social cash transfer </t>
  </si>
  <si>
    <t>Maize , 15bags by 50 kg, k600</t>
  </si>
  <si>
    <t>Rice , 15 bags by 50 kg, k700</t>
  </si>
  <si>
    <t>Anaplasmosis (Nyoko) Liverfluke (Minyopi ya mwa sibiti)</t>
  </si>
  <si>
    <t>Less fertile soils More Grass (Types) Less water</t>
  </si>
  <si>
    <t>63f133d0-daf2-42a1-9ed4-317bf96a0261</t>
  </si>
  <si>
    <t xml:space="preserve">Munalula mukelabai </t>
  </si>
  <si>
    <t>0953984420</t>
  </si>
  <si>
    <t>196400/82/1</t>
  </si>
  <si>
    <t xml:space="preserve">Siwito and ikwela </t>
  </si>
  <si>
    <t>Nalubutu/ lyambwenga</t>
  </si>
  <si>
    <t>-15.1646167 22.9978721 1036.4 3.51</t>
  </si>
  <si>
    <t>Rice , 30 bags by 50 kg, k400</t>
  </si>
  <si>
    <t>Rice,  10 bags  by 50 kg, k450</t>
  </si>
  <si>
    <t>Pumpkins Maize Hibiscus Saddariffa (Sindambi)</t>
  </si>
  <si>
    <t>Lack of Transportation Limited access to finance Limited Market Knowledge</t>
  </si>
  <si>
    <t>Less fertile soils Less Grass ( Volume) More Grass (Types)</t>
  </si>
  <si>
    <t>c184013b-10b8-4c4f-85eb-202375369c59</t>
  </si>
  <si>
    <t>Kozi akombelwa</t>
  </si>
  <si>
    <t>0958399526</t>
  </si>
  <si>
    <t>309236/82/1</t>
  </si>
  <si>
    <t>Siwito camp and  nakakungu</t>
  </si>
  <si>
    <t>Mwenechiengele</t>
  </si>
  <si>
    <t>-15.1646383 22.9978533 1036.0 4.8</t>
  </si>
  <si>
    <t xml:space="preserve">Silk  , for savings </t>
  </si>
  <si>
    <t>Rice , 58 by 50 kg , price K350</t>
  </si>
  <si>
    <t>Rice ,  20 bags by 50 kg , k500</t>
  </si>
  <si>
    <t>Rape Okra Pumpkins Maize Onions  Tomatoes Hibiscus Saddariffa (Sindambi)</t>
  </si>
  <si>
    <t>CBPP (Maswafu) Anaplasmosis (Nyoko) Liverfluke (Minyopi ya mwa sibiti) Black Leg (Ngongola)</t>
  </si>
  <si>
    <t>Less Grass ( Volume) More Grass (Types) Less fertile soils Less water</t>
  </si>
  <si>
    <t>edb30768-926a-43a5-9a77-624b9350f187</t>
  </si>
  <si>
    <t>Simangolwa monde</t>
  </si>
  <si>
    <t>0761050893</t>
  </si>
  <si>
    <t>385040/82/1</t>
  </si>
  <si>
    <t>Siwito and likuyu</t>
  </si>
  <si>
    <t>Nalubutu/ kololo</t>
  </si>
  <si>
    <t>-15.1646417 22.9976584 1031.0 4.433</t>
  </si>
  <si>
    <t xml:space="preserve">Silk  for savings </t>
  </si>
  <si>
    <t>Foot and Mouth (Mulomo ni taku) CBPP (Maswafu) Anaplasmosis (Nyoko) Liverfluke (Minyopi ya mwa sibiti) Black Leg (Ngongola)</t>
  </si>
  <si>
    <t>Less fertile soils More Grass (Types) Less Grass ( Volume)</t>
  </si>
  <si>
    <t>80ee2aa5-5307-4db4-8d18-9f6119cfa155</t>
  </si>
  <si>
    <t>Minyoi nyambe</t>
  </si>
  <si>
    <t>0956396077</t>
  </si>
  <si>
    <t>271908/82/1</t>
  </si>
  <si>
    <t xml:space="preserve">Siwito camp and likuyu village </t>
  </si>
  <si>
    <t>-15.164588 22.9978191 1042.1000000000001 4.94</t>
  </si>
  <si>
    <t>Tomatoes Maize Rape</t>
  </si>
  <si>
    <t>Poor soil fertility High cost of inputs (fertilizers, pesticides) Pests and Diseases</t>
  </si>
  <si>
    <t>Geographical Isolation</t>
  </si>
  <si>
    <t>9dc8cb56-6849-464f-addb-cfc26337a6ba</t>
  </si>
  <si>
    <t>Masialeti likukela</t>
  </si>
  <si>
    <t>0772280619</t>
  </si>
  <si>
    <t>235517/82/1</t>
  </si>
  <si>
    <t xml:space="preserve">Siwito and lingala village </t>
  </si>
  <si>
    <t>Nalubutu / lyabwenga</t>
  </si>
  <si>
    <t>-15.1647285 22.9978134 1026.6000000000001 4.433</t>
  </si>
  <si>
    <t xml:space="preserve">Fish Farming Livestock Production Crops Production    </t>
  </si>
  <si>
    <t>Maize,  20 bags by 50 kg , k 300</t>
  </si>
  <si>
    <t>Low Prices Geographical Isolation Lack of Transportation Limited Market Knowledge</t>
  </si>
  <si>
    <t>57425541-7419-42db-ae63-532b22645ea6</t>
  </si>
  <si>
    <t>Masialeti mwanang'uku</t>
  </si>
  <si>
    <t>0975171880</t>
  </si>
  <si>
    <t>172008/82/1</t>
  </si>
  <si>
    <t xml:space="preserve">Siwito camp  and lingala village </t>
  </si>
  <si>
    <t>-15.1647261 22.9977847 1032.2 4.72</t>
  </si>
  <si>
    <t>High cost of inputs (fertilizers, pesticides) Pests and Diseases Drought</t>
  </si>
  <si>
    <t>Selling/Income generation Plowing/Draught power Manure production Milk Production Transportation Asethectic value</t>
  </si>
  <si>
    <t>More Grass (Types) More Unpalatable grasses Less fertile soils Less Grass ( Volume)</t>
  </si>
  <si>
    <t>Tick control  To let grass regrow Traditional Practice</t>
  </si>
  <si>
    <t xml:space="preserve">November </t>
  </si>
  <si>
    <t>1e5a744f-465b-471c-affc-1f61e009d7cd</t>
  </si>
  <si>
    <t>Sililo nawa</t>
  </si>
  <si>
    <t>095613999</t>
  </si>
  <si>
    <t>303425/82/1</t>
  </si>
  <si>
    <t>Siwito and liyala</t>
  </si>
  <si>
    <t>-15.1646821 22.997848 1021.969970703125 4.889</t>
  </si>
  <si>
    <t>Fish Farming Crop Production</t>
  </si>
  <si>
    <t>Selling/Income generation Asethectic value Milk Production Plowing/Draught power Transportation</t>
  </si>
  <si>
    <t>CBPP (Maswafu) Anaplasmosis (Nyoko) Liverfluke (Minyopi ya mwa sibiti)</t>
  </si>
  <si>
    <t>8ef4bdf7-063c-436c-b9f2-8056825e298a</t>
  </si>
  <si>
    <t>Batuke Musheba</t>
  </si>
  <si>
    <t>229212/82/1</t>
  </si>
  <si>
    <t>Siwito and lingala</t>
  </si>
  <si>
    <t xml:space="preserve">Nalubutu  </t>
  </si>
  <si>
    <t>-15.1646588 22.9977359 1035.6558837890625 4.653</t>
  </si>
  <si>
    <t>Maize 10</t>
  </si>
  <si>
    <t>Maize 15</t>
  </si>
  <si>
    <t>Meat Production Manure production Milk Production</t>
  </si>
  <si>
    <t>High disease prevalence</t>
  </si>
  <si>
    <t>CBPP (Maswafu) Mycotic Dermatitis (Lukwekwe) Anthrax (Lubete)</t>
  </si>
  <si>
    <t xml:space="preserve">Lack of Transportation Lack of linkages  </t>
  </si>
  <si>
    <t>553e6eac-cb80-47dd-b8bd-c2677d28a235</t>
  </si>
  <si>
    <t>Makuyu Makuyu</t>
  </si>
  <si>
    <t>0977833252</t>
  </si>
  <si>
    <t>253788/82/1</t>
  </si>
  <si>
    <t>Nalubutu katiyashuwa</t>
  </si>
  <si>
    <t>-15.1647024 22.9977183 1032.5118408203125 4.548</t>
  </si>
  <si>
    <t>Savings</t>
  </si>
  <si>
    <t>Rape Tomatoes</t>
  </si>
  <si>
    <t>Tomatoes crates</t>
  </si>
  <si>
    <t>Maize 50 bags</t>
  </si>
  <si>
    <t>Pests and Diseases Poor soil fertility Drought</t>
  </si>
  <si>
    <t>Meat Production Milk Production Transportation Manure production</t>
  </si>
  <si>
    <t>92335e82-ed6b-412e-8217-91c1a933ea95</t>
  </si>
  <si>
    <t>Namiluko Sikufele</t>
  </si>
  <si>
    <t>0951840569</t>
  </si>
  <si>
    <t>209745/82/1</t>
  </si>
  <si>
    <t>Siwito and Nangole</t>
  </si>
  <si>
    <t>Nalubutu and Akakulubelwa</t>
  </si>
  <si>
    <t>-15.1646775 22.9977331 1027.065673828125 4.981</t>
  </si>
  <si>
    <t>Fish Farming</t>
  </si>
  <si>
    <t>Maize 8bags</t>
  </si>
  <si>
    <t>12 bags</t>
  </si>
  <si>
    <t>Poor soil fertility Pests and Diseases Drought</t>
  </si>
  <si>
    <t>CBPP (Maswafu) Anaplasmosis (Nyoko)</t>
  </si>
  <si>
    <t>a0133671-b0a2-4cef-90f3-5e5a22f79c43</t>
  </si>
  <si>
    <t>Sitwell Simenda</t>
  </si>
  <si>
    <t>184138/82/1</t>
  </si>
  <si>
    <t>Siwito and Namweti</t>
  </si>
  <si>
    <t>Nalubutu Sicecani</t>
  </si>
  <si>
    <t>-15.1646463 22.9977391 1030.6077880859375 4.958</t>
  </si>
  <si>
    <t>Maize 18 bags</t>
  </si>
  <si>
    <t>Maize 30 bags</t>
  </si>
  <si>
    <t>Cattle Pigs</t>
  </si>
  <si>
    <t>Meat Production Manure production Milk Production Transportation</t>
  </si>
  <si>
    <t>CBPP (Maswafu) Black Leg (Ngongola) Foot and Mouth (Mulomo ni taku)</t>
  </si>
  <si>
    <t>Anthrax (Lubete) CBPP (Maswafu) Black Leg (Ngongola)</t>
  </si>
  <si>
    <t xml:space="preserve">Low Prices Geographical Isolation Lack of linkages  </t>
  </si>
  <si>
    <t>October August September</t>
  </si>
  <si>
    <t>7bb42dc7-70b8-49a9-901a-43529ef746e1</t>
  </si>
  <si>
    <t>Lizuba Mwangala</t>
  </si>
  <si>
    <t>0956957705</t>
  </si>
  <si>
    <t>384919/82/1</t>
  </si>
  <si>
    <t>Siwito Nalusheke</t>
  </si>
  <si>
    <t>Nalumango  Namutwi</t>
  </si>
  <si>
    <t>-15.1646589 22.9977593 1030.572509765625 4.904</t>
  </si>
  <si>
    <t>Rice 7 bags</t>
  </si>
  <si>
    <t>Rice 10bags x50kg</t>
  </si>
  <si>
    <t>Maize Rape Rice</t>
  </si>
  <si>
    <t>CBPP (Maswafu) Foot and Mouth (Mulomo ni litako)</t>
  </si>
  <si>
    <t xml:space="preserve">Limited Market Knowledge Limited access to finance </t>
  </si>
  <si>
    <t>Over grazing Fire Limited access to water sources</t>
  </si>
  <si>
    <t>More erosion More Grass (Types)</t>
  </si>
  <si>
    <t>9d6d1f44-102d-4e73-ac98-e90fa30056d3</t>
  </si>
  <si>
    <t>Minyoi Kwibisa</t>
  </si>
  <si>
    <t>0953540952</t>
  </si>
  <si>
    <t>277569/82/1</t>
  </si>
  <si>
    <t>Siwito and Likuyu</t>
  </si>
  <si>
    <t>Nalubutu  Mukulolo</t>
  </si>
  <si>
    <t>-15.1646744 22.9976852 1031.0693359375 4.747</t>
  </si>
  <si>
    <t>CBPP (Maswafu) Foot and Mouth (Mulomo ni taku) Anaplasmosis (Nyoko) Black Leg (Ngongola)</t>
  </si>
  <si>
    <t>Less Grass ( Volume) More Grass (Types) Less Grass (Types)</t>
  </si>
  <si>
    <t>October</t>
  </si>
  <si>
    <t>8b5e306a-56ee-4b46-8958-6f26855bfce0</t>
  </si>
  <si>
    <t>Wina lutangu</t>
  </si>
  <si>
    <t>0771643288</t>
  </si>
  <si>
    <t>327589/82/1</t>
  </si>
  <si>
    <t>-15.1646718 22.9977025 1030.2904052734375 4.861</t>
  </si>
  <si>
    <t>Over grazing Erosion Limited access to water sources</t>
  </si>
  <si>
    <t>More Grass (Types) Less Grass ( Volume) More Unpalatable grasses Less Grass (Types)</t>
  </si>
  <si>
    <t>27a326ec-00ef-4d24-9d5e-f75ceac04b8f</t>
  </si>
  <si>
    <t>Moscow Liambwenga</t>
  </si>
  <si>
    <t>261522/82/1</t>
  </si>
  <si>
    <t>Siwito ikwela</t>
  </si>
  <si>
    <t>Nalubutu lyambwenga</t>
  </si>
  <si>
    <t>-15.164725 22.9978319 1030.854736328125 4.767</t>
  </si>
  <si>
    <t>Maize 15bags @300</t>
  </si>
  <si>
    <t>Pests and Diseases Poor soil fertility High cost of inputs (fertilizers, pesticides)</t>
  </si>
  <si>
    <t>Anaplasmosis (Nyoko) CBPP (Maswafu) Black Leg (Ngongola)</t>
  </si>
  <si>
    <t xml:space="preserve">Lack of Transportation Limited Market Knowledge Limited access to finance </t>
  </si>
  <si>
    <t>Erosion Limited access to water sources Over grazing</t>
  </si>
  <si>
    <t>More Grass (Types) Less Grass ( Volume) Less Grass (Types)</t>
  </si>
  <si>
    <t>58f8503b-f3a9-4db3-aea9-6ecdc88ff3ca</t>
  </si>
  <si>
    <t>Makuy7 pumulo</t>
  </si>
  <si>
    <t>097899337</t>
  </si>
  <si>
    <t>272532/82/1</t>
  </si>
  <si>
    <t>Ishewambuto katiykshuwa</t>
  </si>
  <si>
    <t>-15.1647492 22.9977888 1026.39892578125 4.367</t>
  </si>
  <si>
    <t>Manure production Milk Production Meat Production</t>
  </si>
  <si>
    <t>Lack of linkages   Low Prices Lack of Transportation Limited access to finance</t>
  </si>
  <si>
    <t>Lack of Transportation Lack of linkages   Limited Market Knowledge</t>
  </si>
  <si>
    <t>More Grass (Types) Less Grass ( Volume) More Grass (Volume)</t>
  </si>
  <si>
    <t>67379211-a78e-4d00-90fd-6898b0052eca</t>
  </si>
  <si>
    <t>Aaron Mwangala</t>
  </si>
  <si>
    <t>0966293142</t>
  </si>
  <si>
    <t>277439/82/1</t>
  </si>
  <si>
    <t>Siwito/Situmbi</t>
  </si>
  <si>
    <t>Nalubutu/Mubika</t>
  </si>
  <si>
    <t>-15.2334744 22.9918985 1031.2874755859375 4.711</t>
  </si>
  <si>
    <t>Fishing Other Crop Production</t>
  </si>
  <si>
    <t xml:space="preserve">Maize 18 x 50kg for consumption only </t>
  </si>
  <si>
    <t>Maize 35 x 50kg x k400</t>
  </si>
  <si>
    <t>Bio Energy</t>
  </si>
  <si>
    <t>High temperatures Floods Pests and Diseases</t>
  </si>
  <si>
    <t>Other (Please Specify) Traditional Practice</t>
  </si>
  <si>
    <t>August September October November  December</t>
  </si>
  <si>
    <t>fa2a6a6a-7258-41af-bdd3-425617e95276</t>
  </si>
  <si>
    <t>Mutual Mubita</t>
  </si>
  <si>
    <t>0974921603</t>
  </si>
  <si>
    <t>277583/82/1</t>
  </si>
  <si>
    <t>Siwito/Likwanga</t>
  </si>
  <si>
    <t>Nalubutu/Namikuta</t>
  </si>
  <si>
    <t>-15.23348 22.9918038 1019.091552734375 4.914</t>
  </si>
  <si>
    <t xml:space="preserve">Maize 3 x 50kg for consumption only </t>
  </si>
  <si>
    <t xml:space="preserve">Maize 5 x 50kg for consumption only </t>
  </si>
  <si>
    <t>Drought High temperatures Pests and Diseases</t>
  </si>
  <si>
    <t>Liverfluke (Minyopi ya mwa sibiti) CBPP (Maswafu) Brucellosis (Butuku bwa Kufoloza)</t>
  </si>
  <si>
    <t>More Grass (Volume) More Grass (Types) More water More Unpalatable grasses</t>
  </si>
  <si>
    <t>To let grass regrow Traditional Practice Other (Please Specify)</t>
  </si>
  <si>
    <t>e02fa5bd-00dc-4df3-a34b-ef90c2f4aad0</t>
  </si>
  <si>
    <t>Mukumbuta Pumulo</t>
  </si>
  <si>
    <t>0775412910</t>
  </si>
  <si>
    <t>303706/82/1</t>
  </si>
  <si>
    <t>Siwito/Ngonjongo</t>
  </si>
  <si>
    <t>Nalubutu/Pumulo</t>
  </si>
  <si>
    <t>-15.2335006 22.9918628 1023.074951171875 4.225</t>
  </si>
  <si>
    <t>Fishing Other</t>
  </si>
  <si>
    <t xml:space="preserve">Poultry keeping </t>
  </si>
  <si>
    <t>Tomatoes Rape Okra Maize</t>
  </si>
  <si>
    <t xml:space="preserve">Maize 4 x 50kg  for consumption only </t>
  </si>
  <si>
    <t>Maize 23 x 50kg  x k350</t>
  </si>
  <si>
    <t>High cost of inputs (fertilizers, pesticides) Lack of capital Pests and Diseases</t>
  </si>
  <si>
    <t>Low Prices Limited Market Knowledge Inadequate Infrastructure</t>
  </si>
  <si>
    <t>More water More Grass (Volume) More Grass (Types)</t>
  </si>
  <si>
    <t>5ec81a94-5cb2-42af-9f48-6aa4b614396a</t>
  </si>
  <si>
    <t xml:space="preserve">Sikota Maboshe </t>
  </si>
  <si>
    <t>0966983160</t>
  </si>
  <si>
    <t>30942982/1</t>
  </si>
  <si>
    <t>Siwito/Nkanda</t>
  </si>
  <si>
    <t>Nalubutu/Ililonga</t>
  </si>
  <si>
    <t>-15.233533 22.9918331 1022.6378173828125 3.983</t>
  </si>
  <si>
    <t>Okra Rape Tomatoes</t>
  </si>
  <si>
    <t xml:space="preserve">Maize 7 x 50kg for consumption only </t>
  </si>
  <si>
    <t xml:space="preserve">Maize 10 x 50kg for consumption only </t>
  </si>
  <si>
    <t>Pests and Diseases High temperatures Floods</t>
  </si>
  <si>
    <t>Botulism (Kubama) Anaplasmosis (Nyoko) Bovine Dermatophilosis (Senkobo) Black Leg (Ngongola) Liverfluke (Minyopi ya mwa sibiti)</t>
  </si>
  <si>
    <t xml:space="preserve">Inadequate Infrastructure Geographical Isolation Lack of linkages  </t>
  </si>
  <si>
    <t>Other (Please Specify) To let grass regrow</t>
  </si>
  <si>
    <t>August September October November  December January</t>
  </si>
  <si>
    <t>5eb2fbfa-1fab-4e7b-a49b-43d4ed54c6d2</t>
  </si>
  <si>
    <t>Kaput Namakando</t>
  </si>
  <si>
    <t>0972524069</t>
  </si>
  <si>
    <t>361076/82/1</t>
  </si>
  <si>
    <t>Siwito/Mazwezi</t>
  </si>
  <si>
    <t>Nalubutu/Munopwa</t>
  </si>
  <si>
    <t>-15.2334621 22.9918912 1037.543212890625 4.976</t>
  </si>
  <si>
    <t>Livestock Production Fishing</t>
  </si>
  <si>
    <t>Rape Okra Chinese Cabbage</t>
  </si>
  <si>
    <t xml:space="preserve">Maize 6 x 50kg for consumption only </t>
  </si>
  <si>
    <t xml:space="preserve">Maize 8 x 50kg  for consumption only </t>
  </si>
  <si>
    <t>High temperatures Pests and Diseases Floods</t>
  </si>
  <si>
    <t>Anaplasmosis (Nyoko) Botulism (Kubama) Bovine Dermatophilosis (Senkobo) Liverfluke (Minyopi ya mwa sibiti)</t>
  </si>
  <si>
    <t>More Grass (Volume) More Unpalatable grasses More Grass (Types)</t>
  </si>
  <si>
    <t>cf5e53a2-9d59-4ec3-a10f-c6cf4022d168</t>
  </si>
  <si>
    <t>Name days Kalaluka</t>
  </si>
  <si>
    <t>0570575449</t>
  </si>
  <si>
    <t>277396/82/1</t>
  </si>
  <si>
    <t>Siwito/ itwandi</t>
  </si>
  <si>
    <t>Nalubutu/Mupatu</t>
  </si>
  <si>
    <t>-15.233492 22.9918646 1022.264404296875 4.817</t>
  </si>
  <si>
    <t>Tukongote saving group</t>
  </si>
  <si>
    <t>Pests and Diseases High cost of inputs (fertilizers, pesticides) Drought</t>
  </si>
  <si>
    <t>Low Prices Inadequate Infrastructure Geographical Isolation</t>
  </si>
  <si>
    <t>More Grass (Volume) More water More Grass (Types)</t>
  </si>
  <si>
    <t>6a6c95eb-3a6a-4014-80b1-d8462f01faf2</t>
  </si>
  <si>
    <t>Masheke Makweti</t>
  </si>
  <si>
    <t>0974926967</t>
  </si>
  <si>
    <t>327551/82/1</t>
  </si>
  <si>
    <t>-15.2334616 22.9918492 1026.195556640625 4.823</t>
  </si>
  <si>
    <t>Other Livestock Production</t>
  </si>
  <si>
    <t>Black Leg (Ngongola) Bovine Dermatophilosis (Senkobo) Botulism (Kubama) Liverfluke (Minyopi ya mwa sibiti) Anaplasmosis (Nyoko) Lumpy Skin Disease (Sikwekwe)</t>
  </si>
  <si>
    <t xml:space="preserve">N/A </t>
  </si>
  <si>
    <t>Over grazing Limited access to water sources More of Cropping Activities Fire</t>
  </si>
  <si>
    <t>86d481e2-8147-42c2-9573-b9e007f74ae8</t>
  </si>
  <si>
    <t>Kaput Lubinda</t>
  </si>
  <si>
    <t>0595624945</t>
  </si>
  <si>
    <t>309468/82/1</t>
  </si>
  <si>
    <t>Siwito/Likwangala</t>
  </si>
  <si>
    <t>-15.2334421 22.9917951 1027.7196044921875 3.79</t>
  </si>
  <si>
    <t>Rape Maize</t>
  </si>
  <si>
    <t xml:space="preserve">Maize  7 x 50kg for consumption only </t>
  </si>
  <si>
    <t>Pests and Diseases High cost of inputs (fertilizers, pesticides) High temperatures</t>
  </si>
  <si>
    <t>Selling/Income generation Manure production Transportation</t>
  </si>
  <si>
    <t>Inadequate Infrastructure Limited Market Knowledge Low Prices</t>
  </si>
  <si>
    <t>Over grazing More of Cropping Activities Fire Bush Encroachment</t>
  </si>
  <si>
    <t>More water More Unpalatable grasses More Grass (Types)</t>
  </si>
  <si>
    <t>be9b3b23-da2b-4767-8ea0-f0e8529f615f</t>
  </si>
  <si>
    <t>Sitapo Mutumba</t>
  </si>
  <si>
    <t>0950324401</t>
  </si>
  <si>
    <t>271666/82/1</t>
  </si>
  <si>
    <t>Siwito/Siliwa</t>
  </si>
  <si>
    <t>Nalubutu/Kayama</t>
  </si>
  <si>
    <t>-15.233474 22.9918337 1034.4210205078125 4.097</t>
  </si>
  <si>
    <t xml:space="preserve">Agora lending institutions </t>
  </si>
  <si>
    <t xml:space="preserve">Maize 2 x 50kg for consumption only </t>
  </si>
  <si>
    <t>More Grass (Types) More Unpalatable grasses More water</t>
  </si>
  <si>
    <t>36659a38-9c7b-48e2-bb73-c2c7f38e9740</t>
  </si>
  <si>
    <t>Kariba Kabisa</t>
  </si>
  <si>
    <t>-15.2334308 22.9916631 1034.4210205078125 4.446</t>
  </si>
  <si>
    <t>Livestock Production Other Fishing</t>
  </si>
  <si>
    <t xml:space="preserve">Maize 13 x 50kg  for consumption only </t>
  </si>
  <si>
    <t>Maize Tomatoes Rape Okra</t>
  </si>
  <si>
    <t>Pests and Diseases High temperatures Floods High cost of inputs (fertilizers, pesticides)</t>
  </si>
  <si>
    <t>Botulism (Kubama) Liverfluke (Minyopi ya mwa sibiti) Anaplasmosis (Nyoko) Foot and Mouth (Mulomo ni taku) CBPP (Maswafu) Anthrax (Lubete) Lumpy Skin Disease (Sikwekwe) Eye Infections/Pink Eye (Butuku bwa meto)</t>
  </si>
  <si>
    <t>More Grass (Types) More water More Unpalatable grasses</t>
  </si>
  <si>
    <t>3b6fb740-1330-4118-8698-c03d2a56fd87</t>
  </si>
  <si>
    <t xml:space="preserve">Mwangala Mwangala </t>
  </si>
  <si>
    <t>0955107241</t>
  </si>
  <si>
    <t>277438/82/1</t>
  </si>
  <si>
    <t>-15.233565 22.991915 1076.8999999999999 3.16</t>
  </si>
  <si>
    <t xml:space="preserve">Agora lending institution </t>
  </si>
  <si>
    <t xml:space="preserve">37 x 50kg x k350 </t>
  </si>
  <si>
    <t>Floods Pests and Diseases High temperatures</t>
  </si>
  <si>
    <t>Low Prices Limited access to finance  Inadequate Infrastructure</t>
  </si>
  <si>
    <t>e9b791a5-5db5-45e0-9002-82d083f7f6f5</t>
  </si>
  <si>
    <t xml:space="preserve">Humphrey Nyambe Maimbolwa </t>
  </si>
  <si>
    <t>0967951173</t>
  </si>
  <si>
    <t>178226/82/1</t>
  </si>
  <si>
    <t>Siwito/ Siliwa</t>
  </si>
  <si>
    <t>Nalubutu/kayama</t>
  </si>
  <si>
    <t>-15.2334983 22.9918133 1026.1 4.833</t>
  </si>
  <si>
    <t xml:space="preserve">Maize 14 x 50kg x k250 </t>
  </si>
  <si>
    <t xml:space="preserve">Low Prices Lack of Transportation Limited access to finance </t>
  </si>
  <si>
    <t>c42a416d-8452-4b0a-906a-94183cb6dd15</t>
  </si>
  <si>
    <t>Francis  Nawa Wamunyima</t>
  </si>
  <si>
    <t>0975669805</t>
  </si>
  <si>
    <t>260507/82/1</t>
  </si>
  <si>
    <t>Siwito/Siyubo</t>
  </si>
  <si>
    <t>Nalubutu/Kasimona</t>
  </si>
  <si>
    <t>-15.23352 22.9918683 954.4 4.92</t>
  </si>
  <si>
    <t>Fishing Livestock Production Other</t>
  </si>
  <si>
    <t xml:space="preserve">Maize 8 x 50kg for consumption only </t>
  </si>
  <si>
    <t xml:space="preserve">Maize 25 x 50kg x k350 </t>
  </si>
  <si>
    <t>Lack of capital Pests and Diseases Floods</t>
  </si>
  <si>
    <t>Limited Market Knowledge Predominance of Intermediaries Low Prices</t>
  </si>
  <si>
    <t>12ca3cae-8bfb-41bd-8c66-f143a5779738</t>
  </si>
  <si>
    <t>Lubinda  Mwananyambe</t>
  </si>
  <si>
    <t>0969832442</t>
  </si>
  <si>
    <t>335994/82/1</t>
  </si>
  <si>
    <t xml:space="preserve">Nalubutu/Ililonga </t>
  </si>
  <si>
    <t>-15.23345 22.991825 1047.1 4.783</t>
  </si>
  <si>
    <t xml:space="preserve">Maize 4 x 50kg for consumption only </t>
  </si>
  <si>
    <t xml:space="preserve">Lack of linkages   Geographical Isolation Limited access to finance </t>
  </si>
  <si>
    <t>c4319bba-a974-45c7-989f-4c373a8951e6</t>
  </si>
  <si>
    <t>0972726989</t>
  </si>
  <si>
    <t>128965/82/1</t>
  </si>
  <si>
    <t>Siwito/ Situmbi</t>
  </si>
  <si>
    <t>-15.2335067 22.9917817 1021.9 5.0</t>
  </si>
  <si>
    <t>Rice Cassava Maize Tomatoes Rape</t>
  </si>
  <si>
    <t>Maize 35 x 50kg x k600 
Rice  19 x 50kg  x k1000</t>
  </si>
  <si>
    <t>Maize 48 x 50kg x k750
Rice  27 x 50kg  x k1000</t>
  </si>
  <si>
    <t>Yes, Drip irrigation</t>
  </si>
  <si>
    <t>Cattle Pigs Goats Sheep Poultry</t>
  </si>
  <si>
    <t>July August September October Novemeber</t>
  </si>
  <si>
    <t xml:space="preserve">Over grazing More of Cropping Activities Fire Foreign plant evading  </t>
  </si>
  <si>
    <t>More Grass (Volume) More Unpalatable grasses More water</t>
  </si>
  <si>
    <t xml:space="preserve">July August September October November </t>
  </si>
  <si>
    <t>0bc6be58-65d3-4a97-b8bc-31d5caefb0b9</t>
  </si>
  <si>
    <t>Mushitu kaliki</t>
  </si>
  <si>
    <t>0969266228</t>
  </si>
  <si>
    <t>360958/82/1</t>
  </si>
  <si>
    <t>-15.2335267 22.9918217 1027.0 4.833</t>
  </si>
  <si>
    <t>Sweet Potatoes Rape Chinese Cabbage Okra</t>
  </si>
  <si>
    <t>Botulism (Kubama) Anaplasmosis (Nyoko) Bovine Dermatophilosis (Senkobo) Liverfluke (Minyopi ya mwa sibiti)</t>
  </si>
  <si>
    <t>73c6ce58-e48a-4f3b-8520-c84dbbb478f5</t>
  </si>
  <si>
    <t xml:space="preserve">Mwangala Liswaniso </t>
  </si>
  <si>
    <t>0978672367</t>
  </si>
  <si>
    <t>361149/82/1</t>
  </si>
  <si>
    <t xml:space="preserve">Siwito/Situmbi </t>
  </si>
  <si>
    <t xml:space="preserve">Nalubutu/Mubika </t>
  </si>
  <si>
    <t>-15.2335883 22.9917667 1019.3000000000001 4.95</t>
  </si>
  <si>
    <t xml:space="preserve">Tukongote saving group </t>
  </si>
  <si>
    <t>Rape Pumpkins</t>
  </si>
  <si>
    <t xml:space="preserve">Maize 1x 50kg  for consumption only </t>
  </si>
  <si>
    <t xml:space="preserve">3 x 50kg for consumption only </t>
  </si>
  <si>
    <t>342b285d-ee32-4420-a5f1-59ec7f5910c4</t>
  </si>
  <si>
    <t>Kabita Kabita</t>
  </si>
  <si>
    <t>357296/82/1</t>
  </si>
  <si>
    <t>-15.2334833 22.9917983 1027.7 4.983</t>
  </si>
  <si>
    <t xml:space="preserve">Maize 1 x 50kg for consumption only </t>
  </si>
  <si>
    <t>Pests and Diseases Floods High temperatures</t>
  </si>
  <si>
    <t>7a6779f3-95dc-4e67-bec2-f213f729a777</t>
  </si>
  <si>
    <t>0970065507</t>
  </si>
  <si>
    <t>422580/82/1</t>
  </si>
  <si>
    <t>Siwito/Kang'oti</t>
  </si>
  <si>
    <t>Nalubutu/Imamba</t>
  </si>
  <si>
    <t>-15.2334883 22.991805 1036.6 4.8</t>
  </si>
  <si>
    <t xml:space="preserve">Maize Rape Okra Other Onions </t>
  </si>
  <si>
    <t xml:space="preserve">Maize 3 x 50kg  for consumption only </t>
  </si>
  <si>
    <t xml:space="preserve">Maize 46 x 50kg for consumption only </t>
  </si>
  <si>
    <t>Low Prices Inadequate Infrastructure Predominance of Intermediaries</t>
  </si>
  <si>
    <t>More Grass (Volume) More Grass (Types) More Unpalatable grasses</t>
  </si>
  <si>
    <t>8687f9ce-e86f-4034-8e02-3fef4c23e4fb</t>
  </si>
  <si>
    <t xml:space="preserve">Muyunda Wakumelo </t>
  </si>
  <si>
    <t>0777315530</t>
  </si>
  <si>
    <t>181101/82/1</t>
  </si>
  <si>
    <t xml:space="preserve">Siwito/Siliwa </t>
  </si>
  <si>
    <t xml:space="preserve">Nalubutu/Kayama </t>
  </si>
  <si>
    <t>-15.23346 22.9917717 1021.2 5.0</t>
  </si>
  <si>
    <t>Maize Rice Groundnuts Sweet Potatoes</t>
  </si>
  <si>
    <t>99bc3654-5769-48cf-b534-5e97014908da</t>
  </si>
  <si>
    <t xml:space="preserve">Mabebo Maimbolwa </t>
  </si>
  <si>
    <t>0978118412</t>
  </si>
  <si>
    <t>277359/82/1</t>
  </si>
  <si>
    <t xml:space="preserve">Nalubutu/ Kayama </t>
  </si>
  <si>
    <t>-15.2335067 22.99187 1007.2 3.98</t>
  </si>
  <si>
    <t>Livestock Production Fishing Other</t>
  </si>
  <si>
    <t xml:space="preserve">Crop failure </t>
  </si>
  <si>
    <t>Maize Sweet Potatoes Chinese Cabbage</t>
  </si>
  <si>
    <t>Pests and Diseases High temperatures Floods Drought High cost of inputs (fertilizers, pesticides)</t>
  </si>
  <si>
    <t>Inadequate Infrastructure Low Prices Unreliable/Inconsistent Off-take</t>
  </si>
  <si>
    <t>More Grass (Volume) More Unpalatable grasses More fertile soils</t>
  </si>
  <si>
    <t>2638e62a-3b94-447e-8eaa-4c0fe69caaeb</t>
  </si>
  <si>
    <t>Mayunyi Mukelabai</t>
  </si>
  <si>
    <t>0974897251</t>
  </si>
  <si>
    <t>273343/82/1</t>
  </si>
  <si>
    <t>Nak</t>
  </si>
  <si>
    <t>-15.3859491 23.1849371 1024.283203125 4.756</t>
  </si>
  <si>
    <t xml:space="preserve">Rice 35 bags, 50kgs sold @k600
Maize 7 bags just for food </t>
  </si>
  <si>
    <t xml:space="preserve">Rice 67bags 50kgs sold 30 @ k500 each </t>
  </si>
  <si>
    <t>CBPP (Maswafu) Brucellosis (Butuku bwa Kufoloza) Botulism (Kubama) Heartwater (Matakani) Liverfluke (Minyopi ya mwa sibiti) Anaplasmosis (Nyoko)</t>
  </si>
  <si>
    <t>September October Novemeber December</t>
  </si>
  <si>
    <t>Less Grass ( Volume) Less Grass (Types) More erosion More fertile soils</t>
  </si>
  <si>
    <t>48f019ba-0b18-4923-a1f6-4a51ce869188</t>
  </si>
  <si>
    <t>Kalyangu Besenga</t>
  </si>
  <si>
    <t>0978069259</t>
  </si>
  <si>
    <t>260400/82/1</t>
  </si>
  <si>
    <t xml:space="preserve">Camp Namushekedi </t>
  </si>
  <si>
    <t>-15.385901 23.1848625 1032.361083984375 4.053</t>
  </si>
  <si>
    <t xml:space="preserve">Namushekendi rangeland </t>
  </si>
  <si>
    <t xml:space="preserve">Rice 60 bags, 50kgs @ k800
Maize  12 bags just for food </t>
  </si>
  <si>
    <t>Botulism (Kubama) Anaplasmosis (Nyoko) Anthrax (Lubete) Lumpy Skin Disease (Sikwekwe) Black Leg (Ngongola) Eye Infections/Pink Eye (Butuku bwa meto) Liverfluke (Minyopi ya mwa sibiti) Heartwater (Matakani)</t>
  </si>
  <si>
    <t>Botulism (Kubama) Foot and Mouth (Mulomo ni litako) Brucellosis (Butuku bwa Kufoloza) Black Leg (Ngongola) Anthrax (Lubete)</t>
  </si>
  <si>
    <t>More Grass (Types) Less Grass ( Volume) Less Grass (Types) More erosion</t>
  </si>
  <si>
    <t>a97bd801-fb20-41d5-9e89-1b7ee575eea3</t>
  </si>
  <si>
    <t>Baseless Mundia</t>
  </si>
  <si>
    <t>0979724087</t>
  </si>
  <si>
    <t>289083/82/1</t>
  </si>
  <si>
    <t>Nakonga village</t>
  </si>
  <si>
    <t>-15.3864779 23.185451 1021.3505859375 4.552</t>
  </si>
  <si>
    <t>Rice 70bags @ k500
Maize 15bags for food only</t>
  </si>
  <si>
    <t>CBPP (Maswafu) Botulism (Kubama) Liverfluke (Minyopi ya mwa sibiti) Anaplasmosis (Nyoko) Mycotic Dermatitis (Lukwekwe) Anthrax (Lubete) Eye Infections/Pink Eye (Butuku bwa meto) Black Leg (Ngongola)</t>
  </si>
  <si>
    <t xml:space="preserve">Aggregators </t>
  </si>
  <si>
    <t>Less Grass (Types) Less Grass ( Volume) More erosion</t>
  </si>
  <si>
    <t>8b34a8dc-d14d-4a1f-9ca2-c4504f46ca7b</t>
  </si>
  <si>
    <t>Mwala Mwangala</t>
  </si>
  <si>
    <t>0976863216</t>
  </si>
  <si>
    <t>231238/82/1</t>
  </si>
  <si>
    <t>Nakamba</t>
  </si>
  <si>
    <t>-15.3858463 23.1848013 1027.5838623046875 4.925</t>
  </si>
  <si>
    <t>Rice 45 bags 50kgs, @k350
Maize 22bags 50kgs @k280</t>
  </si>
  <si>
    <t>Rice 62 bags 50kgs not yet sold 
Maize 16 bags 50kgs for consumption only</t>
  </si>
  <si>
    <t>Maize Rice Sweet Potatoes Cassava</t>
  </si>
  <si>
    <t>Foot and Mouth (Mulomo ni litako) Botulism (Kubama) Lumpy Skin Disease (Sikwekwe) Black Leg (Ngongola)</t>
  </si>
  <si>
    <t>Other (please specify)</t>
  </si>
  <si>
    <t>3d5e377d-8b7f-4681-a493-5ebdf2bc14f6</t>
  </si>
  <si>
    <t>Kambangala Kangombe</t>
  </si>
  <si>
    <t>0979713447</t>
  </si>
  <si>
    <t>234122/82/1</t>
  </si>
  <si>
    <t>Namuskade</t>
  </si>
  <si>
    <t>-15.385903 23.1849086 1040.48291015625 7.915</t>
  </si>
  <si>
    <t>Tembi Multipurpose coop</t>
  </si>
  <si>
    <t>Rice 67 bags 50kg sold 12 @ k500
Maize 15 bags 50kgs not sold just for food</t>
  </si>
  <si>
    <t>Meat Production Selling/Income generation Plowing/Draught power Manure production Transportation Milk Production Breeding</t>
  </si>
  <si>
    <t>Botulism (Kubama) Anaplasmosis (Nyoko) Heartwater (Matakani) Anthrax (Lubete) Eye Infections/Pink Eye (Butuku bwa meto) Black Leg (Ngongola) Lumpy Skin Disease (Sikwekwe) Brucellosis (Butuku bwa Kufoloza)</t>
  </si>
  <si>
    <t>More Grass (Types) Less Grass ( Volume) Less Grass (Types) Less water</t>
  </si>
  <si>
    <t>ebacb1d7-c36c-4cb0-9397-99dd8ab1f67f</t>
  </si>
  <si>
    <t>Siyunyi Wamulomba</t>
  </si>
  <si>
    <t>0976392895</t>
  </si>
  <si>
    <t>201371/82/1</t>
  </si>
  <si>
    <t>Namushekendi camp</t>
  </si>
  <si>
    <t>-15.3859234 23.1849131 1033.50732421875 3.798</t>
  </si>
  <si>
    <t>Sefula mutwambwa katongo rangeland</t>
  </si>
  <si>
    <t>Rice 36 bags 50kgs @ k500
Maize 11 bags50kgs not sold</t>
  </si>
  <si>
    <t>Botulism (Kubama) Heartwater (Matakani) Anaplasmosis (Nyoko) Anthrax (Lubete) Mycotic Dermatitis (Lukwekwe) Eye Infections/Pink Eye (Butuku bwa meto) Black Leg (Ngongola) Lumpy Skin Disease (Sikwekwe)</t>
  </si>
  <si>
    <t>Botulism (Kubama) Foot and Mouth (Mulomo ni litako) Brucellosis (Butuku bwa Kufoloza) Anthrax (Lubete) Black Leg (Ngongola)</t>
  </si>
  <si>
    <t>March February April</t>
  </si>
  <si>
    <t>Less Grass ( Volume) Less Grass (Types) More erosion Less water</t>
  </si>
  <si>
    <t>2fb001ef-60ba-4b78-8c89-3e6768e27522</t>
  </si>
  <si>
    <t>Likando Anaywa</t>
  </si>
  <si>
    <t>0977587108</t>
  </si>
  <si>
    <t>256095/82/1</t>
  </si>
  <si>
    <t>Namushekendi</t>
  </si>
  <si>
    <t>-15.3859096 23.184895 1034.0631103515625 4.337</t>
  </si>
  <si>
    <t>Sefula mutwambwa katongo rangelands</t>
  </si>
  <si>
    <t>Meat Production Plowing/Draught power Selling/Income generation Manure production Milk Production Transportation</t>
  </si>
  <si>
    <t>Botulism (Kubama) Anaplasmosis (Nyoko) Anthrax (Lubete) Mycotic Dermatitis (Lukwekwe) Eye Infections/Pink Eye (Butuku bwa meto) Black Leg (Ngongola)</t>
  </si>
  <si>
    <t>Botulism (Kubama) Anthrax (Lubete) Black Leg (Ngongola) Lumpy Skin Disease (Sikwekwe) Foot and Mouth (Mulomo ni litako) Brucellosis (Butuku bwa Kufoloza)</t>
  </si>
  <si>
    <t>d5927068-23f6-4a71-a95e-f4201ff5962d</t>
  </si>
  <si>
    <t>Wkuguma Bonavi</t>
  </si>
  <si>
    <t>0773741352</t>
  </si>
  <si>
    <t>268800/11/1</t>
  </si>
  <si>
    <t>-15.3859427 23.1849374 1033.315673828125 4.496</t>
  </si>
  <si>
    <t>Rice 11 bags 50kgs old 5 @ k350
Maize just for food</t>
  </si>
  <si>
    <t>Rice 17bags 50kg  not sold 
Maize 15bags 50kg not sold</t>
  </si>
  <si>
    <t>Heartwater (Matakani) Botulism (Kubama) Anaplasmosis (Nyoko) Anthrax (Lubete) Mycotic Dermatitis (Lukwekwe) Eye Infections/Pink Eye (Butuku bwa meto) Lumpy Skin Disease (Sikwekwe)  Bovine Tuberculosis</t>
  </si>
  <si>
    <t>Less Grass ( Volume) Less Grass (Types) Less water Less fertile soils</t>
  </si>
  <si>
    <t>c7939f42-5735-4268-9f4c-2e7419c8f1cb</t>
  </si>
  <si>
    <t>Mainda akayombokwa</t>
  </si>
  <si>
    <t>0777001753</t>
  </si>
  <si>
    <t>238755/82/1</t>
  </si>
  <si>
    <t>-15.3859115 23.1848789 1035.4686279296875 4.826</t>
  </si>
  <si>
    <t>Rice 60 bags 50kgs sold @k250
Maize 20bags 50kgs not sold just for food</t>
  </si>
  <si>
    <t>Rice 50 bags 50kgs sold @k400
Maize 25 bags 50kags just for food</t>
  </si>
  <si>
    <t>October Novemeber December</t>
  </si>
  <si>
    <t>5b01e4d6-b197-458c-8d7d-105c8f225b97</t>
  </si>
  <si>
    <t>Elizabeth skoko Ngenda</t>
  </si>
  <si>
    <t>0774384906</t>
  </si>
  <si>
    <t>114531/82/1</t>
  </si>
  <si>
    <t>-15.3859292 23.1848986 1037.3662109375 4.834</t>
  </si>
  <si>
    <t>Rice 50bags, 50kgs sold 30 @ k800
Maize 10bags 50kgs for food</t>
  </si>
  <si>
    <t>CBPP (Maswafu) Brucellosis (Butuku bwa Kufoloza) Botulism (Kubama) Heartwater (Matakani) Liverfluke (Minyopi ya mwa sibiti) Anaplasmosis (Nyoko) Anthrax (Lubete) Black Leg (Ngongola) Eye Infections/Pink Eye (Butuku bwa meto)  Bovine Tuberculosis</t>
  </si>
  <si>
    <t>Botulism (Kubama) Anthrax (Lubete) Black Leg (Ngongola) Lumpy Skin Disease (Sikwekwe) Brucellosis (Butuku bwa Kufoloza)</t>
  </si>
  <si>
    <t xml:space="preserve">Fire Over grazing Foreign plant evading  </t>
  </si>
  <si>
    <t>ff751891-ff70-4e17-b654-e77f251e53e0</t>
  </si>
  <si>
    <t>Patricia Mutukwa Numwa</t>
  </si>
  <si>
    <t>0978696045</t>
  </si>
  <si>
    <t>114450/82/1</t>
  </si>
  <si>
    <t>-15.385919 23.1849025 1027.726806640625 3.79</t>
  </si>
  <si>
    <t>Rice 11 50kg, sold 5 bags @ k700
Maize 4 bags  just for food</t>
  </si>
  <si>
    <t>Maize 6 bags 50kgs not sold</t>
  </si>
  <si>
    <t>Less water Less Grass (Types) Less Grass ( Volume)</t>
  </si>
  <si>
    <t>9ffcd418-c03c-46f9-8e33-5d94873e54ce</t>
  </si>
  <si>
    <t>Kahului Muzaza</t>
  </si>
  <si>
    <t>09778057030</t>
  </si>
  <si>
    <t>256582/82/1</t>
  </si>
  <si>
    <t>-15.2953544 23.1757056 1073.9208984375 4.929</t>
  </si>
  <si>
    <t>Rice 25 bags, sold 15 @ k 700</t>
  </si>
  <si>
    <t>9c529f58-9ac0-4e36-b34d-79f2606b2af7</t>
  </si>
  <si>
    <t>Mulond Mulonda</t>
  </si>
  <si>
    <t>0978584101</t>
  </si>
  <si>
    <t>407076/82/1</t>
  </si>
  <si>
    <t>-15.2953436 23.1757104 1061.8603515625 3.977</t>
  </si>
  <si>
    <t>Rice 15 bags, sold 10 @k500</t>
  </si>
  <si>
    <t>Anthrax (Lubete) Anaplasmosis (Nyoko) Liverfluke (Minyopi ya mwa sibiti) Botulism (Kubama) Brucellosis (Butuku bwa Kufoloza) Heartwater (Matakani)</t>
  </si>
  <si>
    <t>Botulism (Kubama) Anthrax (Lubete) Foot and Mouth (Mulomo ni litako) Brucellosis (Butuku bwa Kufoloza) Lumpy Skin Disease (Sikwekwe)</t>
  </si>
  <si>
    <t>Fire Erosion Over grazing Bush Encroachment</t>
  </si>
  <si>
    <t>b00be213-cc18-4136-9a7e-195909011b95</t>
  </si>
  <si>
    <t>Iikukela Mubiana</t>
  </si>
  <si>
    <t>0976102528</t>
  </si>
  <si>
    <t>261762/82/1</t>
  </si>
  <si>
    <t>-15.2953633 23.1756858 1067.6407470703125 3.874</t>
  </si>
  <si>
    <t xml:space="preserve">Low Prices Limited access to finance  Lack of linkages  </t>
  </si>
  <si>
    <t>Over grazing Erosion Fire</t>
  </si>
  <si>
    <t>60ab8f38-0a34-4205-a48e-2a0301e15029</t>
  </si>
  <si>
    <t>Mwangewa Mwangewa</t>
  </si>
  <si>
    <t>0953704418</t>
  </si>
  <si>
    <t>191353/82/1</t>
  </si>
  <si>
    <t xml:space="preserve">Suwito camp, Newa vg </t>
  </si>
  <si>
    <t>-15.1975633 22.9734083 1011.1 4.433</t>
  </si>
  <si>
    <t xml:space="preserve">Knongote, Village banking </t>
  </si>
  <si>
    <t>Selling/Income generation Plowing/Draught power Manure production Milk Production Asethectic value</t>
  </si>
  <si>
    <t>Foot and Mouth (Mulomo ni taku) Heartwater (Matakani) CBPP (Maswafu) Lumpy Skin Disease (Sikwekwe) Anthrax (Lubete)</t>
  </si>
  <si>
    <t>Lack of linkages   Lack of Transportation Low Prices</t>
  </si>
  <si>
    <t>Lack of linkages   Geographical Isolation Lack of Transportation</t>
  </si>
  <si>
    <t xml:space="preserve">During a personal crisis </t>
  </si>
  <si>
    <t>Over grazing Limited access to water sources More of Cropping Activities</t>
  </si>
  <si>
    <t>2b52a298-bada-4fb2-9bdf-bc97b34fa14b</t>
  </si>
  <si>
    <t>Mwanangono Ifunga</t>
  </si>
  <si>
    <t>0954144286</t>
  </si>
  <si>
    <t>277485/82/1</t>
  </si>
  <si>
    <t>Switch camp, Newark vg</t>
  </si>
  <si>
    <t>-15.19742 22.9736583 1041.0 4.95</t>
  </si>
  <si>
    <t>Maize: 1 bag (50kg) @ k250/bag</t>
  </si>
  <si>
    <t>Maize: 15 bags (50 kg) @ k350/bag</t>
  </si>
  <si>
    <t>More erosion Less fertile soils Less Grass ( Volume)</t>
  </si>
  <si>
    <t>4f77e31f-38e4-4506-8deb-227b9742d428</t>
  </si>
  <si>
    <t>Namuyamba Monde</t>
  </si>
  <si>
    <t>0972019625</t>
  </si>
  <si>
    <t>343118/82/1</t>
  </si>
  <si>
    <t>Switch camp, Newa</t>
  </si>
  <si>
    <t>-15.1974283 22.9736833 1066.6 4.433</t>
  </si>
  <si>
    <t>Foot and Mouth (Mulomo ni taku) Anaplasmosis (Nyoko) Anthrax (Lubete)</t>
  </si>
  <si>
    <t>Anthrax (Lubete)</t>
  </si>
  <si>
    <t>Geographical Isolation Lack of linkages   Lack of Transportation</t>
  </si>
  <si>
    <t>Limited access to water sources More of Cropping Activities Erosion</t>
  </si>
  <si>
    <t>More Unpalatable grasses More erosion</t>
  </si>
  <si>
    <t>4143a7b7-19de-41db-9cf4-e6e31a0db85f</t>
  </si>
  <si>
    <t>Nyambo Pumulo</t>
  </si>
  <si>
    <t>0964194437</t>
  </si>
  <si>
    <t>235515/82/1</t>
  </si>
  <si>
    <t>Suwitu camp, Newa</t>
  </si>
  <si>
    <t>-15.1974833 22.9736083 1029.8 4.6</t>
  </si>
  <si>
    <t>Maize: 2bags (50kg) @ k300/bag</t>
  </si>
  <si>
    <t>Fire Limited access to water sources More of Cropping Activities</t>
  </si>
  <si>
    <t>More Grass (Types) More erosion</t>
  </si>
  <si>
    <t>563a87c6-8178-4e69-8300-84d78fbbdc86</t>
  </si>
  <si>
    <t>Lubinda Kamoti</t>
  </si>
  <si>
    <t>0953027142</t>
  </si>
  <si>
    <t>196415/84/1</t>
  </si>
  <si>
    <t>Suwitu, Newa</t>
  </si>
  <si>
    <t>-15.1975 22.9735433 1019.9 4.666</t>
  </si>
  <si>
    <t>Okra Tomatoes Rape</t>
  </si>
  <si>
    <t xml:space="preserve">Tomatoes: 10 crates @ k150/crate_per week during rain season 
Okra: 1bag (25kg) @ k150/bag_ after 2days
Rape: 4bags (50kg) @ k150/bag_ per week </t>
  </si>
  <si>
    <t xml:space="preserve">Lack of Transportation Inadequate Infrastructure Lack of linkages  </t>
  </si>
  <si>
    <t>Limited access to water sources More of Cropping Activities Fire</t>
  </si>
  <si>
    <t>ae51a51c-2d86-4486-9f4e-df57e7c4187c</t>
  </si>
  <si>
    <t>Nyambe Situmbeko</t>
  </si>
  <si>
    <t>0951551632</t>
  </si>
  <si>
    <t>191946/82/1</t>
  </si>
  <si>
    <t>Suwitu camp,Newa</t>
  </si>
  <si>
    <t>-15.1974267 22.97363 986.6 4.9</t>
  </si>
  <si>
    <t>Selling/Income generation Plowing/Draught power Manure production Milk Production Asethectic value Transportation</t>
  </si>
  <si>
    <t>Lack of Transportation Inadequate Infrastructure Predominance of Intermediaries</t>
  </si>
  <si>
    <t xml:space="preserve">Personal crisis </t>
  </si>
  <si>
    <t>More of Cropping Activities Foreign plant evading   Bush Encroachment</t>
  </si>
  <si>
    <t>Less Grass ( Volume) More Unpalatable grasses More erosion</t>
  </si>
  <si>
    <t>52f83619-693b-4cef-979d-1fc65a05b890</t>
  </si>
  <si>
    <t xml:space="preserve">Mutalekelwa Munyinda </t>
  </si>
  <si>
    <t>0954002352</t>
  </si>
  <si>
    <t>303456/82/1</t>
  </si>
  <si>
    <t xml:space="preserve">Suwitu camp, Makalu </t>
  </si>
  <si>
    <t>-15.1973817 22.973545 1002.2 4.566</t>
  </si>
  <si>
    <t>Maize: 4 bags (50kg) @ k300/bag
Tomotoes: 10 crates @ k200</t>
  </si>
  <si>
    <t>CBPP (Maswafu) Anaplasmosis (Nyoko) Foot and Mouth (Mulomo ni taku) Black Leg (Ngongola)</t>
  </si>
  <si>
    <t>Foot and Mouth (Mulomo ni litako) CBPP (Maswafu)</t>
  </si>
  <si>
    <t>Geographical Isolation Predominance of Intermediaries Lack of Transportation</t>
  </si>
  <si>
    <t>Foreign plant evading   More Unpalatable grasses Fire</t>
  </si>
  <si>
    <t>1818878e-c2a6-435a-a2d2-c3db20540f84</t>
  </si>
  <si>
    <t xml:space="preserve">Sakubita Lisibani </t>
  </si>
  <si>
    <t>0956487331</t>
  </si>
  <si>
    <t>279268/82/1</t>
  </si>
  <si>
    <t>Suwitu camp, Makalo</t>
  </si>
  <si>
    <t>-15.1974667 22.9733917 1092.3 4.816</t>
  </si>
  <si>
    <t>Maize Tomatoes Okra</t>
  </si>
  <si>
    <t xml:space="preserve">Maize: 3 bags ( 50kg) @ k300
Tomatoes: 2 crates at k200/crate </t>
  </si>
  <si>
    <t>Anaplasmosis (Nyoko) Anthrax (Lubete)</t>
  </si>
  <si>
    <t>Predominance of Intermediaries Lack of Transportation Limited Market Knowledge</t>
  </si>
  <si>
    <t xml:space="preserve">Geographical Isolation Lack of Transportation Lack of linkages  </t>
  </si>
  <si>
    <t>Bush Encroachment More of Cropping Activities</t>
  </si>
  <si>
    <t>b7706a74-013b-4bd1-ae33-05d4640c5c58</t>
  </si>
  <si>
    <t>Kufuna Lubinda</t>
  </si>
  <si>
    <t>0954308005</t>
  </si>
  <si>
    <t>367852/82/1</t>
  </si>
  <si>
    <t xml:space="preserve">Suwitu camp, Makalo </t>
  </si>
  <si>
    <t>-15.1975317 22.9733733 1040.5 4.95</t>
  </si>
  <si>
    <t xml:space="preserve">Lingalala, Village banking </t>
  </si>
  <si>
    <t>Rape Hibiscus Saddariffa (Sindambi) Okra</t>
  </si>
  <si>
    <t>Okra: 1 bag (25kg) @ k150</t>
  </si>
  <si>
    <t>Hibiscus Saddariffa (Sindambi) Okra Rape</t>
  </si>
  <si>
    <t>Meat Production Selling/Income generation Plowing/Draught power Manure production Milk Production Asethectic value</t>
  </si>
  <si>
    <t>Geographical Isolation Lack of Transportation Predominance of Intermediaries</t>
  </si>
  <si>
    <t>Lack of Transportation Inadequate Infrastructure Geographical Isolation</t>
  </si>
  <si>
    <t>Limited access to water sources Foreign plant evading   Erosion Fire</t>
  </si>
  <si>
    <t>7b2e52f5-a281-4664-9852-1161cee50e0b</t>
  </si>
  <si>
    <t xml:space="preserve">Shita Simasiku </t>
  </si>
  <si>
    <t>0968878726</t>
  </si>
  <si>
    <t>178677/82/1</t>
  </si>
  <si>
    <t>Suwitu camp,  Newa vg</t>
  </si>
  <si>
    <t>-15.1973983 22.97354 1104.3 4.733</t>
  </si>
  <si>
    <t>Maize Rice Rape Okra Chinese Cabbage Tomatoes</t>
  </si>
  <si>
    <t>CBPP (Maswafu) Anthrax (Lubete) Anaplasmosis (Nyoko) Foot and Mouth (Mulomo ni taku)</t>
  </si>
  <si>
    <t>More Unpalatable grasses More erosion Less Grass ( Volume)</t>
  </si>
  <si>
    <t>9ba4b8cf-6aed-470c-9a39-9d2f077069a9</t>
  </si>
  <si>
    <t xml:space="preserve">Kaposhi Nyambe </t>
  </si>
  <si>
    <t>0977423559</t>
  </si>
  <si>
    <t>747464/11/1</t>
  </si>
  <si>
    <t>Suwito Vet camp, Newa vg</t>
  </si>
  <si>
    <t>-15.19745 22.9735662 1032.468505859375 4.846</t>
  </si>
  <si>
    <t>Maize: 30 bags (50kg) @ k700/b</t>
  </si>
  <si>
    <t>Maize: 100 bags_ yet to sell</t>
  </si>
  <si>
    <t>Drought Poor soil fertility Other</t>
  </si>
  <si>
    <t>CBPP (Maswafu) Lumpy Skin Disease (Sikwekwe) Botulism (Kubama) Anthrax (Lubete)</t>
  </si>
  <si>
    <t>Low Prices Predominance of Intermediaries Lack of Transportation</t>
  </si>
  <si>
    <t xml:space="preserve">When a personal crisis arises and cattle are fat around December </t>
  </si>
  <si>
    <t>Limited access to water sources More Unpalatable grasses Fire Bush Encroachment</t>
  </si>
  <si>
    <t>More Unpalatable grasses Less fertile soils Less Grass ( Volume) Less water</t>
  </si>
  <si>
    <t>72026f0d-981b-4d5f-a7d3-77d0107c9d24</t>
  </si>
  <si>
    <t xml:space="preserve">Nyambe Matemwa </t>
  </si>
  <si>
    <t>0972766991</t>
  </si>
  <si>
    <t>226844/82/1</t>
  </si>
  <si>
    <t>Suwitu camp: Newa vg</t>
  </si>
  <si>
    <t>-15.1975037 22.9735688 1023.6077880859375 4.834</t>
  </si>
  <si>
    <t>Knongote Group: village banking</t>
  </si>
  <si>
    <t>Selling/Income generation Plowing/Draught power Milk Production Manure production Asethectic value</t>
  </si>
  <si>
    <t>Foot and Mouth (Mulomo ni taku) Heartwater (Matakani) CBPP (Maswafu) Anthrax (Lubete)</t>
  </si>
  <si>
    <t>Over grazing Limited access to water sources Fire</t>
  </si>
  <si>
    <t>87692508-9b9c-44eb-8e13-7c9fda253dac</t>
  </si>
  <si>
    <t>Nyambe Kapewa</t>
  </si>
  <si>
    <t>0950800463</t>
  </si>
  <si>
    <t>272698/82/1</t>
  </si>
  <si>
    <t>-15.1974535 22.9736006 1026.5657958984375 4.995</t>
  </si>
  <si>
    <t>Lack of Transportation Low Prices Unreliable/Inconsistent Off-take</t>
  </si>
  <si>
    <t>More erosion Less Grass (Types)</t>
  </si>
  <si>
    <t>e5a79ffb-e8e2-4b86-a881-bea3ee53171f</t>
  </si>
  <si>
    <t>Wanamwale Pumulo</t>
  </si>
  <si>
    <t>0952223070</t>
  </si>
  <si>
    <t>327651/82/1</t>
  </si>
  <si>
    <t>-15.1974871 22.9736107 1017.875 4.972</t>
  </si>
  <si>
    <t>Selling/Income generation Plowing/Draught power Asethectic value Milk Production Manure production</t>
  </si>
  <si>
    <t>Anthrax (Lubete) Foot and Mouth (Mulomo ni taku) Anaplasmosis (Nyoko)</t>
  </si>
  <si>
    <t>Lack of linkages   Lack of Transportation Geographical Isolation</t>
  </si>
  <si>
    <t>2f70216f-0501-47d9-aca2-f35ec8cc327c</t>
  </si>
  <si>
    <t>Milupi sikeke</t>
  </si>
  <si>
    <t>0968257332</t>
  </si>
  <si>
    <t>331441/82/1</t>
  </si>
  <si>
    <t>Suwitu camp,  Newa</t>
  </si>
  <si>
    <t>-15.1974946 22.9736297 1027.1785888671875 4.709</t>
  </si>
  <si>
    <t>Rape Chinese Cabbage Tomatoes</t>
  </si>
  <si>
    <t xml:space="preserve">Limited access to water sources More of Cropping Activities Fire Foreign plant evading  </t>
  </si>
  <si>
    <t>48700823-2ed5-4262-ba54-26d10ffe17e7</t>
  </si>
  <si>
    <t>Nyambe Simenda</t>
  </si>
  <si>
    <t>0750722414</t>
  </si>
  <si>
    <t>164287/82/1</t>
  </si>
  <si>
    <t xml:space="preserve">Suwitu,Newa </t>
  </si>
  <si>
    <t>-15.1975183 22.9736231 1030.6962890625 4.988</t>
  </si>
  <si>
    <t>Rape Tomatoes Okra</t>
  </si>
  <si>
    <t>Tomatoes: 10 crates @ k150/crate 
Okra: 1 bag (25kg) @ k150/ bag
Rape: 4bag (50kg) @ k150/bag</t>
  </si>
  <si>
    <t>Geographical Isolation Low Prices Limited access to finance</t>
  </si>
  <si>
    <t>Lack of Transportation Lack of linkages   Geographical Isolation</t>
  </si>
  <si>
    <t>b6fb290f-b547-4ddf-bf41-9670e901458f</t>
  </si>
  <si>
    <t>Mwangala Nyambe</t>
  </si>
  <si>
    <t>0956491795</t>
  </si>
  <si>
    <t>235360/82/1</t>
  </si>
  <si>
    <t xml:space="preserve">Suwitu camp, Newa </t>
  </si>
  <si>
    <t>-15.1975055 22.9735684 1041.502197265625 4.867</t>
  </si>
  <si>
    <t>Maize Rape Okra Sweet Potatoes</t>
  </si>
  <si>
    <t>Asethectic value Transportation Milk Production Manure production Plowing/Draught power Selling/Income generation</t>
  </si>
  <si>
    <t>Lack of Transportation Low Prices Predominance of Intermediaries</t>
  </si>
  <si>
    <t>Lack of linkages   Lack of Transportation Inadequate Infrastructure</t>
  </si>
  <si>
    <t xml:space="preserve">When there's a crisis </t>
  </si>
  <si>
    <t>5555bce0-9584-4580-b550-03d9293ab85c</t>
  </si>
  <si>
    <t>Mundia Moto</t>
  </si>
  <si>
    <t>0761371085</t>
  </si>
  <si>
    <t>252437/82/1</t>
  </si>
  <si>
    <t>Suwitu, Makalo</t>
  </si>
  <si>
    <t>-15.1975419 22.9734899 1023.595703125 11.079</t>
  </si>
  <si>
    <t>Maize: 5bags (50kg) @k350/bag</t>
  </si>
  <si>
    <t>Selling/Income generation Plowing/Draught power Manure production Transportation Asethectic value</t>
  </si>
  <si>
    <t>Foreign plant evading   Bush Encroachment More Unpalatable grasses</t>
  </si>
  <si>
    <t>4a140159-8355-48ed-b2d3-d3f296b089c5</t>
  </si>
  <si>
    <t xml:space="preserve">Mulonda kaposhi </t>
  </si>
  <si>
    <t>0963932591</t>
  </si>
  <si>
    <t>212881/82/1</t>
  </si>
  <si>
    <t>Suwitu camp, situlu vg</t>
  </si>
  <si>
    <t>-15.1975386 22.9735294 1027.0272216796875 4.529</t>
  </si>
  <si>
    <t>Maize: 4 bags (50kg) @ k400/b</t>
  </si>
  <si>
    <t>Anaplasmosis (Nyoko) Anthrax (Lubete) Other</t>
  </si>
  <si>
    <t>Indigestion due to eating plastics</t>
  </si>
  <si>
    <t>Lack of Transportation Geographical Isolation Predominance of Intermediaries</t>
  </si>
  <si>
    <t>Predominance of Intermediaries Low Prices Geographical Isolation</t>
  </si>
  <si>
    <t>Fire Foreign plant evading   More Unpalatable grasses Bush Encroachment</t>
  </si>
  <si>
    <t>More fertile soils Less Grass ( Volume) More Unpalatable grasses</t>
  </si>
  <si>
    <t>c114abcf-fd1c-459c-af82-db0cdb66a87f</t>
  </si>
  <si>
    <t>Mwendabai Sikete</t>
  </si>
  <si>
    <t>0771010344</t>
  </si>
  <si>
    <t>126385/87/1</t>
  </si>
  <si>
    <t xml:space="preserve">Suwitu camp, Situlu </t>
  </si>
  <si>
    <t>-15.1975122 22.9736046 1030.591064453125 4.137</t>
  </si>
  <si>
    <t>Okra:1bag (25kg) @ k150</t>
  </si>
  <si>
    <t>Asethectic value Milk Production Manure production Plowing/Draught power Selling/Income generation</t>
  </si>
  <si>
    <t>Limited access to water sources Foreign plant evading   Bush Encroachment</t>
  </si>
  <si>
    <t>Less Grass (Types) More erosion</t>
  </si>
  <si>
    <t>d83f73f5-ca4b-4c45-96a9-26c0a4494f90</t>
  </si>
  <si>
    <t xml:space="preserve">Tony  Kazima </t>
  </si>
  <si>
    <t xml:space="preserve">Mukamba Mukamba </t>
  </si>
  <si>
    <t>0957984702</t>
  </si>
  <si>
    <t>303337/82/1</t>
  </si>
  <si>
    <t xml:space="preserve">Siwito camp and Nanikelako </t>
  </si>
  <si>
    <t xml:space="preserve">Nalubutu/ sondo </t>
  </si>
  <si>
    <t>-15.1968029 22.9537335 1018.9 4.86</t>
  </si>
  <si>
    <t xml:space="preserve">Low Prices Lack of Transportation Lack of linkages  </t>
  </si>
  <si>
    <t>Less fertile soils Less Grass ( Volume)</t>
  </si>
  <si>
    <t>82e64c29-cdf4-4141-8673-63a91a196294</t>
  </si>
  <si>
    <t>Mundiya Ninyandi</t>
  </si>
  <si>
    <t>0955548425</t>
  </si>
  <si>
    <t>319623/82/1</t>
  </si>
  <si>
    <t xml:space="preserve">Siwito and Nanikelako village </t>
  </si>
  <si>
    <t>Nalubutu/ sondo</t>
  </si>
  <si>
    <t>-15.1969177 22.9535292 1075.4 4.983</t>
  </si>
  <si>
    <t>Maize,  31 bags by 50 kg , price k500</t>
  </si>
  <si>
    <t>Maize,  42 bags by 50, k400</t>
  </si>
  <si>
    <t>Plowing/Draught power Selling/Income generation Manure production Milk Production Asethectic value Transportation</t>
  </si>
  <si>
    <t>Geographical Isolation Limited Market Knowledge Low Prices</t>
  </si>
  <si>
    <t xml:space="preserve">Geographical Isolation Low Prices Limited access to finance </t>
  </si>
  <si>
    <t>Traditional Practice To let grass regrow For fish nets placing</t>
  </si>
  <si>
    <t>September October November  December</t>
  </si>
  <si>
    <t>4d5bf4f4-8fba-4ff6-86ad-da13d0df46df</t>
  </si>
  <si>
    <t>0971795828</t>
  </si>
  <si>
    <t>150082/15/1</t>
  </si>
  <si>
    <t xml:space="preserve">Siwito camp and nanikelako village </t>
  </si>
  <si>
    <t>-15.1968336 22.9536934 1021.847900390625 4.044</t>
  </si>
  <si>
    <t>Maize Groundnuts Cassava</t>
  </si>
  <si>
    <t>Maize , 45 bags by 50 kg , price k500</t>
  </si>
  <si>
    <t>Maize, 48 bags by 50 kg , price 500</t>
  </si>
  <si>
    <t>Maize Cassava Groundnuts Hibiscus Saddariffa (Sindambi) Pumpkins</t>
  </si>
  <si>
    <t>Manure production Plowing/Draught power Selling/Income generation Milk Production Asethectic value Transportation</t>
  </si>
  <si>
    <t>0bdcfa5a-c0e7-4143-87b1-e064fac1d149</t>
  </si>
  <si>
    <t xml:space="preserve">Kabakatunda mufungula </t>
  </si>
  <si>
    <t>0978301643</t>
  </si>
  <si>
    <t>260331/82/1</t>
  </si>
  <si>
    <t>Siwito camp and village Namwiti</t>
  </si>
  <si>
    <t>Nalubutu/ luyanga</t>
  </si>
  <si>
    <t>-15.1968533 22.9536922 1043.2529296875 4.741</t>
  </si>
  <si>
    <t xml:space="preserve">Tukon'gte dairy cooperative , dairy business to improve livelihoods for members </t>
  </si>
  <si>
    <t>Other Tomatoes Sweet Potatoes</t>
  </si>
  <si>
    <t>Watermelon , 5 ton , K20 / head</t>
  </si>
  <si>
    <t>Maize , 50 bags by 50 kg, price K400 
Watermelon, 3 ton , k20 / head
Rice , 20 bags by 50 kg , price k400</t>
  </si>
  <si>
    <t>Pumpkins Maize Sweet Potatoes Rape Hibiscus Saddariffa (Sindambi) Onions  Tomatoes Rice</t>
  </si>
  <si>
    <t>Selling/Income generation Plowing/Draught power Transportation Manure production Milk Production Asethectic value</t>
  </si>
  <si>
    <t>a4ca2165-1195-4032-b5c4-9424a3df70d5</t>
  </si>
  <si>
    <t>Monbotwa njekwa</t>
  </si>
  <si>
    <t>0974394015</t>
  </si>
  <si>
    <t>384911/82/1</t>
  </si>
  <si>
    <t xml:space="preserve">Siwito and namatanda village </t>
  </si>
  <si>
    <t>Nalubutu/ nakukwa</t>
  </si>
  <si>
    <t>-15.1967956 22.9536878 1021.6329345703125 4.587</t>
  </si>
  <si>
    <t>Rape Cabbage Tomatoes Onions  Okra Pumpkins</t>
  </si>
  <si>
    <t>Butter nuts ( squash), 20 bags by 50 kg,  k200/ bag</t>
  </si>
  <si>
    <t>Maize Rape Groundnuts Pumpkins Okra</t>
  </si>
  <si>
    <t>4d617be4-1dfd-4283-b5fa-d549150a91f8</t>
  </si>
  <si>
    <t>Ilyamupu Mataa</t>
  </si>
  <si>
    <t>0978114446</t>
  </si>
  <si>
    <t>201717/82/1</t>
  </si>
  <si>
    <t>Namweshi village</t>
  </si>
  <si>
    <t>Chief Nalubutu</t>
  </si>
  <si>
    <t>-15.2344298 22.936363 1021.656494140625 3.977</t>
  </si>
  <si>
    <t>Maize 10 bags, for food</t>
  </si>
  <si>
    <t>Anthrax (Lubete) Botulism (Kubama) Foot and Mouth (Mulomo ni litako) Black Leg (Ngongola) Lumpy Skin Disease (Sikwekwe)</t>
  </si>
  <si>
    <t>More fertile soils More Grass (Types) More Grass (Volume)</t>
  </si>
  <si>
    <t>a6f4a9b0-9b8d-4f0f-a370-fdad2dc202b8</t>
  </si>
  <si>
    <t>Angola Sangoma</t>
  </si>
  <si>
    <t>0952221342</t>
  </si>
  <si>
    <t>Siwito camp</t>
  </si>
  <si>
    <t>Namaushe</t>
  </si>
  <si>
    <t>-15.2344152 22.9363543 1028.5089111328125 4.302</t>
  </si>
  <si>
    <t>Maize 6 bags just for food</t>
  </si>
  <si>
    <t>Anthrax (Lubete) Botulism (Kubama) Foot and Mouth (Mulomo ni litako) Brucellosis (Butuku bwa Kufoloza) Black Leg (Ngongola) Lumpy Skin Disease (Sikwekwe)</t>
  </si>
  <si>
    <t>More Grass (Types) More Grass (Volume) More fertile soils</t>
  </si>
  <si>
    <t>d695fb17-a7a7-4cc5-988d-b638b7a5f564</t>
  </si>
  <si>
    <t>Namukolo Sitali</t>
  </si>
  <si>
    <t>0955592553</t>
  </si>
  <si>
    <t>235566/82/1</t>
  </si>
  <si>
    <t>Namaweshi camp</t>
  </si>
  <si>
    <t>-15.2344184 22.9363712 1029.9173583984375 4.831</t>
  </si>
  <si>
    <t>September October December Novemeber</t>
  </si>
  <si>
    <t>More of Cropping Activities</t>
  </si>
  <si>
    <t>More Grass (Types) Less Grass ( Volume) More water More fertile soils</t>
  </si>
  <si>
    <t>e881e79d-3bc1-40b2-ae08-368002cd91b0</t>
  </si>
  <si>
    <t>Mulomboi mulomboi</t>
  </si>
  <si>
    <t>0957928240</t>
  </si>
  <si>
    <t>265124/82/1</t>
  </si>
  <si>
    <t>Namaweshi</t>
  </si>
  <si>
    <t>Siwito</t>
  </si>
  <si>
    <t>-15.2344505 22.9363441 1025.62890625 4.255</t>
  </si>
  <si>
    <t>Maize 20 bags for food</t>
  </si>
  <si>
    <t>Meat Production Manure production Plowing/Draught power Selling/Income generation Milk Production Transportation</t>
  </si>
  <si>
    <t>Novemeber December October September</t>
  </si>
  <si>
    <t>More Grass (Types) More water More Grass (Volume)</t>
  </si>
  <si>
    <t>2a7e7388-f5fc-4688-8eb0-dad483bdebea</t>
  </si>
  <si>
    <t>Kambita Ululi</t>
  </si>
  <si>
    <t>0971796444</t>
  </si>
  <si>
    <t>231115/82/1</t>
  </si>
  <si>
    <t>SIWITO CAMP</t>
  </si>
  <si>
    <t>-15.2344038 22.9364125 1041.7989501953125 4.228</t>
  </si>
  <si>
    <t>Maize 15bags just for food</t>
  </si>
  <si>
    <t>More of Cropping Activities Fire Erosion</t>
  </si>
  <si>
    <t>d582f7ff-a311-4a2e-815d-4fac18603a95</t>
  </si>
  <si>
    <t>Nayambe Mukelabai</t>
  </si>
  <si>
    <t>0750721422</t>
  </si>
  <si>
    <t>291648/84/1</t>
  </si>
  <si>
    <t>-15.2303355 22.9256109 1026.789794921875 4.822</t>
  </si>
  <si>
    <t>Maize 6bags for food</t>
  </si>
  <si>
    <t>Meat Production Selling/Income generation Plowing/Draught power Manure production Transportation Milk Production</t>
  </si>
  <si>
    <t>CBPP (Maswafu) Heartwater (Matakani) Brucellosis (Butuku bwa Kufoloza) Mycotic Dermatitis (Lukwekwe) Anaplasmosis (Nyoko) Liverfluke (Minyopi ya mwa sibiti) Anthrax (Lubete) Black Leg (Ngongola) Lumpy Skin Disease (Sikwekwe)</t>
  </si>
  <si>
    <t>4d09b7f2-65b6-4299-bb7f-4bd028e6d16e</t>
  </si>
  <si>
    <t>Ndui Mukelabai</t>
  </si>
  <si>
    <t>09752220986</t>
  </si>
  <si>
    <t>226449/82/1</t>
  </si>
  <si>
    <t>Lyatolo village</t>
  </si>
  <si>
    <t>-15.214405 22.9350446 1039.1279296875 4.507</t>
  </si>
  <si>
    <t>Maize 20bags and Don't sale 
Rice 2 bags don't sale</t>
  </si>
  <si>
    <t>6f08801a-a92a-43a7-935c-7cab99822d57</t>
  </si>
  <si>
    <t>Mubika Tebuho</t>
  </si>
  <si>
    <t>0977480051</t>
  </si>
  <si>
    <t>271753/82/1</t>
  </si>
  <si>
    <t>-15.2357049 23.0235703 1041.3621826171875 4.225</t>
  </si>
  <si>
    <t>Milk Production Meat Production Selling/Income generation Plowing/Draught power</t>
  </si>
  <si>
    <t>CBPP (Maswafu) Brucellosis (Butuku bwa Kufoloza) Liverfluke (Minyopi ya mwa sibiti) Mycotic Dermatitis (Lukwekwe) Botulism (Kubama)</t>
  </si>
  <si>
    <t>Lack of Transportation Low Prices Limited access to finance Limited Market Knowledge</t>
  </si>
  <si>
    <t>August September October Novemeber December</t>
  </si>
  <si>
    <t>More of Cropping Activities Over grazing</t>
  </si>
  <si>
    <t>1b587838-1e74-4b57-815d-554167480d37</t>
  </si>
  <si>
    <t>Muimui Wakumelo</t>
  </si>
  <si>
    <t>0771882648</t>
  </si>
  <si>
    <t>274091/82/1</t>
  </si>
  <si>
    <t>Siwito Camp, Namatanda village</t>
  </si>
  <si>
    <t>-15.1968356 22.9536604 1029.25390625 6.055</t>
  </si>
  <si>
    <t>Sweet Potatoes Okra Maize Rape</t>
  </si>
  <si>
    <t>Rape 12 bags by 50kgs K120 per bag</t>
  </si>
  <si>
    <t>Maize 47 bags / K500 per bag
Cassava 9 bags/ K300 per bag</t>
  </si>
  <si>
    <t>Maize Sweet Potatoes Rape Okra Cassava</t>
  </si>
  <si>
    <t>Limited access to farming inputs Pests and Diseases Drought</t>
  </si>
  <si>
    <t>CBPP (Maswafu) Lumpy Skin Disease (Sikwekwe) Anaplasmosis (Nyoko)</t>
  </si>
  <si>
    <t>5fb601a7-c470-4e9a-95d3-a3764d6ddb14</t>
  </si>
  <si>
    <t>Maimbolwa Kuwabu</t>
  </si>
  <si>
    <t>0950241590</t>
  </si>
  <si>
    <t>357361/82/1</t>
  </si>
  <si>
    <t xml:space="preserve">Siwito Camp Namatanda village </t>
  </si>
  <si>
    <t>-15.1968813 22.953632 1021.14501953125 4.937</t>
  </si>
  <si>
    <t>Breeding Milk Production Manure production Selling/Income generation Plowing/Draught power</t>
  </si>
  <si>
    <t>eb07ed94-cc05-477a-84f4-87d50d174c26</t>
  </si>
  <si>
    <t>Kulwamato Kulwamato</t>
  </si>
  <si>
    <t>0955983096</t>
  </si>
  <si>
    <t>286070/82/1</t>
  </si>
  <si>
    <t>Siwito Camp,  Nanikelako</t>
  </si>
  <si>
    <t>-15.1968464 22.9535393 1047.69091796875 8.292</t>
  </si>
  <si>
    <t>Crop Production Entrepreneurial Activities Livestock Production</t>
  </si>
  <si>
    <t>Sweet Potatoes</t>
  </si>
  <si>
    <t>Sweet potatoes 10 bags / K420</t>
  </si>
  <si>
    <t xml:space="preserve">Maize 25 bags 
</t>
  </si>
  <si>
    <t>Maize Sweet Potatoes Tomatoes</t>
  </si>
  <si>
    <t>Lack of capital Drought Pests and Diseases</t>
  </si>
  <si>
    <t>Milk Production Manure production Plowing/Draught power</t>
  </si>
  <si>
    <t>Anaplasmosis (Nyoko) CBPP (Maswafu) Black Leg (Ngongola) Lumpy Skin Disease (Sikwekwe)</t>
  </si>
  <si>
    <t>Anthrax (Lubete) CBPP (Maswafu)</t>
  </si>
  <si>
    <t>5357b559-ee17-4d62-b994-86d212cf81ed</t>
  </si>
  <si>
    <t>Mataa Mubuyaeta</t>
  </si>
  <si>
    <t>0957633775</t>
  </si>
  <si>
    <t>382251/82/1</t>
  </si>
  <si>
    <t xml:space="preserve">Siwito Camp,  Muyu village </t>
  </si>
  <si>
    <t>-15.1968102 22.9536612 1017.845458984375 4.366</t>
  </si>
  <si>
    <t>Maize Sweet Potatoes Pumpkins Cassava Groundnuts</t>
  </si>
  <si>
    <t>Limited Extension Services Drought Pests and Diseases</t>
  </si>
  <si>
    <t>Eye Infections/Pink Eye (Butuku bwa meto) Black Leg (Ngongola) Botulism (Kubama) CBPP (Maswafu)</t>
  </si>
  <si>
    <t>ea30b9cf-6ab6-41f5-a648-5af7e3320ff1</t>
  </si>
  <si>
    <t>Stephen Nyondo</t>
  </si>
  <si>
    <t>0954144717</t>
  </si>
  <si>
    <t>209029/82/1</t>
  </si>
  <si>
    <t xml:space="preserve">Siwito, Nangoma village </t>
  </si>
  <si>
    <t>-15.1968283 22.953685 1027.5 14.34</t>
  </si>
  <si>
    <t xml:space="preserve">Rape 8 bags by 50 kgs K120 per bag </t>
  </si>
  <si>
    <t xml:space="preserve">Maize 16 bags 
Okra </t>
  </si>
  <si>
    <t>Maize Sweet Potatoes Rape Cassava Okra</t>
  </si>
  <si>
    <t>Plowing/Draught power Manure production Milk Production Selling/Income generation</t>
  </si>
  <si>
    <t>CBPP (Maswafu) Lumpy Skin Disease (Sikwekwe) Anaplasmosis (Nyoko) Anthrax (Lubete)</t>
  </si>
  <si>
    <t>d2850133-d591-4f86-b358-ab2bc64070bb</t>
  </si>
  <si>
    <t>Likando Sililo</t>
  </si>
  <si>
    <t>0076410075</t>
  </si>
  <si>
    <t>277412/82/1</t>
  </si>
  <si>
    <t>Siwito, Nanikelako</t>
  </si>
  <si>
    <t>-15.1967983 22.9537333 1029.1 4.25</t>
  </si>
  <si>
    <t>Maize Rice Sweet Potatoes Okra</t>
  </si>
  <si>
    <t>Lumpy Skin Disease (Sikwekwe) Anthrax (Lubete) Mycotic Dermatitis (Lukwekwe) CBPP (Maswafu)</t>
  </si>
  <si>
    <t>df264235-97fe-4cc2-b3a5-9a9ccc6c8949</t>
  </si>
  <si>
    <t>Mwala Nyambe</t>
  </si>
  <si>
    <t>0953984752</t>
  </si>
  <si>
    <t>209700/82/1</t>
  </si>
  <si>
    <t xml:space="preserve">Siwito camp , Mashe village </t>
  </si>
  <si>
    <t>-15.1967983 22.9537217 1023.3 4.96</t>
  </si>
  <si>
    <t>Sweet potato 3 bags / K420</t>
  </si>
  <si>
    <t xml:space="preserve">Maize 17 bags
</t>
  </si>
  <si>
    <t>Less Grass (Types) Less fertile soils</t>
  </si>
  <si>
    <t>8f00818d-b4ce-4b2f-bb73-8743499c661e</t>
  </si>
  <si>
    <t>Mulako muimui</t>
  </si>
  <si>
    <t>0962942926</t>
  </si>
  <si>
    <t>277808/82/1</t>
  </si>
  <si>
    <t xml:space="preserve">Lyatolo/lyatolo village </t>
  </si>
  <si>
    <t xml:space="preserve">Induna isilabo </t>
  </si>
  <si>
    <t>-15.214388 22.9350719 1003.4 4.883</t>
  </si>
  <si>
    <t>Drought Pests and Diseases High cost of inputs (fertilizers, pesticides)</t>
  </si>
  <si>
    <t>c46c03f7-c927-4272-8715-8b415f941519</t>
  </si>
  <si>
    <t>Nalukui muimui</t>
  </si>
  <si>
    <t>0973229063</t>
  </si>
  <si>
    <t>277810/82/1</t>
  </si>
  <si>
    <t>-15.2143654 22.9349112 1023.2 4.833</t>
  </si>
  <si>
    <t>Limited access to farming inputs Pests and Diseases High cost of inputs (fertilizers, pesticides) Drought High temperatures Floods</t>
  </si>
  <si>
    <t>More of Cropping Activities Limited access to water sources Over grazing</t>
  </si>
  <si>
    <t>abde3f8f-1336-445b-b76b-cad9504ba96e</t>
  </si>
  <si>
    <t>Akufuna kalimukwa</t>
  </si>
  <si>
    <t>0750418381</t>
  </si>
  <si>
    <t>303597/82/1</t>
  </si>
  <si>
    <t>-15.2143586 22.9350072 1018.7 4.98</t>
  </si>
  <si>
    <t>High cost of inputs (fertilizers, pesticides) Pests and Diseases Limited access to farming inputs Drought</t>
  </si>
  <si>
    <t>Selling/Income generation Plowing/Draught power Manure production</t>
  </si>
  <si>
    <t xml:space="preserve">Lack of Transportation Low Prices Limited access to finance </t>
  </si>
  <si>
    <t>6c618a46-475a-4ce3-8c07-49bbed82d6a9</t>
  </si>
  <si>
    <t xml:space="preserve">Inambao nasilele </t>
  </si>
  <si>
    <t>0955478053</t>
  </si>
  <si>
    <t>176690/82/1</t>
  </si>
  <si>
    <t>-15.214377 22.9350433 1011.2 4.516</t>
  </si>
  <si>
    <t>CBPP (Maswafu) Anaplasmosis (Nyoko) Botulism (Kubama)</t>
  </si>
  <si>
    <t>c963163f-c66f-4ae2-b4a1-2b8efc5c14c4</t>
  </si>
  <si>
    <t>Kalaluka numwa</t>
  </si>
  <si>
    <t>0979278096</t>
  </si>
  <si>
    <t>303602/82/1</t>
  </si>
  <si>
    <t>-15.2143546 22.9350435 1008.0 4.866</t>
  </si>
  <si>
    <t>Maize Hibiscus Saddariffa (Sindambi) Rape</t>
  </si>
  <si>
    <t>Limited access to farming inputs Pests and Diseases Drought High cost of inputs (fertilizers, pesticides)</t>
  </si>
  <si>
    <t>8ae108cd-fb1b-49ff-8339-cb302b8f7281</t>
  </si>
  <si>
    <t xml:space="preserve">Namata nasilele </t>
  </si>
  <si>
    <t>244857/82/1</t>
  </si>
  <si>
    <t xml:space="preserve">Lyatolo/mukota village </t>
  </si>
  <si>
    <t>-15.2143853 22.9350371 1009.1 4.88</t>
  </si>
  <si>
    <t>Limited access to farming inputs Pests and Diseases High cost of inputs (fertilizers, pesticides) Floods</t>
  </si>
  <si>
    <t>Anaplasmosis (Nyoko) Anthrax (Lubete) Botulism (Kubama)</t>
  </si>
  <si>
    <t>Low Prices Lack of Transportation Limited access to finance  Inadequate Infrastructure</t>
  </si>
  <si>
    <t>Limited access to water sources More of Cropping Activities Over grazing Fire</t>
  </si>
  <si>
    <t>f9c20ceb-3254-46c6-ad59-3fca9ca3f238</t>
  </si>
  <si>
    <t xml:space="preserve">Songiso songiso </t>
  </si>
  <si>
    <t>No phone</t>
  </si>
  <si>
    <t>249844/82/1</t>
  </si>
  <si>
    <t>-15.214314 22.9349829 1015.1 4.5</t>
  </si>
  <si>
    <t>Sweet Potatoes Maize</t>
  </si>
  <si>
    <t xml:space="preserve">3 bags of 50kg at k500 per bag </t>
  </si>
  <si>
    <t xml:space="preserve">25 bags of 50kg at k600 per bag </t>
  </si>
  <si>
    <t>Pests and Diseases Limited access to farming inputs Drought High cost of inputs (fertilizers, pesticides)</t>
  </si>
  <si>
    <t>Anthrax (Lubete) Anaplasmosis (Nyoko) CBPP (Maswafu)</t>
  </si>
  <si>
    <t>e2cb928f-8319-4d37-8537-044ac564d6a4</t>
  </si>
  <si>
    <t>Songiso namakando</t>
  </si>
  <si>
    <t>0772875659</t>
  </si>
  <si>
    <t>346574/82/1</t>
  </si>
  <si>
    <t>-15.2143704 22.9350221 1043.1 4.016</t>
  </si>
  <si>
    <t>Okra Rape Chinese Cabbage</t>
  </si>
  <si>
    <t>Manure production Milk Production Selling/Income generation Plowing/Draught power</t>
  </si>
  <si>
    <t>CBPP (Maswafu) Anaplasmosis (Nyoko) Anthrax (Lubete) Black Leg (Ngongola)</t>
  </si>
  <si>
    <t>Less Grass ( Volume) Less Grass (Types) Less fertile soils More water</t>
  </si>
  <si>
    <t>e0710ea3-4695-49ba-bf21-8f7f3be5a50c</t>
  </si>
  <si>
    <t>Allan siyanga mulambwa</t>
  </si>
  <si>
    <t>0954289130</t>
  </si>
  <si>
    <t>213625/84/1</t>
  </si>
  <si>
    <t>-15.2143597 22.9349276 1047.1999999999998 4.95</t>
  </si>
  <si>
    <t>Maize Okra Other Hibiscus Saddariffa (Sindambi) Onions  Pumpkins</t>
  </si>
  <si>
    <t>Manure production Milk Production Selling/Income generation Breeding Plowing/Draught power</t>
  </si>
  <si>
    <t xml:space="preserve">Low Prices Lack of Transportation Inadequate Infrastructure Limited access to finance </t>
  </si>
  <si>
    <t>Over grazing Limited access to water sources</t>
  </si>
  <si>
    <t>4b3f9aee-2af8-4301-9b64-a4aadd6aae20</t>
  </si>
  <si>
    <t>0950267223</t>
  </si>
  <si>
    <t>349502/82/1</t>
  </si>
  <si>
    <t>-15.2143364 22.9349549 1019.5 4.12</t>
  </si>
  <si>
    <t>Maize Okra Chinese Cabbage Rape</t>
  </si>
  <si>
    <t>Limited access to farming inputs Poor soil fertility High cost of inputs (fertilizers, pesticides)</t>
  </si>
  <si>
    <t>Selling/Income generation Manure production Breeding Milk Production Meat Production</t>
  </si>
  <si>
    <t>Anthrax (Lubete) Botulism (Kubama) Anaplasmosis (Nyoko) CBPP (Maswafu)</t>
  </si>
  <si>
    <t>Less Grass ( Volume) Less Grass (Types) More water Less water</t>
  </si>
  <si>
    <t>8e2818ae-3305-4f01-816f-8c960102fb15</t>
  </si>
  <si>
    <t>Wamunyima mombotwa</t>
  </si>
  <si>
    <t>0768562207</t>
  </si>
  <si>
    <t>241096/82/1</t>
  </si>
  <si>
    <t>Induna isilabo</t>
  </si>
  <si>
    <t>-15.2143948 22.9351252 1036.0 4.816</t>
  </si>
  <si>
    <t>2f59b95b-7224-4a66-baf4-ebd9b8afb242</t>
  </si>
  <si>
    <t>Nasilele nasilele</t>
  </si>
  <si>
    <t>0779977850</t>
  </si>
  <si>
    <t>248556/82/1</t>
  </si>
  <si>
    <t xml:space="preserve">Lyatolo/lyatolo  village </t>
  </si>
  <si>
    <t>-15.2142346 22.9352601 1126.8 4.95</t>
  </si>
  <si>
    <t>Lumpy Skin Disease (Sikwekwe) CBPP (Maswafu) Anaplasmosis (Nyoko) Anthrax (Lubete)</t>
  </si>
  <si>
    <t>Less water Less Grass (Types) Less Grass ( Volume) Less fertile soils</t>
  </si>
  <si>
    <t>November  December</t>
  </si>
  <si>
    <t>f7a0f8f5-1400-4f1a-9af9-37f29fa4522e</t>
  </si>
  <si>
    <t>Sokoto Nyambe</t>
  </si>
  <si>
    <t>0977866736</t>
  </si>
  <si>
    <t>273930/82/1</t>
  </si>
  <si>
    <t>Siwito/Lyoondo</t>
  </si>
  <si>
    <t>Nalubutu/Ng'ete</t>
  </si>
  <si>
    <t>-15.2475315 22.9614985 1030.669189453125 4.853</t>
  </si>
  <si>
    <t xml:space="preserve">Rice 40 x 50kg  x k400 </t>
  </si>
  <si>
    <t xml:space="preserve">Rice 5 x 50kg for consumption only </t>
  </si>
  <si>
    <t>Lack of linkages   Low Prices Limited access to finance</t>
  </si>
  <si>
    <t xml:space="preserve">Lack of linkages   Low Prices Limited access to finance </t>
  </si>
  <si>
    <t>January February March April May</t>
  </si>
  <si>
    <t>Fire Over grazing More of Cropping Activities</t>
  </si>
  <si>
    <t>To let grass regrow Other (Please Specify) Traditional Practice</t>
  </si>
  <si>
    <t>0a72a358-7165-4350-a884-954d7cfa5115</t>
  </si>
  <si>
    <t>Liswaniso Imasiku</t>
  </si>
  <si>
    <t>0951557914</t>
  </si>
  <si>
    <t>236568/82/1</t>
  </si>
  <si>
    <t>Siwito/Ngongote</t>
  </si>
  <si>
    <t>Nalubutu/Nowanga</t>
  </si>
  <si>
    <t>-15.247453 22.9614962 1030.669189453125 4.362</t>
  </si>
  <si>
    <t xml:space="preserve">Rice crop failure due to drought </t>
  </si>
  <si>
    <t xml:space="preserve">Rice 38 x 50kg  x k400 </t>
  </si>
  <si>
    <t>Limited Extension Services High temperatures Pests and Diseases</t>
  </si>
  <si>
    <t>Low Prices Limited access to finance Lack of Transportation</t>
  </si>
  <si>
    <t>Inadequate Infrastructure Low Prices Limited Market Knowledge</t>
  </si>
  <si>
    <t>ee1f601b-0ffe-4a62-ad76-b6d75af1de4f</t>
  </si>
  <si>
    <t>Mubita mbuyu</t>
  </si>
  <si>
    <t>309603/82/1</t>
  </si>
  <si>
    <t>Nalubutu/Ikanjiwa</t>
  </si>
  <si>
    <t>-15.2476284 22.9615021 1028.8140869140625 4.505</t>
  </si>
  <si>
    <t>High cost of inputs (fertilizers, pesticides) Floods Other</t>
  </si>
  <si>
    <t xml:space="preserve">Unreliable/Inconsistent Off-take Low Prices Limited access to finance </t>
  </si>
  <si>
    <t>More Grass (Types) More Unpalatable grasses More fertile soils</t>
  </si>
  <si>
    <t>f67aaaad-a33d-45cd-aa3a-1631499f7da1</t>
  </si>
  <si>
    <t>Nyambe Sing'alamba</t>
  </si>
  <si>
    <t>0953721466</t>
  </si>
  <si>
    <t>382304/82/1</t>
  </si>
  <si>
    <t>Siwito/ Lyoondo</t>
  </si>
  <si>
    <t>-15.2476274 22.9615476 1025.960205078125 4.438</t>
  </si>
  <si>
    <t>Low Prices Inadequate Infrastructure Lack of Transportation</t>
  </si>
  <si>
    <t>4b8c424c-3191-4f0f-a3ab-98652868f032</t>
  </si>
  <si>
    <t>Nalumino Nalumino</t>
  </si>
  <si>
    <t>0764521048</t>
  </si>
  <si>
    <t>379084/82/1</t>
  </si>
  <si>
    <t xml:space="preserve">Siwito/Lyoondo </t>
  </si>
  <si>
    <t>-15.2476533 22.9615533 1018.5 4.88</t>
  </si>
  <si>
    <t>CBPP (Maswafu) Anthrax (Lubete) Anaplasmosis (Nyoko) Botulism (Kubama) Liverfluke (Minyopi ya mwa sibiti)</t>
  </si>
  <si>
    <t>More Grass (Volume) More Grass (Types) More Unpalatable grasses More fertile soils</t>
  </si>
  <si>
    <t>October September</t>
  </si>
  <si>
    <t>69b3116d-ac52-4e7d-946d-704164386ad9</t>
  </si>
  <si>
    <t>Mukumbuta Mukumbuta</t>
  </si>
  <si>
    <t>0954683356</t>
  </si>
  <si>
    <t>309636/82/1</t>
  </si>
  <si>
    <t>Siwito/Maala</t>
  </si>
  <si>
    <t>Nalubutu/Mufungulwa</t>
  </si>
  <si>
    <t>-15.2475317 22.9615883 1061.3 5.0</t>
  </si>
  <si>
    <t xml:space="preserve">Maize crop failure due to drought </t>
  </si>
  <si>
    <t xml:space="preserve">Maize 15 x 50kg x k350 </t>
  </si>
  <si>
    <t>149a8e79-97db-4541-b486-de1d23aafb61</t>
  </si>
  <si>
    <t xml:space="preserve">Mufungulwa Mubiana </t>
  </si>
  <si>
    <t>0956127088</t>
  </si>
  <si>
    <t>327708/82/1</t>
  </si>
  <si>
    <t>Siwito/Mena</t>
  </si>
  <si>
    <t>Nalubutu/Simona Ngenda</t>
  </si>
  <si>
    <t>-15.2475533 22.96153 1031.2 4.966</t>
  </si>
  <si>
    <t>Unreliable/Inconsistent Off-take Low Prices Lack of Transportation</t>
  </si>
  <si>
    <t>e6e2300f-98f6-47a8-a139-eb0e666e36dc</t>
  </si>
  <si>
    <t>0955974790</t>
  </si>
  <si>
    <t>385202/82/1</t>
  </si>
  <si>
    <t>Siwito/Mubonda</t>
  </si>
  <si>
    <t>-15.2476283 22.9614933 1028.0 4.957</t>
  </si>
  <si>
    <t xml:space="preserve">Tomatoes crates 7 x k350 </t>
  </si>
  <si>
    <t xml:space="preserve">Tomatoes crates 10 x k350 </t>
  </si>
  <si>
    <t>1a094311-f9a1-40a1-b5c6-61911bfccbd0</t>
  </si>
  <si>
    <t>Mubika Mubika</t>
  </si>
  <si>
    <t>0979391537</t>
  </si>
  <si>
    <t>245151/82/1</t>
  </si>
  <si>
    <t xml:space="preserve">Siwito camp, Liondo </t>
  </si>
  <si>
    <t>-15.2475383 22.9615617 1026.8 4.75</t>
  </si>
  <si>
    <t xml:space="preserve">Western Cattle Farmers' Association: Cattle Production 
District Cooperative Union: Supervise cooperatives
Mongu Dairy Cooperative: Milk Production </t>
  </si>
  <si>
    <t>Selling/Income generation Meat Production Plowing/Draught power Manure production Milk Production Asethectic value</t>
  </si>
  <si>
    <t>Personal crisis 
Hunger</t>
  </si>
  <si>
    <t>February January</t>
  </si>
  <si>
    <t>Novemeber December</t>
  </si>
  <si>
    <t>Over grazing Foreign plant evading   More of Cropping Activities</t>
  </si>
  <si>
    <t>More Unpalatable grasses Less Grass ( Volume) More erosion</t>
  </si>
  <si>
    <t>17301cba-4d63-4b8d-a408-167f3ada4728</t>
  </si>
  <si>
    <t>Imanga Maikisa</t>
  </si>
  <si>
    <t>0972091793</t>
  </si>
  <si>
    <t>314519/82/1</t>
  </si>
  <si>
    <t>-15.2473817 22.96153 1031.5 4.916</t>
  </si>
  <si>
    <t xml:space="preserve">Tusana; Village banking </t>
  </si>
  <si>
    <t>Maize Sweet Potatoes Rape Tomatoes</t>
  </si>
  <si>
    <t>Sweet potatoes: 3 bags (50kg) @ k400</t>
  </si>
  <si>
    <t>Maize Sweet Potatoes Tomatoes Rape</t>
  </si>
  <si>
    <t>Anaplasmosis (Nyoko) CBPP (Maswafu) Anthrax (Lubete) Foot and Mouth (Mulomo ni taku) Botulism (Kubama)</t>
  </si>
  <si>
    <t>Hunger 
School fees</t>
  </si>
  <si>
    <t xml:space="preserve">Over grazing More of Cropping Activities Foreign plant evading  </t>
  </si>
  <si>
    <t>More erosion Less Grass ( Volume)</t>
  </si>
  <si>
    <t>d5fbcc9d-8fa9-4afc-9657-f5d48716bcd4</t>
  </si>
  <si>
    <t xml:space="preserve">Milinga Milinga </t>
  </si>
  <si>
    <t>0763939086</t>
  </si>
  <si>
    <t>315887/82/1</t>
  </si>
  <si>
    <t>Siwito camp, Lwamba vg</t>
  </si>
  <si>
    <t>-15.24763 22.9615667 1014.9000000000001 4.883</t>
  </si>
  <si>
    <t>Geographical Isolation Lack of Transportation Inadequate Infrastructure</t>
  </si>
  <si>
    <t xml:space="preserve">Hunger 
School fees </t>
  </si>
  <si>
    <t xml:space="preserve">Over grazing Erosion Foreign plant evading  </t>
  </si>
  <si>
    <t>0c08b1e8-61df-49c6-b30d-9e51ebeee453</t>
  </si>
  <si>
    <t>0952788006</t>
  </si>
  <si>
    <t>325730/82/1</t>
  </si>
  <si>
    <t xml:space="preserve">Siwito camp,  Nasaya </t>
  </si>
  <si>
    <t>-15.2475883 22.9616783 999.1 4.46</t>
  </si>
  <si>
    <t>Asethectic value Manure production Selling/Income generation</t>
  </si>
  <si>
    <t xml:space="preserve">Fire Erosion Foreign plant evading  </t>
  </si>
  <si>
    <t>1064681f-6f8f-41aa-a18b-4092ae701392</t>
  </si>
  <si>
    <t xml:space="preserve">Nasilele Nasilele </t>
  </si>
  <si>
    <t>0952747113</t>
  </si>
  <si>
    <t>192820/82/1</t>
  </si>
  <si>
    <t xml:space="preserve">Siwito camp, Maondwana </t>
  </si>
  <si>
    <t>-15.2475309 22.9614638 1029.3262939453125 4.487</t>
  </si>
  <si>
    <t>Drought Other Floods</t>
  </si>
  <si>
    <t>Milk Production Manure production Plowing/Draught power Asethectic value</t>
  </si>
  <si>
    <t>Anaplasmosis (Nyoko) Anthrax (Lubete) Black Leg (Ngongola) Botulism (Kubama) Foot and Mouth (Mulomo ni taku)</t>
  </si>
  <si>
    <t xml:space="preserve">Lack of Transportation Geographical Isolation Lack of linkages  </t>
  </si>
  <si>
    <t>e3003087-a5a6-437f-ac7d-832738599562</t>
  </si>
  <si>
    <t>Nasilele Nasilele</t>
  </si>
  <si>
    <t>0956432286</t>
  </si>
  <si>
    <t>339375/82/1</t>
  </si>
  <si>
    <t xml:space="preserve">Siwito camp, Maundwana </t>
  </si>
  <si>
    <t>-15.2475811 22.961529 1020.965576171875 10.181</t>
  </si>
  <si>
    <t xml:space="preserve">Tusana village banking </t>
  </si>
  <si>
    <t>Sweet potatoes: 4 bags (50kg) @ k400/B
Maize:0</t>
  </si>
  <si>
    <t>CBPP (Maswafu) Anaplasmosis (Nyoko) Anthrax (Lubete) Foot and Mouth (Mulomo ni taku) Botulism (Kubama)</t>
  </si>
  <si>
    <t>Over grazing Fire Foreign plant evading   More of Cropping Activities</t>
  </si>
  <si>
    <t>d0fda200-21ec-4e26-9444-9928a1146804</t>
  </si>
  <si>
    <t xml:space="preserve">Sibusenga Ndoli </t>
  </si>
  <si>
    <t>0750412456</t>
  </si>
  <si>
    <t>190879/82/1</t>
  </si>
  <si>
    <t>-15.2476001 22.9615696 1035.443359375 4.247</t>
  </si>
  <si>
    <t>Maize Sweet Potatoes Cassava</t>
  </si>
  <si>
    <t>Hunger
School fees</t>
  </si>
  <si>
    <t>59a56eab-c32d-4fea-972a-36bbb30f3a02</t>
  </si>
  <si>
    <t>Mubita Mubita</t>
  </si>
  <si>
    <t>207738/82/1</t>
  </si>
  <si>
    <t>Siwito camp, Sikuli Vg</t>
  </si>
  <si>
    <t>-15.247585 22.9615911 1048.3663330078125 4.478</t>
  </si>
  <si>
    <t>Collection of leads (mataka)</t>
  </si>
  <si>
    <t>Asethectic value Plowing/Draught power Selling/Income generation</t>
  </si>
  <si>
    <t>More erosion More Unpalatable grasses Less Grass ( Volume)</t>
  </si>
  <si>
    <t>cb4d8bbb-1cd1-4df6-beac-8b050be630a0</t>
  </si>
  <si>
    <t xml:space="preserve">Liyale Mubita </t>
  </si>
  <si>
    <t>385018/82/1</t>
  </si>
  <si>
    <t xml:space="preserve">Siwito camp, Nongwa </t>
  </si>
  <si>
    <t>-15.2475549 22.9615188 1031.00732421875 4.632</t>
  </si>
  <si>
    <t>Pests and Diseases Knowledge Gap High temperatures</t>
  </si>
  <si>
    <t>Milk Production Plowing/Draught power Selling/Income generation Transportation Manure production</t>
  </si>
  <si>
    <t>Anaplasmosis (Nyoko) CBPP (Maswafu) Anthrax (Lubete) Liverfluke (Minyopi ya mwa sibiti)</t>
  </si>
  <si>
    <t xml:space="preserve">When there's a personal crisis </t>
  </si>
  <si>
    <t>More of Cropping Activities Erosion Fire</t>
  </si>
  <si>
    <t>More Unpalatable grasses More erosion Less Grass (Types)</t>
  </si>
  <si>
    <t>September</t>
  </si>
  <si>
    <t>464f08cc-cec8-4dac-aa0d-3bc6304a3bbf</t>
  </si>
  <si>
    <t>Kashenda mulandula</t>
  </si>
  <si>
    <t>0972831800</t>
  </si>
  <si>
    <t>234080/84/1</t>
  </si>
  <si>
    <t>Induna mundia</t>
  </si>
  <si>
    <t>Tapo purpose cooperative</t>
  </si>
  <si>
    <t>Maize Rice Groundnuts Sweet Potatoes Cassava</t>
  </si>
  <si>
    <t>9 bags of 50kg at k400 per bag</t>
  </si>
  <si>
    <t>21 bags of 50kg at k420 per bag</t>
  </si>
  <si>
    <t>Tomatoes Onions  Rape Chinese Cabbage</t>
  </si>
  <si>
    <t>Limited access to farming inputs Pests and Diseases High temperatures Drought High cost of inputs (fertilizers, pesticides)</t>
  </si>
  <si>
    <t>a1bbf412-a287-4528-bc7c-80055bc2c385</t>
  </si>
  <si>
    <t>Muyunda Mundia</t>
  </si>
  <si>
    <t>0966535512</t>
  </si>
  <si>
    <t>378104/82/1</t>
  </si>
  <si>
    <t xml:space="preserve">Namutwi / Elinangana </t>
  </si>
  <si>
    <t>-15.3959117 23.0407033 1021.1 4.975</t>
  </si>
  <si>
    <t xml:space="preserve">Livestock Production Fish Farming Crops Production    </t>
  </si>
  <si>
    <t>Floods Poor soil fertility Limited Extension Services</t>
  </si>
  <si>
    <t>Manure production Milk Production Asethectic value Plowing/Draught power Selling/Income generation</t>
  </si>
  <si>
    <t>f3bd49a6-cf0e-48f7-bac8-dfcc05850e1f</t>
  </si>
  <si>
    <t>Nyambe Munalula</t>
  </si>
  <si>
    <t>0775410552</t>
  </si>
  <si>
    <t>2961093/82/1</t>
  </si>
  <si>
    <t>-15.3958817 23.0407772 1020.9 4.166</t>
  </si>
  <si>
    <t>Anaplasmosis (Nyoko) CBPP (Maswafu) Liverfluke (Minyopi ya mwa sibiti)</t>
  </si>
  <si>
    <t>856c8114-dba2-4f3d-b671-6b95a9f95ccd</t>
  </si>
  <si>
    <t>0957997317</t>
  </si>
  <si>
    <t>263639/82/1</t>
  </si>
  <si>
    <t xml:space="preserve">Namutwi/ munalula </t>
  </si>
  <si>
    <t>-15.3959584 23.040619 1028.8 4.92</t>
  </si>
  <si>
    <t>Maize,  15 bags by 50 kg , price k500</t>
  </si>
  <si>
    <t>Maize , 10 bags by 50 kg , price  k600</t>
  </si>
  <si>
    <t>Rape Pumpkins Hibiscus Saddariffa (Sindambi) Beans Groundnuts</t>
  </si>
  <si>
    <t>Limited Extension Services Poor soil fertility Pests and Diseases</t>
  </si>
  <si>
    <t>Transportation Selling/Income generation Plowing/Draught power Manure production Milk Production Asethectic value</t>
  </si>
  <si>
    <t>112826f6-712e-47f3-aedc-bc3ac063e4ba</t>
  </si>
  <si>
    <t xml:space="preserve">Munalula Nyambe </t>
  </si>
  <si>
    <t>0979617540</t>
  </si>
  <si>
    <t>241088/82/1</t>
  </si>
  <si>
    <t xml:space="preserve"> Namutwi/ Inyama nalimwela </t>
  </si>
  <si>
    <t>-15.3959364 23.0406746 1003.2 4.466</t>
  </si>
  <si>
    <t>Rape Pumpkins Hibiscus Saddariffa (Sindambi) Okra</t>
  </si>
  <si>
    <t>Plowing/Draught power Manure production Milk Production Selling/Income generation Transportation Asethectic value</t>
  </si>
  <si>
    <t>Lack of Transportation Lack of linkages   Low Prices</t>
  </si>
  <si>
    <t>Fire More Unpalatable grasses More of Cropping Activities</t>
  </si>
  <si>
    <t>Less Grass ( Volume) Less fertile soils More Unpalatable grasses</t>
  </si>
  <si>
    <t>6b5efc5b-ee91-4b66-9b31-e99832c346d8</t>
  </si>
  <si>
    <t>Sitwala mulala</t>
  </si>
  <si>
    <t>0572335967</t>
  </si>
  <si>
    <t>436592/82/1</t>
  </si>
  <si>
    <t>-15.395943 23.0406291 1039.0 4.95</t>
  </si>
  <si>
    <t>Plowing/Draught power Milk Production Manure production Selling/Income generation Asethectic value Transportation</t>
  </si>
  <si>
    <t>CBPP (Maswafu) Foot and Mouth (Mulomo ni taku) Liverfluke (Minyopi ya mwa sibiti) Anaplasmosis (Nyoko)</t>
  </si>
  <si>
    <t>Limited Market Knowledge Unreliable/Inconsistent Off-take Low Prices</t>
  </si>
  <si>
    <t>Less fertile soils Less Grass (Types) Less Grass ( Volume) More Unpalatable grasses</t>
  </si>
  <si>
    <t>85379017-54c8-4b37-a199-04252924a739</t>
  </si>
  <si>
    <t xml:space="preserve">Lukonga simunji </t>
  </si>
  <si>
    <t>0973713634</t>
  </si>
  <si>
    <t>3711626/82/1</t>
  </si>
  <si>
    <t>-15.3959754 23.0405842 1024.8 3.24</t>
  </si>
  <si>
    <t>Maize Rice Rape Hibiscus Saddariffa (Sindambi) Pumpkins</t>
  </si>
  <si>
    <t>Pests and Diseases Knowledge Gap Poor soil fertility</t>
  </si>
  <si>
    <t>Plowing/Draught power Manure production Asethectic value Transportation Selling/Income generation</t>
  </si>
  <si>
    <t>55e89795-dd3d-4d2d-a427-33b90b333eb2</t>
  </si>
  <si>
    <t>Keith Munfia Mwanamuke</t>
  </si>
  <si>
    <t>0977637790</t>
  </si>
  <si>
    <t>177511/82/1</t>
  </si>
  <si>
    <t xml:space="preserve">Namushekendi camp, Nalumino </t>
  </si>
  <si>
    <t>-15.3512433 23.0684867 1017.6999999999999 4.8</t>
  </si>
  <si>
    <t>Plowing/Draught power Milk Production Manure production Selling/Income generation Asethectic value</t>
  </si>
  <si>
    <t>Botulism (Kubama) Anaplasmosis (Nyoko) CBPP (Maswafu) Anthrax (Lubete) Foot and Mouth (Mulomo ni taku) Lumpy Skin Disease (Sikwekwe)</t>
  </si>
  <si>
    <t>CBPP (Maswafu) Foot and Mouth (Mulomo ni litako) Anthrax (Lubete) Botulism (Kubama) Lumpy Skin Disease (Sikwekwe)</t>
  </si>
  <si>
    <t>728f63ee-93e3-4820-8e02-d7aac142814a</t>
  </si>
  <si>
    <t xml:space="preserve">Mwanza Mwanza </t>
  </si>
  <si>
    <t>0765031977</t>
  </si>
  <si>
    <t>272552/82/1</t>
  </si>
  <si>
    <t>Namushekendi camp, Linda</t>
  </si>
  <si>
    <t>-15.3511683 23.06867 1012.6999999999999 4.916</t>
  </si>
  <si>
    <t xml:space="preserve">Maize: 10 bags (50kg) @ k250/bag </t>
  </si>
  <si>
    <t>Selling/Income generation Plowing/Draught power Asethectic value Milk Production Manure production Transportation</t>
  </si>
  <si>
    <t>Anthrax (Lubete) Lumpy Skin Disease (Sikwekwe) Foot and Mouth (Mulomo ni taku) Botulism (Kubama) Liverfluke (Minyopi ya mwa sibiti) Anaplasmosis (Nyoko)</t>
  </si>
  <si>
    <t>Botulism (Kubama) Foot and Mouth (Mulomo ni litako) Lumpy Skin Disease (Sikwekwe) Anthrax (Lubete)</t>
  </si>
  <si>
    <t xml:space="preserve">When Cattle is sick </t>
  </si>
  <si>
    <t>More of Cropping Activities More Unpalatable grasses Fire</t>
  </si>
  <si>
    <t>89c51e3b-bdc3-4e7f-aada-9cb9e4e0a835</t>
  </si>
  <si>
    <t xml:space="preserve">Nawa Mwanza </t>
  </si>
  <si>
    <t>0956641080</t>
  </si>
  <si>
    <t>Namushekendi camp, Linda vg</t>
  </si>
  <si>
    <t>-15.351195 23.06854 1046.7 4.366</t>
  </si>
  <si>
    <t>Maize: 10 bags (50kg) @ k400/ bag</t>
  </si>
  <si>
    <t>Manure production Plowing/Draught power Milk Production Transportation Selling/Income generation</t>
  </si>
  <si>
    <t>Predominance of Intermediaries Unreliable/Inconsistent Off-take Geographical Isolation</t>
  </si>
  <si>
    <t xml:space="preserve">More of Cropping Activities Fire More Unpalatable grasses Foreign plant evading  </t>
  </si>
  <si>
    <t>fbc757c9-ceb6-4801-b2a3-90d9fae71e9e</t>
  </si>
  <si>
    <t>Nyambe mwinanu</t>
  </si>
  <si>
    <t>0950297184</t>
  </si>
  <si>
    <t>189562/82/1</t>
  </si>
  <si>
    <t>Kaama camp/muyu village</t>
  </si>
  <si>
    <t>Tapo multipurpose cooperative</t>
  </si>
  <si>
    <t>Maize Groundnuts Sweet Potatoes</t>
  </si>
  <si>
    <t>30 bags of 50kg at k340 per bag</t>
  </si>
  <si>
    <t>Cassava Sweet Potatoes Groundnuts</t>
  </si>
  <si>
    <t>CBPP (Maswafu) Anaplasmosis (Nyoko) Anthrax (Lubete) Botulism (Kubama)</t>
  </si>
  <si>
    <t>1ddb573e-d479-4aca-88ba-cebe4835490b</t>
  </si>
  <si>
    <t>Yubya siisi</t>
  </si>
  <si>
    <t>0977718120</t>
  </si>
  <si>
    <t>241887/82/1</t>
  </si>
  <si>
    <t>Namushekendi/naliele village</t>
  </si>
  <si>
    <t>7 bags of 50kg at k250</t>
  </si>
  <si>
    <t>Pests and Diseases High temperatures Limited access to farming inputs</t>
  </si>
  <si>
    <t>Foot and Mouth (Mulomo ni taku) CBPP (Maswafu) Anthrax (Lubete) Black Leg (Ngongola) Anaplasmosis (Nyoko)</t>
  </si>
  <si>
    <t>Anthrax (Lubete) CBPP (Maswafu) Black Leg (Ngongola) Foot and Mouth (Mulomo ni litako)</t>
  </si>
  <si>
    <t>Low Prices Limited access to finance Unreliable/Inconsistent Off-take</t>
  </si>
  <si>
    <t>More water</t>
  </si>
  <si>
    <t>4472a7a9-433a-421c-8938-e80185f36fab</t>
  </si>
  <si>
    <t>Sililo sililo</t>
  </si>
  <si>
    <t>0979168934</t>
  </si>
  <si>
    <t>293100/82/1</t>
  </si>
  <si>
    <t>Chef namutwi</t>
  </si>
  <si>
    <t>Maize Sweet Potatoes Groundnuts Cassava</t>
  </si>
  <si>
    <t>e64ea09f-5a85-435f-83de-7844e980595f</t>
  </si>
  <si>
    <t>Noi mulife</t>
  </si>
  <si>
    <t>0975189640</t>
  </si>
  <si>
    <t>327915/82/1</t>
  </si>
  <si>
    <t>Namushekendi farm institute/naliele village</t>
  </si>
  <si>
    <t>Fishing Crop Production Livestock Production</t>
  </si>
  <si>
    <t>Maize Cabbage Rape Tomatoes</t>
  </si>
  <si>
    <t>Anaplasmosis (Nyoko) Eye Infections/Pink Eye (Butuku bwa meto) CBPP (Maswafu) Foot and Mouth (Mulomo ni taku)</t>
  </si>
  <si>
    <t>More water More Grass (Types) More Grass (Volume)</t>
  </si>
  <si>
    <t>04ee4108-e490-4ae9-b45d-e369119be034</t>
  </si>
  <si>
    <t>Inambao kalembwe</t>
  </si>
  <si>
    <t>0950808991</t>
  </si>
  <si>
    <t>251427/82/1</t>
  </si>
  <si>
    <t>Botulism (Kubama) CBPP (Maswafu) Anthrax (Lubete) Anaplasmosis (Nyoko)</t>
  </si>
  <si>
    <t>07cdd18e-b868-499f-a351-8e977b691cb6</t>
  </si>
  <si>
    <t>Koyawa sililo</t>
  </si>
  <si>
    <t>0775277552</t>
  </si>
  <si>
    <t>206094/82/1</t>
  </si>
  <si>
    <t>5 bags of 50kt at k400 per bag</t>
  </si>
  <si>
    <t>Maize Rape Tomatoes Hibiscus Saddariffa (Sindambi)</t>
  </si>
  <si>
    <t>High temperatures Pests and Diseases Limited access to farming inputs High cost of inputs (fertilizers, pesticides)</t>
  </si>
  <si>
    <t>Transportation Selling/Income generation Manure production Milk Production</t>
  </si>
  <si>
    <t>Anaplasmosis (Nyoko) Botulism (Kubama) Foot and Mouth (Mulomo ni taku) CBPP (Maswafu) Anthrax (Lubete)</t>
  </si>
  <si>
    <t>Limited access to finance  Limited Market Knowledge Lack of Transportation Low Prices</t>
  </si>
  <si>
    <t>dedcff8f-c069-47fb-baa6-66dd86d1cd16</t>
  </si>
  <si>
    <t>Kongwa mundia</t>
  </si>
  <si>
    <t>0764020521</t>
  </si>
  <si>
    <t>162598/81/1</t>
  </si>
  <si>
    <t>7 bags of 50kg at k350 per bag</t>
  </si>
  <si>
    <t>Sweet Potatoes Cassava Other</t>
  </si>
  <si>
    <t>High temperatures Limited access to farming inputs Pests and Diseases High cost of inputs (fertilizers, pesticides)</t>
  </si>
  <si>
    <t>Anaplasmosis (Nyoko) CBPP (Maswafu) Anthrax (Lubete) Botulism (Kubama) Foot and Mouth (Mulomo ni taku) Lumpy Skin Disease (Sikwekwe)</t>
  </si>
  <si>
    <t>Lack of Transportation Low Prices Limited Market Knowledge Limited access to finance</t>
  </si>
  <si>
    <t>Lack of Transportation Low Prices Limited access to finance  Limited Market Knowledge</t>
  </si>
  <si>
    <t>dd838792-ba1e-4091-9ad1-a31c1f6c67fb</t>
  </si>
  <si>
    <t>Naita naita</t>
  </si>
  <si>
    <t>0950820345</t>
  </si>
  <si>
    <t>362569/82/1</t>
  </si>
  <si>
    <t>Namushekendi farm institute/namayula village</t>
  </si>
  <si>
    <t>Maize Tomatoes Rape</t>
  </si>
  <si>
    <t>Selling/Income generation Milk Production Manure production Transportation</t>
  </si>
  <si>
    <t>Botulism (Kubama) Anthrax (Lubete) CBPP (Maswafu) Anaplasmosis (Nyoko)</t>
  </si>
  <si>
    <t xml:space="preserve">December November </t>
  </si>
  <si>
    <t>77ed5e31-7846-4037-acb3-11050c613bca</t>
  </si>
  <si>
    <t xml:space="preserve">Siyanga Lubinda </t>
  </si>
  <si>
    <t>243550/82/1</t>
  </si>
  <si>
    <t>Namutwi/Siisi</t>
  </si>
  <si>
    <t>-15.3823817 23.01459 1045.8 4.86</t>
  </si>
  <si>
    <t>Tomatoes Other</t>
  </si>
  <si>
    <t xml:space="preserve">Egg plant </t>
  </si>
  <si>
    <t xml:space="preserve">Maize 15 x 50kg x k600 </t>
  </si>
  <si>
    <t>Maize 27 x 50kg x k400</t>
  </si>
  <si>
    <t>Sweet Potatoes Pumpkins Cassava</t>
  </si>
  <si>
    <t>High temperatures Drought Pests and Diseases</t>
  </si>
  <si>
    <t>ec09ea5b-a6f2-4366-837c-2d23cbecd378</t>
  </si>
  <si>
    <t xml:space="preserve">Golden Mweemba Golden </t>
  </si>
  <si>
    <t>Lukonga Muswai</t>
  </si>
  <si>
    <t>0966984018</t>
  </si>
  <si>
    <t>269610/82/1</t>
  </si>
  <si>
    <t>Namutwi/ Siisi</t>
  </si>
  <si>
    <t>-15.3824183 23.01465 1020.1 4.866</t>
  </si>
  <si>
    <t>Pumpkins</t>
  </si>
  <si>
    <t xml:space="preserve">Maize 11 x 50kg  x k400 </t>
  </si>
  <si>
    <t>Sweet Potatoes Pumpkins</t>
  </si>
  <si>
    <t>Low Prices Geographical Isolation Predominance of Intermediaries</t>
  </si>
  <si>
    <t>Fire More of Cropping Activities Limited access to water sources</t>
  </si>
  <si>
    <t>f89213f7-af6e-4566-a7a5-d64de2d5c2ea</t>
  </si>
  <si>
    <t>Muzungu Kabimba</t>
  </si>
  <si>
    <t>0956720260</t>
  </si>
  <si>
    <t>309760/82/1</t>
  </si>
  <si>
    <t>Namutwi/Kabimba</t>
  </si>
  <si>
    <t>-15.3824417 23.0144767 1015.0 4.9</t>
  </si>
  <si>
    <t xml:space="preserve">More of Cropping Activities Foreign plant evading  </t>
  </si>
  <si>
    <t>More Unpalatable grasses More fertile soils More water More Grass (Types) More Grass (Volume)</t>
  </si>
  <si>
    <t>e5c76c8c-7d79-4f77-8d26-142a24c79315</t>
  </si>
  <si>
    <t>Mubuyaeta koyawa</t>
  </si>
  <si>
    <t>327808/82/1</t>
  </si>
  <si>
    <t>-15.3824021 23.0145373 1037.908447265625 4.741</t>
  </si>
  <si>
    <t>Maize 5 x 50kg x k600</t>
  </si>
  <si>
    <t xml:space="preserve">Maize 10 x 50kg x k400 </t>
  </si>
  <si>
    <t>Pumpkins Sweet Potatoes Cabbage Cassava</t>
  </si>
  <si>
    <t>Foot and Mouth (Mulomo ni litako) Anthrax (Lubete)</t>
  </si>
  <si>
    <t>Fire Limited access to water sources More of Cropping Activities Over grazing</t>
  </si>
  <si>
    <t>8e582b34-9cef-41c1-b822-a86da07024c0</t>
  </si>
  <si>
    <t>Siyanga Mbangweta</t>
  </si>
  <si>
    <t>0775657754</t>
  </si>
  <si>
    <t>385296/82/1</t>
  </si>
  <si>
    <t>-15.3824209 23.0145259 1024.6854248046875 3.79</t>
  </si>
  <si>
    <t>Maize 1 x 50kg x k600</t>
  </si>
  <si>
    <t xml:space="preserve">Maize 7 x 50kg x k400 </t>
  </si>
  <si>
    <t>08c4a4a8-98ad-4eee-8c61-d8237b5be7f7</t>
  </si>
  <si>
    <t>0973507539</t>
  </si>
  <si>
    <t>288969/82/1</t>
  </si>
  <si>
    <t>Namushekendi camp, Namala vg</t>
  </si>
  <si>
    <t>-15.351231 23.068374 1021.7757568359375 4.969</t>
  </si>
  <si>
    <t>When cattle are old and sick</t>
  </si>
  <si>
    <t>96908fdd-8086-44c4-8af8-642ae421e4d7</t>
  </si>
  <si>
    <t xml:space="preserve">Mwakamui Kabimba </t>
  </si>
  <si>
    <t>176929/82/1</t>
  </si>
  <si>
    <t xml:space="preserve">Namushekendi camp, Namuku </t>
  </si>
  <si>
    <t>-15.351246 23.0684665 1027.5057373046875 4.739</t>
  </si>
  <si>
    <t>Maize Rape Chinese Cabbage Hibiscus Saddariffa (Sindambi)</t>
  </si>
  <si>
    <t>CBPP (Maswafu) Botulism (Kubama) Anaplasmosis (Nyoko) Anthrax (Lubete) Foot and Mouth (Mulomo ni taku)</t>
  </si>
  <si>
    <t>School fees</t>
  </si>
  <si>
    <t>9c7c28f6-76b6-41e8-b230-04303eb965f9</t>
  </si>
  <si>
    <t xml:space="preserve">Mubiana Silumesi </t>
  </si>
  <si>
    <t>0975803191</t>
  </si>
  <si>
    <t>181101/16/1</t>
  </si>
  <si>
    <t xml:space="preserve">Namushekendi camp, Mambwe village </t>
  </si>
  <si>
    <t>-15.3512575 23.0684381 1026.8192138671875 4.133</t>
  </si>
  <si>
    <t>Selling/Income generation Manure production Milk Production Plowing/Draught power Asethectic value</t>
  </si>
  <si>
    <t>Lumpy Skin Disease (Sikwekwe) Anthrax (Lubete) Botulism (Kubama)</t>
  </si>
  <si>
    <t>5c92b433-f54c-4349-af9d-051249912791</t>
  </si>
  <si>
    <t xml:space="preserve">Mubita Muyunda </t>
  </si>
  <si>
    <t>224119/82/1</t>
  </si>
  <si>
    <t>Namushekendi camp,Linda</t>
  </si>
  <si>
    <t>-15.3512428 23.0684179 1031.2020263671875 4.94</t>
  </si>
  <si>
    <t>Milk Production Manure production Plowing/Draught power Selling/Income generation Transportation</t>
  </si>
  <si>
    <t>Anaplasmosis (Nyoko) Botulism (Kubama) Lumpy Skin Disease (Sikwekwe) Anthrax (Lubete)</t>
  </si>
  <si>
    <t>CBPP (Maswafu) Anthrax (Lubete) Foot and Mouth (Mulomo ni litako)</t>
  </si>
  <si>
    <t>d1e67c39-4276-48db-b60f-a33d5c04d8ef</t>
  </si>
  <si>
    <t>Musiyalela Katula</t>
  </si>
  <si>
    <t>0979272349</t>
  </si>
  <si>
    <t>224259/82/1</t>
  </si>
  <si>
    <t xml:space="preserve">Namushekendi camp, Namala </t>
  </si>
  <si>
    <t>-15.3512049 23.0684881 1040.3961181640625 4.064</t>
  </si>
  <si>
    <t>Lack of capital Other High cost of inputs (fertilizers, pesticides)</t>
  </si>
  <si>
    <t>Botulism (Kubama) Anaplasmosis (Nyoko) Foot and Mouth (Mulomo ni taku)</t>
  </si>
  <si>
    <t>Fire Over grazing More Unpalatable grasses</t>
  </si>
  <si>
    <t>b8dbb51b-aab5-46ab-b044-54fa4bd3235f</t>
  </si>
  <si>
    <t>Lusimo Nawa</t>
  </si>
  <si>
    <t>0952219151</t>
  </si>
  <si>
    <t>297249/82/1</t>
  </si>
  <si>
    <t>Tungi camp, village Nalusa</t>
  </si>
  <si>
    <t>-15.2531255 23.0599299 1025.88671875 4.669</t>
  </si>
  <si>
    <t>Okra Chinese Cabbage Tomatoes Sweet Potatoes Pumpkins</t>
  </si>
  <si>
    <t>Rice 4 bags just for food 
Maize 5bags just for food</t>
  </si>
  <si>
    <t>e6605817-eccf-472c-851f-d463d7fb59a0</t>
  </si>
  <si>
    <t>Kufekisa Batuke</t>
  </si>
  <si>
    <t>0975702825</t>
  </si>
  <si>
    <t>389382/82/1</t>
  </si>
  <si>
    <t>Nalusa village. Tungi camp</t>
  </si>
  <si>
    <t>-15.2531781 23.0599777 1025.7418212890625 4.843</t>
  </si>
  <si>
    <t>Livestock Production Tree Crops (Agroforestry)</t>
  </si>
  <si>
    <t>Over grazing Fire Erosion More of Cropping Activities</t>
  </si>
  <si>
    <t>September August October</t>
  </si>
  <si>
    <t>fbe8f173-4156-49b1-9156-120bc51eb261</t>
  </si>
  <si>
    <t>Akatama simoko</t>
  </si>
  <si>
    <t>0958324075</t>
  </si>
  <si>
    <t>Sinamuyabe village</t>
  </si>
  <si>
    <t>-15.3215243 23.0744676 1023.6226806640625 3.866</t>
  </si>
  <si>
    <t xml:space="preserve">Limited Market Knowledge Limited access to finance  Low Prices Lack of linkages  </t>
  </si>
  <si>
    <t>99c83e06-91d5-4c9c-819f-0e38954090f1</t>
  </si>
  <si>
    <t>Mubita Mukumbuta</t>
  </si>
  <si>
    <t>0974048340</t>
  </si>
  <si>
    <t>112014/82/1</t>
  </si>
  <si>
    <t>Namutwi/ Wamunyima</t>
  </si>
  <si>
    <t>-15.39581 23.0409117 1004.8000000000001 4.76</t>
  </si>
  <si>
    <t>Rice 62 bags, K500 per bag</t>
  </si>
  <si>
    <t xml:space="preserve">Rice 0 bags
Maize 31 bags </t>
  </si>
  <si>
    <t>Pests and Diseases Lack of capital Drought</t>
  </si>
  <si>
    <t>Manure production Milk Production Plowing/Draught power</t>
  </si>
  <si>
    <t>Anaplasmosis (Nyoko) CBPP (Maswafu) Botulism (Kubama) Foot and Mouth (Mulomo ni taku)</t>
  </si>
  <si>
    <t>Other (Please Specify) Traditional Practice To let grass regrow</t>
  </si>
  <si>
    <t>2e53efc7-5c24-45e1-a5d0-d2717e14219a</t>
  </si>
  <si>
    <t>Liyali Manangombe</t>
  </si>
  <si>
    <t>0956549794</t>
  </si>
  <si>
    <t>288793/82/1</t>
  </si>
  <si>
    <t>-15.3958067 23.0408317 1048.3 3.616</t>
  </si>
  <si>
    <t>Maize 10 bags
Rice 12 bags</t>
  </si>
  <si>
    <t>Maize 15 bags
Rice 0</t>
  </si>
  <si>
    <t>Pumpkins Maize Groundnuts Sweet Potatoes</t>
  </si>
  <si>
    <t>Drought Knowledge Gap</t>
  </si>
  <si>
    <t>Poultry Cattle Pigs</t>
  </si>
  <si>
    <t>78653862-3154-466c-adc6-f21c1a94a963</t>
  </si>
  <si>
    <t>Nawa Kalaluka</t>
  </si>
  <si>
    <t>0972697355</t>
  </si>
  <si>
    <t>252689/82/1</t>
  </si>
  <si>
    <t>-15.3958617 23.0407933 1023.9 4.833</t>
  </si>
  <si>
    <t>Floods Pests and Diseases High cost of inputs (fertilizers, pesticides)</t>
  </si>
  <si>
    <t>CBPP (Maswafu) Botulism (Kubama) Foot and Mouth (Mulomo ni taku) Black Leg (Ngongola) Anaplasmosis (Nyoko)</t>
  </si>
  <si>
    <t>284f9194-0589-40d4-95fd-e525d3f8998c</t>
  </si>
  <si>
    <t>Mubiana Kanyeba</t>
  </si>
  <si>
    <t>0974119588</t>
  </si>
  <si>
    <t>253611/82/1</t>
  </si>
  <si>
    <t>-15.3958517 23.0407733 1010.3000000000001 4.5</t>
  </si>
  <si>
    <t>Knowledge Gap Pests and Diseases Floods</t>
  </si>
  <si>
    <t>More Grass (Volume) More Grass (Types)</t>
  </si>
  <si>
    <t>August October September</t>
  </si>
  <si>
    <t>e485df2d-3fa2-40d8-a47d-db0809d3a069</t>
  </si>
  <si>
    <t>Pelekelo Mwala</t>
  </si>
  <si>
    <t>0968554264</t>
  </si>
  <si>
    <t>327908/82/1</t>
  </si>
  <si>
    <t>-15.396005 23.04078 987.9 6.0</t>
  </si>
  <si>
    <t>Pests and Diseases Knowledge Gap Lack of capital</t>
  </si>
  <si>
    <t>CBPP (Maswafu) Botulism (Kubama) Anaplasmosis (Nyoko) Foot and Mouth (Mulomo ni taku)</t>
  </si>
  <si>
    <t>be2ca589-6489-459d-bb11-8ba4f3922b97</t>
  </si>
  <si>
    <t>Liungu Mwanangombe</t>
  </si>
  <si>
    <t>0958401015</t>
  </si>
  <si>
    <t>365969/82/1</t>
  </si>
  <si>
    <t>-15.395845 23.0407733 1000.4 4.86</t>
  </si>
  <si>
    <t>High cost of inputs (fertilizers, pesticides) Lack of capital</t>
  </si>
  <si>
    <t>CBPP (Maswafu) Anthrax (Lubete) Black Leg (Ngongola) Foot and Mouth (Mulomo ni taku) Botulism (Kubama)</t>
  </si>
  <si>
    <t>Low Prices Limited access to finance</t>
  </si>
  <si>
    <t>0d8dc1b3-2423-4920-ba27-2251c39d7b79</t>
  </si>
  <si>
    <t>Mataa Kanyeba</t>
  </si>
  <si>
    <t>0954286895</t>
  </si>
  <si>
    <t>436534/82/1</t>
  </si>
  <si>
    <t>-15.3958483 23.0407367 1025.8999999999999 4.7</t>
  </si>
  <si>
    <t>Pests and Diseases Lack of capital High cost of inputs (fertilizers, pesticides)</t>
  </si>
  <si>
    <t>CBPP (Maswafu) Anthrax (Lubete) Anaplasmosis (Nyoko)</t>
  </si>
  <si>
    <t>3649f2a5-187d-4283-8bec-18edf00c8834</t>
  </si>
  <si>
    <t>Likando Sipula</t>
  </si>
  <si>
    <t>0771867533</t>
  </si>
  <si>
    <t>355255/67/1</t>
  </si>
  <si>
    <t>-15.3208125 23.0765896 0.0 13300.0</t>
  </si>
  <si>
    <t>Limited Extension Services Knowledge Gap Pests and Diseases</t>
  </si>
  <si>
    <t>CBPP (Maswafu) Botulism (Kubama) Black Leg (Ngongola) Anaplasmosis (Nyoko)</t>
  </si>
  <si>
    <t>a914a536-26e4-41d2-bb90-77c7302eac89</t>
  </si>
  <si>
    <t>Mwanamwalye Mwanangombe</t>
  </si>
  <si>
    <t>327904/82/1</t>
  </si>
  <si>
    <t>-15.3958414 23.0407936 1027.9376220703125 10.834</t>
  </si>
  <si>
    <t>Floods Knowledge Gap Pests and Diseases</t>
  </si>
  <si>
    <t>Black Leg (Ngongola) Anthrax (Lubete) Foot and Mouth (Mulomo ni taku) CBPP (Maswafu) Anaplasmosis (Nyoko) Botulism (Kubama)</t>
  </si>
  <si>
    <t>02a731d8-5e0f-4ce5-8a83-13e3d686940d</t>
  </si>
  <si>
    <t>Mundia  Nabita</t>
  </si>
  <si>
    <t>0972986950</t>
  </si>
  <si>
    <t>111822/82/1</t>
  </si>
  <si>
    <t>-15.3959029 23.0407002 1029.86376953125 3.79</t>
  </si>
  <si>
    <t>Lack of capital Floods Pests and Diseases</t>
  </si>
  <si>
    <t>Anaplasmosis (Nyoko) Anthrax (Lubete) Liverfluke (Minyopi ya mwa sibiti) CBPP (Maswafu)</t>
  </si>
  <si>
    <t>8161cb2a-f62e-4540-ae9c-3871a3b7a874</t>
  </si>
  <si>
    <t>Mufwalishebo Nasilele</t>
  </si>
  <si>
    <t>0950808881</t>
  </si>
  <si>
    <t>253335/82/1</t>
  </si>
  <si>
    <t>-15.3958567 23.0407797 1037.95556640625 40.678</t>
  </si>
  <si>
    <t>Maize Sweet Potatoes Rape</t>
  </si>
  <si>
    <t>Lack of capital High cost of inputs (fertilizers, pesticides)</t>
  </si>
  <si>
    <t>CBPP (Maswafu) Black Leg (Ngongola) Anaplasmosis (Nyoko) Anthrax (Lubete) Foot and Mouth (Mulomo ni taku)</t>
  </si>
  <si>
    <t>Limited Market Knowledge Lack of Transportation</t>
  </si>
  <si>
    <t xml:space="preserve">Low Prices Limited access to finance </t>
  </si>
  <si>
    <t>c33ebf64-c35c-4d8a-b0d2-a56ea2595617</t>
  </si>
  <si>
    <t>Nalwendo Nalwendo</t>
  </si>
  <si>
    <t>0975498031</t>
  </si>
  <si>
    <t>25136482/1</t>
  </si>
  <si>
    <t>-15.3960306 23.0405649 972.643798828125 33.93</t>
  </si>
  <si>
    <t>331661f5-84d4-4364-8e2c-758071150f85</t>
  </si>
  <si>
    <t>0973193185</t>
  </si>
  <si>
    <t>433099/82/1</t>
  </si>
  <si>
    <t>-15.3959259 23.0408316 972.643798828125 35.266</t>
  </si>
  <si>
    <t>Pests and Diseases High cost of inputs (fertilizers, pesticides)</t>
  </si>
  <si>
    <t>Milk Production Manure production</t>
  </si>
  <si>
    <t>8aa60d79-e528-4490-b61a-a440ac5ac29f</t>
  </si>
  <si>
    <t>Napumulo Muyolokela</t>
  </si>
  <si>
    <t>0954240196</t>
  </si>
  <si>
    <t>276948/82/1</t>
  </si>
  <si>
    <t xml:space="preserve">Kaama vet camp &amp; Ndowana village </t>
  </si>
  <si>
    <t>Ishewambuto</t>
  </si>
  <si>
    <t>-15.2424203 22.8774274 1026.9 4.78</t>
  </si>
  <si>
    <t xml:space="preserve">Informal Employment </t>
  </si>
  <si>
    <t>Poor soil fertility</t>
  </si>
  <si>
    <t>Manure production Milk Production Selling/Income generation Transportation Plowing/Draught power Asethectic value</t>
  </si>
  <si>
    <t>Anaplasmosis (Nyoko) CBPP (Maswafu) Lumpy Skin Disease (Sikwekwe) Liverfluke (Minyopi ya mwa sibiti)</t>
  </si>
  <si>
    <t>7c3845e5-1fb4-4c1b-8382-a7c1e15e7aff</t>
  </si>
  <si>
    <t>0953686678</t>
  </si>
  <si>
    <t>327830/82/1</t>
  </si>
  <si>
    <t xml:space="preserve">Kaama vet camp and Mutalaiti </t>
  </si>
  <si>
    <t>-15.2423879 22.8773754 1033.3999999999999 4.06</t>
  </si>
  <si>
    <t>Sweet Potatoes Groundnuts</t>
  </si>
  <si>
    <t>Sweet potatoes,  5 bags by 50 kg, price K350</t>
  </si>
  <si>
    <t>Groundnuts,  3 bags by 50kg , K300/bag</t>
  </si>
  <si>
    <t>Hibiscus Saddariffa (Sindambi) Cassava Pumpkins Sweet Potatoes Maize</t>
  </si>
  <si>
    <t>CBPP (Maswafu) Anaplasmosis (Nyoko) Liverfluke (Minyopi ya mwa sibiti) Lumpy Skin Disease (Sikwekwe)</t>
  </si>
  <si>
    <t>Limited Market Knowledge Low Prices Geographical Isolation</t>
  </si>
  <si>
    <t>9a6c7476-6942-488c-82c6-5494e70d75e0</t>
  </si>
  <si>
    <t>Nalumino mataa</t>
  </si>
  <si>
    <t>0956965782</t>
  </si>
  <si>
    <t>105100/82/1</t>
  </si>
  <si>
    <t xml:space="preserve">Kaama  vet camp &amp; Ndowana village </t>
  </si>
  <si>
    <t xml:space="preserve">Ishewambuto </t>
  </si>
  <si>
    <t>-15.2423825 22.8773396 530.3999633789062 3.949</t>
  </si>
  <si>
    <t>Local bakery like fritters</t>
  </si>
  <si>
    <t>Groundnuts Sweet Potatoes</t>
  </si>
  <si>
    <t>Sweet potatoes, 3 bags, k300 /bag</t>
  </si>
  <si>
    <t>Cassava Maize Rape Pumpkins Beans Groundnuts</t>
  </si>
  <si>
    <t>Manure production Milk Production Selling/Income generation Asethectic value Plowing/Draught power</t>
  </si>
  <si>
    <t>CBPP (Maswafu) Anaplasmosis (Nyoko) Heartwater (Matakani) Liverfluke (Minyopi ya mwa sibiti)</t>
  </si>
  <si>
    <t>Lack of Transportation Limited Market Knowledge Unreliable/Inconsistent Off-take</t>
  </si>
  <si>
    <t>6f07e465-372d-4c2e-8713-153b6a52a7c1</t>
  </si>
  <si>
    <t>Situation Nakutoma</t>
  </si>
  <si>
    <t>0954001347</t>
  </si>
  <si>
    <t>361253/82/1</t>
  </si>
  <si>
    <t xml:space="preserve">Kaama vet camp and mutalaiti village </t>
  </si>
  <si>
    <t>-15.2423548 22.8773308 1044.4024658203125 4.383</t>
  </si>
  <si>
    <t>Maize Okra Tomatoes</t>
  </si>
  <si>
    <t>Pests and Diseases High temperatures Drought</t>
  </si>
  <si>
    <t>CBPP (Maswafu) Foot and Mouth (Mulomo ni taku) Liverfluke (Minyopi ya mwa sibiti) Anaplasmosis (Nyoko) Lumpy Skin Disease (Sikwekwe)</t>
  </si>
  <si>
    <t>ebba92a8-6a78-4d6d-b289-eb89d017c584</t>
  </si>
  <si>
    <t>Mbangweta Mukumbuta</t>
  </si>
  <si>
    <t>0957362075</t>
  </si>
  <si>
    <t>257993/82/1</t>
  </si>
  <si>
    <t xml:space="preserve">Kaama Camp, Ngongote village </t>
  </si>
  <si>
    <t>-15.2423735 22.8773749 1023.5302734375 5.344</t>
  </si>
  <si>
    <t>Tomatoes Rape</t>
  </si>
  <si>
    <t>Maize Cassava Sweet Potatoes Groundnuts</t>
  </si>
  <si>
    <t>Pests and Diseases Lack of capital Limited Extension Services</t>
  </si>
  <si>
    <t>Breeding Milk Production Manure production Plowing/Draught power Selling/Income generation</t>
  </si>
  <si>
    <t>Newcastle disease,  Infectious coryza</t>
  </si>
  <si>
    <t>CBPP (Maswafu) Lumpy Skin Disease (Sikwekwe) Botulism (Kubama)</t>
  </si>
  <si>
    <t>March</t>
  </si>
  <si>
    <t>More of Cropping Activities Fire Limited access to water sources</t>
  </si>
  <si>
    <t>For fish nets placing Traditional Practice</t>
  </si>
  <si>
    <t>August July</t>
  </si>
  <si>
    <t>014b282d-4af6-4fac-8aa1-a676dabdaccb</t>
  </si>
  <si>
    <t>Nasilele Mwinanu</t>
  </si>
  <si>
    <t>0954644743</t>
  </si>
  <si>
    <t>241189/82/1</t>
  </si>
  <si>
    <t xml:space="preserve">Kaaba, Mwele village </t>
  </si>
  <si>
    <t>-15.2424745 22.8775793 1047.3388671875 4.989</t>
  </si>
  <si>
    <t>Maize Groundnuts Sweet Potatoes Pumpkins</t>
  </si>
  <si>
    <t>Anaplasmosis (Nyoko) CBPP (Maswafu) Anthrax (Lubete) Botulism (Kubama) Foot and Mouth (Mulomo ni taku)</t>
  </si>
  <si>
    <t>7e774cd1-83e1-46ce-8070-667b3ba2e91f</t>
  </si>
  <si>
    <t>Katumwa Katuto</t>
  </si>
  <si>
    <t>0978038660</t>
  </si>
  <si>
    <t>215177/67/1</t>
  </si>
  <si>
    <t xml:space="preserve">Kaama, Malabo village </t>
  </si>
  <si>
    <t>-15.2422968 22.8774001 1052.9068603515625 6.443</t>
  </si>
  <si>
    <t>Maize Sweet Potatoes Cassava Groundnuts</t>
  </si>
  <si>
    <t>Pests and Diseases Floods Lack of capital</t>
  </si>
  <si>
    <t>Anaplasmosis (Nyoko) Heartwater (Matakani) Black Leg (Ngongola)</t>
  </si>
  <si>
    <t>January February</t>
  </si>
  <si>
    <t>62ee7277-ba18-44de-93d6-3de3769a246c</t>
  </si>
  <si>
    <t>Sifanu Nyambe</t>
  </si>
  <si>
    <t>0950787147</t>
  </si>
  <si>
    <t>428940/82/1</t>
  </si>
  <si>
    <t xml:space="preserve">Kaama Camp. Mutalaiti village </t>
  </si>
  <si>
    <t>-15.2424106 22.8773894 1033.4468994140625 5.62</t>
  </si>
  <si>
    <t>Soya Beans  Sweet Potatoes Cassava</t>
  </si>
  <si>
    <t>CBPP (Maswafu) Anthrax (Lubete) Botulism (Kubama) Eye Infections/Pink Eye (Butuku bwa meto)</t>
  </si>
  <si>
    <t>6e91099c-0708-47ae-abf5-d575b0b901b0</t>
  </si>
  <si>
    <t>Liywali Wambulawaye</t>
  </si>
  <si>
    <t>274612/82/2</t>
  </si>
  <si>
    <t xml:space="preserve">Kaama camp, Mwele village </t>
  </si>
  <si>
    <t>-15.242355 22.877415 1011.6999999999999 4.5</t>
  </si>
  <si>
    <t>Maize Groundnuts Sweet Potatoes Cassava Pumpkins</t>
  </si>
  <si>
    <t>Knowledge Gap Pests and Diseases Lack of capital</t>
  </si>
  <si>
    <t>Black Leg (Ngongola) Bovine Dermatophilosis (Senkobo) Anthrax (Lubete) Anaplasmosis (Nyoko) CBPP (Maswafu) Foot and Mouth (Mulomo ni taku)</t>
  </si>
  <si>
    <t>48b3933f-a4c7-4eb1-aa53-ee4ddfdacead</t>
  </si>
  <si>
    <t>Kapelwa Namiluko</t>
  </si>
  <si>
    <t>251045/82/1</t>
  </si>
  <si>
    <t xml:space="preserve">Kaama camp, Ngongote village </t>
  </si>
  <si>
    <t>-15.242375 22.8774383 1023.6999999999999 4.02</t>
  </si>
  <si>
    <t>Cattle Pigs Poultry Goats</t>
  </si>
  <si>
    <t>2bd6a2c8-01bd-49e4-bb64-cf5f8ac81612</t>
  </si>
  <si>
    <t xml:space="preserve">Chris Nambo Mutakela </t>
  </si>
  <si>
    <t>0957410092</t>
  </si>
  <si>
    <t>729558/11/1</t>
  </si>
  <si>
    <t xml:space="preserve">Kama camp, Leoyeyo </t>
  </si>
  <si>
    <t xml:space="preserve">Eshwambutu </t>
  </si>
  <si>
    <t>-15.1941626 22.9142005 992.0 4.96</t>
  </si>
  <si>
    <t>Milk Production Plowing/Draught power Manure production Selling/Income generation Transportation</t>
  </si>
  <si>
    <t>Lack of linkages   Lack of Transportation Predominance of Intermediaries</t>
  </si>
  <si>
    <t xml:space="preserve">Personal crisis 
Hunger </t>
  </si>
  <si>
    <t>84ce4f31-3faf-4231-b4d6-d8f61af5548f</t>
  </si>
  <si>
    <t xml:space="preserve">Moana Simunda </t>
  </si>
  <si>
    <t>0750262596</t>
  </si>
  <si>
    <t>315136/82/1</t>
  </si>
  <si>
    <t xml:space="preserve">Kama camp, Likundu </t>
  </si>
  <si>
    <t xml:space="preserve">Eshiwambutu </t>
  </si>
  <si>
    <t>-15.2168417 22.9226467 1012.3000000000001 3.1</t>
  </si>
  <si>
    <t>Milk Production Asethectic value</t>
  </si>
  <si>
    <t>Botulism (Kubama) Anthrax (Lubete) Black Leg (Ngongola) Lumpy Skin Disease (Sikwekwe)</t>
  </si>
  <si>
    <t>Nothing</t>
  </si>
  <si>
    <t>fbebd557-ad0b-4b2d-a66b-e83bf1090fdb</t>
  </si>
  <si>
    <t xml:space="preserve">Nyambe sianga </t>
  </si>
  <si>
    <t>0956051875</t>
  </si>
  <si>
    <t>327495/82/1</t>
  </si>
  <si>
    <t>-15.2168867 22.9226617 1005.8000000000001 4.6</t>
  </si>
  <si>
    <t>Sweet potatoes: 7bags (50kg) @ k200/bag
Groundnuts: 3b (25kg) @ k120/bag</t>
  </si>
  <si>
    <t>Maize Groundnuts Sweet Potatoes Cassava</t>
  </si>
  <si>
    <t>Milk Production Manure production Plowing/Draught power Selling/Income generation Transportation Meat Production Asethectic value</t>
  </si>
  <si>
    <t>Anaplasmosis (Nyoko) Heartwater (Matakani) CBPP (Maswafu)</t>
  </si>
  <si>
    <t>Borrowed Bull Inbreeding</t>
  </si>
  <si>
    <t>Lack of linkages   Predominance of Intermediaries Lack of Transportation</t>
  </si>
  <si>
    <t>4bec30a4-dc90-4360-9d37-bebfb49d3acf</t>
  </si>
  <si>
    <t xml:space="preserve">Elishebo Elishebo </t>
  </si>
  <si>
    <t>0956960608</t>
  </si>
  <si>
    <t>382332/82/1</t>
  </si>
  <si>
    <t xml:space="preserve">Kama vet camp, Loeyeyo </t>
  </si>
  <si>
    <t xml:space="preserve">Emshowamboto </t>
  </si>
  <si>
    <t>-15.1941183 22.914098 1027.8004150390625 4.019</t>
  </si>
  <si>
    <t>Rape:0
Tomatoes:0</t>
  </si>
  <si>
    <t>Tomatoes: 3 crates @ k350/crate
Rape: 3 bags (25kg) @ k120/bag</t>
  </si>
  <si>
    <t>Plowing/Draught power Manure production Milk Production Selling/Income generation Meat Production Transportation Asethectic value</t>
  </si>
  <si>
    <t>Anaplasmosis (Nyoko) Lumpy Skin Disease (Sikwekwe) Botulism (Kubama)</t>
  </si>
  <si>
    <t>Predominance of Intermediaries Lack of linkages   Lack of Transportation</t>
  </si>
  <si>
    <t xml:space="preserve">Person crisis </t>
  </si>
  <si>
    <t>Over grazing More Unpalatable grasses Fire</t>
  </si>
  <si>
    <t>More Unpalatable grasses Less Grass (Types) More erosion</t>
  </si>
  <si>
    <t>0bc5a3af-1d2e-4254-b2f7-1cb0ac499634</t>
  </si>
  <si>
    <t xml:space="preserve">Kebby Nyambe Pumulo </t>
  </si>
  <si>
    <t>0979837002</t>
  </si>
  <si>
    <t>274750/82/1</t>
  </si>
  <si>
    <t>Kama camp, leoyeyo</t>
  </si>
  <si>
    <t>Eshwambutu</t>
  </si>
  <si>
    <t>-15.1941715 22.9140885 1024.0452880859375 3.938</t>
  </si>
  <si>
    <t>Sweet potatoes: 9 bags (50kg) @ k250/bag
Groundnuts: 3 bags (50kg) @ k400/bag</t>
  </si>
  <si>
    <t>Sweet potatoes: 15bags (50kg) @ k400/bag
Groundnuts: 2 bags (50kg) @ k500/bag</t>
  </si>
  <si>
    <t>Selling/Income generation Milk Production Manure production Plowing/Draught power Asethectic value Transportation</t>
  </si>
  <si>
    <t>Botulism (Kubama) Anthrax (Lubete)</t>
  </si>
  <si>
    <t xml:space="preserve">Predominance of Intermediaries Lack of Transportation Lack of linkages  </t>
  </si>
  <si>
    <t xml:space="preserve">Hunger and personal crisis </t>
  </si>
  <si>
    <t>f82d4005-7025-474a-a00c-38113252b6ae</t>
  </si>
  <si>
    <t xml:space="preserve">Kabisa Pumulo </t>
  </si>
  <si>
    <t>0956478835</t>
  </si>
  <si>
    <t>334734/82/1</t>
  </si>
  <si>
    <t xml:space="preserve">Kama vet cap, Leoyeyeo </t>
  </si>
  <si>
    <t>-15.1941283 22.9141246 1023.681640625 4.821</t>
  </si>
  <si>
    <t>Sweet Potatoes Pumpkins Cassava Groundnuts</t>
  </si>
  <si>
    <t>Sweet potatoes: 8 bag(50kg) @ k400/bag
Groundnuts: 5 bags (50kg) @ k500/bag
Pumpkins: 30 @ k10 each</t>
  </si>
  <si>
    <t>d0437457-d2c9-4c70-a465-264922bb679a</t>
  </si>
  <si>
    <t>0976325617</t>
  </si>
  <si>
    <t>242907/82/1</t>
  </si>
  <si>
    <t>Chief ishwabutu</t>
  </si>
  <si>
    <t>-15.1811924 22.8387866 1039.63134765625 4.688</t>
  </si>
  <si>
    <t>Meat Production Manure production Plowing/Draught power Selling/Income generation Transportation Milk Production</t>
  </si>
  <si>
    <t>Botulism (Kubama) CBPP (Maswafu) Brucellosis (Butuku bwa Kufoloza) Anaplasmosis (Nyoko) Anthrax (Lubete) Mycotic Dermatitis (Lukwekwe) Eye Infections/Pink Eye (Butuku bwa meto) Black Leg (Ngongola)  Bovine Tuberculosis Lumpy Skin Disease (Sikwekwe)</t>
  </si>
  <si>
    <t>Aggregation points/hubs Local market</t>
  </si>
  <si>
    <t>d626653f-5bd4-4bae-840d-5f892855dc2b</t>
  </si>
  <si>
    <t>Katuto siyanga</t>
  </si>
  <si>
    <t>0951346522</t>
  </si>
  <si>
    <t>242766/82/1</t>
  </si>
  <si>
    <t>10 bags of 50kg at k600 per bag</t>
  </si>
  <si>
    <t>CBPP (Maswafu) Botulism (Kubama) Anthrax (Lubete) Lumpy Skin Disease (Sikwekwe)</t>
  </si>
  <si>
    <t>79cd7e60-dcae-4130-8019-89006c548066</t>
  </si>
  <si>
    <t>Fine lukama nyambe</t>
  </si>
  <si>
    <t>0977848500</t>
  </si>
  <si>
    <t>180092/82/1</t>
  </si>
  <si>
    <t>Kaama camp/malala village</t>
  </si>
  <si>
    <t>Induna simangolwa</t>
  </si>
  <si>
    <t xml:space="preserve">Maize Cassava Groundnuts Pumpkins Okra Cabbage Chinese Cabbage Rape Onions </t>
  </si>
  <si>
    <t>Pests and Diseases Limited access to farming inputs Knowledge Gap High cost of inputs (fertilizers, pesticides)</t>
  </si>
  <si>
    <t>Less fertile soils Less Grass (Types) Less Grass ( Volume) Less water</t>
  </si>
  <si>
    <t>11e24fde-9880-47ed-8ca1-8c12f489160c</t>
  </si>
  <si>
    <t>Kekelwa wamunyima</t>
  </si>
  <si>
    <t>0772504478</t>
  </si>
  <si>
    <t>273480/82/1</t>
  </si>
  <si>
    <t>8 bags of 50kg at k430 per bag</t>
  </si>
  <si>
    <t>Tomatoes Chinese Cabbage</t>
  </si>
  <si>
    <t>Pests and Diseases Limited access to farming inputs Knowledge Gap High cost of inputs (fertilizers, pesticides) Drought Poor soil fertility</t>
  </si>
  <si>
    <t>CBPP (Maswafu) Anthrax (Lubete) Botulism (Kubama) Anaplasmosis (Nyoko)</t>
  </si>
  <si>
    <t>Cooperatives</t>
  </si>
  <si>
    <t>Less fertile soils Less Grass ( Volume) Less Grass (Types) Less water</t>
  </si>
  <si>
    <t>5d573099-9b37-45bf-99e6-7825dc1b6280</t>
  </si>
  <si>
    <t>Mbenge matengana</t>
  </si>
  <si>
    <t>0950258870</t>
  </si>
  <si>
    <t>257605/82/1</t>
  </si>
  <si>
    <t>Kaama camp/koba village</t>
  </si>
  <si>
    <t>Chef ishewambuto</t>
  </si>
  <si>
    <t>10 bags of 50kg at k450 per bag</t>
  </si>
  <si>
    <t>Maize Sweet Potatoes Groundnuts</t>
  </si>
  <si>
    <t>Limited access to water sources Fire Over grazing</t>
  </si>
  <si>
    <t>Less water Less fertile soils Less Grass ( Volume) Less Grass (Types)</t>
  </si>
  <si>
    <t>fb02d488-81c1-4a13-9dc0-85e3f0d12586</t>
  </si>
  <si>
    <t>Kayemba Vincent Mbaimbai</t>
  </si>
  <si>
    <t>0954075745</t>
  </si>
  <si>
    <t>179942/82/1</t>
  </si>
  <si>
    <t xml:space="preserve">Kaama/Liyoyelo </t>
  </si>
  <si>
    <t>Ishwambuto/Maboshe</t>
  </si>
  <si>
    <t>-15.1941417 22.914225 1002.9 4.666</t>
  </si>
  <si>
    <t xml:space="preserve">Maize crop failure due to flooding </t>
  </si>
  <si>
    <t>CBPP (Maswafu) Foot and Mouth (Mulomo ni litako) Botulism (Kubama) Anthrax (Lubete)</t>
  </si>
  <si>
    <t>Low Prices Predominance of Intermediaries Inadequate Infrastructure</t>
  </si>
  <si>
    <t>Partially Implemented</t>
  </si>
  <si>
    <t>cd70b3c3-e5fd-48a3-bbf6-41416e5a22ce</t>
  </si>
  <si>
    <t>Pumulo Sakubita</t>
  </si>
  <si>
    <t>0953988072</t>
  </si>
  <si>
    <t>185320/82/1</t>
  </si>
  <si>
    <t>Kaama/Likundu</t>
  </si>
  <si>
    <t>Ishwambuto/Sandala</t>
  </si>
  <si>
    <t>-15.2067783 22.9172833 1040.1999999999998 4.675</t>
  </si>
  <si>
    <t>For fish nets placing Other (Please Specify)</t>
  </si>
  <si>
    <t>d8eb0c00-fb99-4b1f-ad8c-a52d65e20023</t>
  </si>
  <si>
    <t xml:space="preserve">Sitali Sitali </t>
  </si>
  <si>
    <t>0950819996</t>
  </si>
  <si>
    <t>272887/82/1</t>
  </si>
  <si>
    <t>Ishwambuto/ Sandaula</t>
  </si>
  <si>
    <t>-15.2168917 22.92271 1020.5 3.9</t>
  </si>
  <si>
    <t>Pests and Diseases High cost of inputs (fertilizers, pesticides) Floods</t>
  </si>
  <si>
    <t>e52a0c86-5a77-46fe-ad6e-fb0d5f76e171</t>
  </si>
  <si>
    <t>Geoffrey Nyambe Pumulo</t>
  </si>
  <si>
    <t>0957645936</t>
  </si>
  <si>
    <t>177936/82/1</t>
  </si>
  <si>
    <t>Kaama/Liyoyelo</t>
  </si>
  <si>
    <t>Ishwambuto</t>
  </si>
  <si>
    <t>-15.1941081 22.9141435 1032.77880859375 3.79</t>
  </si>
  <si>
    <t>For fish nets placing Hunt small animals Traditional Practice To let grass regrow</t>
  </si>
  <si>
    <t>5b44dc7d-3fee-48a0-8640-a661538dd9af</t>
  </si>
  <si>
    <t>Lubinda monde</t>
  </si>
  <si>
    <t>0961171127</t>
  </si>
  <si>
    <t>271552/82/1</t>
  </si>
  <si>
    <t>-15.1940874 22.9140894 1030.2294921875 3.79</t>
  </si>
  <si>
    <t xml:space="preserve">Ward development committee </t>
  </si>
  <si>
    <t xml:space="preserve">Crop failure due to drought </t>
  </si>
  <si>
    <t>7fc8a167-1f17-44f1-88d5-2b389db6568e</t>
  </si>
  <si>
    <t>Matengana Zila</t>
  </si>
  <si>
    <t>0957593975</t>
  </si>
  <si>
    <t>280166/82/1</t>
  </si>
  <si>
    <t>Chief Shiwabutu</t>
  </si>
  <si>
    <t>-15.1811583 22.8387977 1035.076904296875 4.848</t>
  </si>
  <si>
    <t>Maize Rice Chinese Cabbage Tomatoes Cabbage Onions  Cassava Sweet Potatoes Groundnuts</t>
  </si>
  <si>
    <t>Sweet potatoes 10 bags 50kg sold k800 per bag
 and Maize 15 bags 50kg just for consumption</t>
  </si>
  <si>
    <t>Maize 23 bags for consumption</t>
  </si>
  <si>
    <t>Maize Groundnuts Onions  Tomatoes Sorghum</t>
  </si>
  <si>
    <t>Botulism (Kubama) Brucellosis (Butuku bwa Kufoloza) CBPP (Maswafu) Anthrax (Lubete) Anaplasmosis (Nyoko) Mycotic Dermatitis (Lukwekwe) Bovine Dermatophilosis (Senkobo) Eye Infections/Pink Eye (Butuku bwa meto) Black Leg (Ngongola)  Bovine Tuberculosis Heartwater (Matakani)</t>
  </si>
  <si>
    <t xml:space="preserve">Limited access to finance  Low Prices Lack of linkages  </t>
  </si>
  <si>
    <t>Fire Over grazing More of Cropping Activities Erosion</t>
  </si>
  <si>
    <t>db0a09c2-cceb-41c2-9c45-b4604ad1ee93</t>
  </si>
  <si>
    <t>Lubinda Mwiya</t>
  </si>
  <si>
    <t>0950352493</t>
  </si>
  <si>
    <t>260605/82/1</t>
  </si>
  <si>
    <t>Kama camp</t>
  </si>
  <si>
    <t>-15.1811454 22.838813 1033.341064453125 4.614</t>
  </si>
  <si>
    <t>Maize Rice Groundnuts Cassava Sweet Potatoes</t>
  </si>
  <si>
    <t>Groundnuts 10 bags, sold @ k900
Sweet potatoes 12 bags sold @ k800</t>
  </si>
  <si>
    <t>Rice Sweet Potatoes</t>
  </si>
  <si>
    <t>Botulism (Kubama) CBPP (Maswafu) Liverfluke (Minyopi ya mwa sibiti) Heartwater (Matakani) Mycotic Dermatitis (Lukwekwe) Anaplasmosis (Nyoko) Anthrax (Lubete) Eye Infections/Pink Eye (Butuku bwa meto) Black Leg (Ngongola) Lumpy Skin Disease (Sikwekwe)</t>
  </si>
  <si>
    <t>Black Leg (Ngongola) Anthrax (Lubete) Botulism (Kubama) Brucellosis (Butuku bwa Kufoloza) Lumpy Skin Disease (Sikwekwe)</t>
  </si>
  <si>
    <t>Fire Over grazing Erosion</t>
  </si>
  <si>
    <t>121d8fd1-a527-42ae-9c15-f4a77b645473</t>
  </si>
  <si>
    <t>Malala Wakunguma</t>
  </si>
  <si>
    <t>0950463960</t>
  </si>
  <si>
    <t>239064/82/1</t>
  </si>
  <si>
    <t>Kama, Tapo Village</t>
  </si>
  <si>
    <t>-15.1811919 22.838744 1023.865234375 4.996</t>
  </si>
  <si>
    <t>Food Securty Pack(inputs)</t>
  </si>
  <si>
    <t>Maize Rice Chinese Cabbage Cabbage Rape</t>
  </si>
  <si>
    <t>Maize 17 bags 50kgs, for consumption only</t>
  </si>
  <si>
    <t>dc4a6853-69a2-4d70-ae71-c8a9cb8ffcf8</t>
  </si>
  <si>
    <t>Mmbumwae Nyambe</t>
  </si>
  <si>
    <t>0961315715</t>
  </si>
  <si>
    <t>222083/82/1</t>
  </si>
  <si>
    <t>Kama camp, Tapo village</t>
  </si>
  <si>
    <t>-15.1811709 22.8387339 1019.2183837890625 4.846</t>
  </si>
  <si>
    <t>Maize 26 50kgs sold @ 260</t>
  </si>
  <si>
    <t>Groundnuts 4 bags 50kgs sold k450</t>
  </si>
  <si>
    <t>Maize Sweet Potatoes Sorghum Tomatoes</t>
  </si>
  <si>
    <t xml:space="preserve">Yes, Sprinkler Irrigation </t>
  </si>
  <si>
    <t>Less fertile soils More Grass (Types) More Grass (Volume)</t>
  </si>
  <si>
    <t>b46f6e91-a14d-45b9-9455-2aaf7ac24cea</t>
  </si>
  <si>
    <t>Monde maopu</t>
  </si>
  <si>
    <t>0771169076</t>
  </si>
  <si>
    <t>280236/82/1</t>
  </si>
  <si>
    <t>Makuku village</t>
  </si>
  <si>
    <t>Nawasiludu</t>
  </si>
  <si>
    <t>Livestock Production Crop Production Fishing</t>
  </si>
  <si>
    <t>Rice, 10 bags 50kgs sold at k450 
Maize for food only</t>
  </si>
  <si>
    <t>Rice Cassava</t>
  </si>
  <si>
    <t>Meat Production Selling/Income generation Plowing/Draught power Transportation Manure production Milk Production</t>
  </si>
  <si>
    <t>Inbreeding Rented Bull Borrowed Bull</t>
  </si>
  <si>
    <t>January February March April</t>
  </si>
  <si>
    <t>cf997595-47ec-49ca-afff-f1907dece5d2</t>
  </si>
  <si>
    <t>Dear Participant,  Pro Green Earth is conducting a socio-economic survey aimed at gathering valuable insights into existing practices, cllenges, and land use within the Barotse Floodplain. The information collected will be instrumental in designing tailored interventions tt promote the restoration of grazing lands, improve production and market access, strengthen resilience to climate cnge, and ennce land utilization for both livestock and crop farming, ultimately contributing to improved household incomes.  Please be assured tt all responses provided in this survey will be treated with the utmost confidentiality and will be used solely for the purposes of this project. Your honest participation is greatly appreciated, as it will help us develop practical and sustainable solutions tt directly address the needs of communities in the floodplain.</t>
  </si>
  <si>
    <t>If yes, how many dependents do you ve?</t>
  </si>
  <si>
    <t>Wt is your highest level of education?</t>
  </si>
  <si>
    <t>Wt type of mobile device are you using?</t>
  </si>
  <si>
    <t>Wt is your primary source of income?</t>
  </si>
  <si>
    <t>Wt is the amount of income you receive from your main source of earnings? (Monthly in ZMW)</t>
  </si>
  <si>
    <t>Wt are your other sources of income?</t>
  </si>
  <si>
    <t>Wt amount of income do you earn from your other sources of revenue? (Monthly in ZMW)</t>
  </si>
  <si>
    <t xml:space="preserve">Wt type of agricutural activities are you engaged in? (Select all tt apply) </t>
  </si>
  <si>
    <t>Wt crops do you grow primarily for sale? (Select all tt apply)</t>
  </si>
  <si>
    <t>Wt crops did you plant in the following 2024/25 farming season. Provide crops cultivated, yields (Bags) and Price/Bag</t>
  </si>
  <si>
    <t>Wt crops do you grow for household consumption? (Select all tt apply)</t>
  </si>
  <si>
    <t>Wt is your main source of water?</t>
  </si>
  <si>
    <t>Wt is your main sources of inputs?</t>
  </si>
  <si>
    <t>Wt major 3 cllenges do you face in crop production?</t>
  </si>
  <si>
    <t>Wt livestock are you rearing?</t>
  </si>
  <si>
    <t>If cattle, wt is your herd size</t>
  </si>
  <si>
    <t>If jointly owned, how many households sre the kraal?</t>
  </si>
  <si>
    <t>Wt are the top 3 cllenges you face in cattle production?</t>
  </si>
  <si>
    <t>Wt diseases frequently affect your herd?</t>
  </si>
  <si>
    <t>Wt do you do to your cattle dung?</t>
  </si>
  <si>
    <t>Wt are your top 3 cllenges do you face in accessing formal markets for cattle?</t>
  </si>
  <si>
    <t>Wt income did you earn from last cattle sells (2024)?</t>
  </si>
  <si>
    <t>Wt issues does your grazing land face?</t>
  </si>
  <si>
    <t>If yes, why do you burn? (Select all tt apply)</t>
  </si>
  <si>
    <t>If yes, do you ve a fire management plan?</t>
  </si>
  <si>
    <t>Dear Participant, Pro Green Earth is conducting a socio-economic survey to gain insights into current practices, cllenges, and land use in the Barotse Floodplain. The objective is to design tailored interventions tt restore grazing lands , reduce carbon and metne emissions, ennce resilience to climate cnge, and improve land utilization (Livestock and Crop farming) and  household incomes.</t>
  </si>
  <si>
    <t>Wt crops do you grow?</t>
  </si>
  <si>
    <t>Wt crops do you grow?/Maize</t>
  </si>
  <si>
    <t xml:space="preserve">Wt crops do you grow?/Soya Beans </t>
  </si>
  <si>
    <t>Wt crops do you grow?/Groundnuts</t>
  </si>
  <si>
    <t>Wt crops do you grow?/Rice</t>
  </si>
  <si>
    <t>Wt crops do you grow?/Beans</t>
  </si>
  <si>
    <t>Wt crops do you grow?/Sweet Potatoes</t>
  </si>
  <si>
    <t>Wt crops do you grow?/Tomatoes</t>
  </si>
  <si>
    <t xml:space="preserve">Wt crops do you grow?/Onions </t>
  </si>
  <si>
    <t>Wt crops do you grow?/Sorghum</t>
  </si>
  <si>
    <t>Wt crops do you grow?/Millet</t>
  </si>
  <si>
    <t>Wt crops do you grow?/Rape</t>
  </si>
  <si>
    <t>Wt crops do you grow?/Chinese Cabbage</t>
  </si>
  <si>
    <t>Wt crops do you grow?/Cabbage</t>
  </si>
  <si>
    <t>Wt crops do you grow?/Cowpeas</t>
  </si>
  <si>
    <t>Wt crops do you grow?/Cassava</t>
  </si>
  <si>
    <t>Wt crops do you grow?/Okra</t>
  </si>
  <si>
    <t>Wt crops do you grow?/Hibiscus Saddariffa (Sindambi)</t>
  </si>
  <si>
    <t>Wt crops do you grow?/Pumpkins</t>
  </si>
  <si>
    <t>Wt crops do you grow?/Other</t>
  </si>
  <si>
    <t>Wt crops did you plant in the following 2022/23 farming season. Provide crops planted and yields (Bags) cultivated</t>
  </si>
  <si>
    <t>Wt crops did you plant in the following 2023/24 farming season. Provide crops planted and yields (Bags) cultivated</t>
  </si>
  <si>
    <t>Wt crops did you plant in the following 2024/25 farming season. Provide crops planted and yields (Bags) cultivated</t>
  </si>
  <si>
    <t>Do you ve a production calendar</t>
  </si>
  <si>
    <t>Wt do you do to cattle waste?</t>
  </si>
  <si>
    <t>If yes, wt breeding practices do you employee?</t>
  </si>
  <si>
    <t>If yes, wt breeding practices do you employee?/Artificial Insemination</t>
  </si>
  <si>
    <t>If yes, wt breeding practices do you employee?/Inbreeding</t>
  </si>
  <si>
    <t>If yes, wt breeding practices do you employee?/Purcse Bull</t>
  </si>
  <si>
    <t>If yes, wt breeding practices do you employee?/Borrow Bull</t>
  </si>
  <si>
    <t>If yes, wt breeding practices do you employee?/Rent Bull</t>
  </si>
  <si>
    <t>If yes, wt breeding practices do you employee?/Communal Sire</t>
  </si>
  <si>
    <t>Wt income did you earn from last sells (2024)?</t>
  </si>
  <si>
    <t>Purcsed from fellow farmers</t>
  </si>
  <si>
    <t>Pests and Diseases Knowledge Gap Drought Lack of Mecnization/Labor constraints</t>
  </si>
  <si>
    <t>Inbreeding Purcsed Bull</t>
  </si>
  <si>
    <t>Somewt Effective</t>
  </si>
  <si>
    <t>Inbreeding Purcsed Bull Communal Sire</t>
  </si>
  <si>
    <t>Pests and Diseases Knowledge Gap Limited Extension Services Lack of Mecnization/Labor constraints High cost of inputs (fertilizers, pesticides) Limited access to farming inputs</t>
  </si>
  <si>
    <t>Pests and Diseases Knowledge Gap Drought Lack of Mecnization/Labor constraints Limited Extension Services</t>
  </si>
  <si>
    <t>I don't ve</t>
  </si>
  <si>
    <t>Purcsed Bull</t>
  </si>
  <si>
    <t>10 bags (50kg), ve not sold yet</t>
  </si>
  <si>
    <t>Mart mukela</t>
  </si>
  <si>
    <t xml:space="preserve">Namuskendi/farm institute </t>
  </si>
  <si>
    <t xml:space="preserve">Mart mukela </t>
  </si>
  <si>
    <t xml:space="preserve">Namuskende and lukena </t>
  </si>
  <si>
    <t xml:space="preserve">Namuskendi camp and Sikela village </t>
  </si>
  <si>
    <t>Monze/ ilishebo mukubes</t>
  </si>
  <si>
    <t>Liverfluke (Minyopi ya mwa sibiti) Anaplasmosis (Nyoko) Heartwater (Matakani) Anthrax (Lubete) Babesiosis/Red Water (Butuku wa sma Mali) Eye Infections/Pink Eye (Butuku bwa meto) Black Leg (Ngongola)</t>
  </si>
  <si>
    <t>Inbreeding Purcsed Bull Borrowed Bull</t>
  </si>
  <si>
    <t>Brucellosis (Butuku bwa Kufoloza) Heartwater (Matakani) Botulism (Kubama) Anaplasmosis (Nyoko) Anthrax (Lubete) Babesiosis/Red Water (Butuku wa sma Mali) Black Leg (Ngongola) Eye Infections/Pink Eye (Butuku bwa meto) Bovine Dermatophilosis (Senkobo)</t>
  </si>
  <si>
    <t>Mukunyadela sicmu</t>
  </si>
  <si>
    <t>Inbreeding Purcsed Bull Borrowed Bull Rented Bull</t>
  </si>
  <si>
    <t>Brucellosis (Butuku bwa Kufoloza) Heartwater (Matakani) Mycotic Dermatitis (Lukwekwe) Bovine Dermatophilosis (Senkobo) Pasteurella/ emorrgic Septicaemia (Kanoto)</t>
  </si>
  <si>
    <t>Anaplasmosis (Nyoko) Liverfluke (Minyopi ya mwa sibiti) Heartwater (Matakani) Botulism (Kubama) Brucellosis (Butuku bwa Kufoloza)  Bovine Tuberculosis Black Leg (Ngongola) Other Bovine Dermatophilosis (Senkobo) Babesiosis/Red Water (Butuku wa sma Mali) Anthrax (Lubete)</t>
  </si>
  <si>
    <t>Purcsed Bull Borrowed Bull Inbreeding Rented Bull</t>
  </si>
  <si>
    <t>Borrowed Bull Rented Bull Purcsed Bull Inbreeding</t>
  </si>
  <si>
    <t>Brucellosis (Butuku bwa Kufoloza) Botulism (Kubama) Heartwater (Matakani) Liverfluke (Minyopi ya mwa sibiti) Pasteurella/ emorrgic Septicaemia (Kanoto) Babesiosis/Red Water (Butuku wa sma Mali)</t>
  </si>
  <si>
    <t>Rented Bull Inbreeding Purcsed Bull</t>
  </si>
  <si>
    <t>Purcsed Bull Inbreeding Borrowed Bull</t>
  </si>
  <si>
    <t>Botulism (Kubama) Heartwater (Matakani) Brucellosis (Butuku bwa Kufoloza) Anaplasmosis (Nyoko) Babesiosis/Red Water (Butuku wa sma Mali) Anthrax (Lubete)</t>
  </si>
  <si>
    <t>Pests and Diseases Knowledge Gap Floods Drought Lack of Mecnization/Labor constraints High cost of inputs (fertilizers, pesticides)</t>
  </si>
  <si>
    <t>Pests and Diseases Lack of Mecnization/Labor constraints Limited Extension Services</t>
  </si>
  <si>
    <t>CBPP (Maswafu) Liverfluke (Minyopi ya mwa sibiti) Black Leg (Ngongola) Anaplasmosis (Nyoko) Babesiosis/Red Water (Butuku wa sma Mali) Lumpy Skin Disease (Sikwekwe)</t>
  </si>
  <si>
    <t>CBPP (Maswafu) Anaplasmosis (Nyoko) Liverfluke (Minyopi ya mwa sibiti) Black Leg (Ngongola) Pasteurella/ emorrgic Septicaemia (Kanoto)</t>
  </si>
  <si>
    <t>Namuskendi camp and Lukena village</t>
  </si>
  <si>
    <t>Namuskende</t>
  </si>
  <si>
    <t>CBPP (Maswafu) Botulism (Kubama) Lumpy Skin Disease (Sikwekwe) Eye Infections/Pink Eye (Butuku bwa meto) Pasteurella/ emorrgic Septicaemia (Kanoto) Anaplasmosis (Nyoko) Liverfluke (Minyopi ya mwa sibiti)</t>
  </si>
  <si>
    <t>CBPP (Maswafu) Lumpy Skin Disease (Sikwekwe) Babesiosis/Red Water (Butuku wa sma Mali)</t>
  </si>
  <si>
    <t>Purcsed Bull Inbreeding</t>
  </si>
  <si>
    <t>Anaplasmosis (Nyoko) CBPP (Maswafu) Lumpy Skin Disease (Sikwekwe) Pasteurella/ emorrgic Septicaemia (Kanoto)</t>
  </si>
  <si>
    <t>Botulism (Kubama) Liverfluke (Minyopi ya mwa sibiti) Pasteurella/ emorrgic Septicaemia (Kanoto)</t>
  </si>
  <si>
    <t>CBPP (Maswafu) Anaplasmosis (Nyoko) Pasteurella/ emorrgic Septicaemia (Kanoto)</t>
  </si>
  <si>
    <t>Yuyi Muu</t>
  </si>
  <si>
    <t>Namuskende, Sikela</t>
  </si>
  <si>
    <t>Anthrax (Lubete) CBPP (Maswafu) Anaplasmosis (Nyoko) Pasteurella/ emorrgic Septicaemia (Kanoto)</t>
  </si>
  <si>
    <t>Namuskende, Litimeno</t>
  </si>
  <si>
    <t>CBPP (Maswafu) Babesiosis/Red Water (Butuku wa sma Mali) Anthrax (Lubete)</t>
  </si>
  <si>
    <t>Sala Muzamai</t>
  </si>
  <si>
    <t xml:space="preserve">Namuskende </t>
  </si>
  <si>
    <t>Not yet rvested</t>
  </si>
  <si>
    <t>Limited access to farming inputs Lack of Mecnization/Labor constraints Pests and Diseases</t>
  </si>
  <si>
    <t>Lack of Mecnization/Labor constraints High cost of inputs (fertilizers, pesticides) Pests and Diseases</t>
  </si>
  <si>
    <t>Anthrax (Lubete) Anaplasmosis (Nyoko) Bovine Dermatophilosis (Senkobo) Foot and Mouth (Mulomo ni taku) CBPP (Maswafu) Babesiosis/Red Water (Butuku wa sma Mali) Brucellosis (Butuku bwa Kufoloza) Botulism (Kubama) Black Leg (Ngongola)</t>
  </si>
  <si>
    <t>Anaplasmosis (Nyoko) CBPP (Maswafu) Anthrax (Lubete) Liverfluke (Minyopi ya mwa sibiti) Babesiosis/Red Water (Butuku wa sma Mali) Botulism (Kubama)</t>
  </si>
  <si>
    <t>Namuskende/Nasinandi</t>
  </si>
  <si>
    <t>Anaplasmosis (Nyoko) Foot and Mouth (Mulomo ni taku) Anthrax (Lubete) Liverfluke (Minyopi ya mwa sibiti) Pasteurella/ emorrgic Septicaemia (Kanoto) Babesiosis/Red Water (Butuku wa sma Mali)</t>
  </si>
  <si>
    <t xml:space="preserve">Namuskende Farm Institute </t>
  </si>
  <si>
    <t>Liverfluke (Minyopi ya mwa sibiti) Anaplasmosis (Nyoko) Bovine Dermatophilosis (Senkobo) Lumpy Skin Disease (Sikwekwe) Babesiosis/Red Water (Butuku wa sma Mali)</t>
  </si>
  <si>
    <t>Botulism (Kubama) Babesiosis/Red Water (Butuku wa sma Mali) Anaplasmosis (Nyoko) Liverfluke (Minyopi ya mwa sibiti) CBPP (Maswafu)</t>
  </si>
  <si>
    <t>Liverfluke (Minyopi ya mwa sibiti) Botulism (Kubama) Anaplasmosis (Nyoko) Lumpy Skin Disease (Sikwekwe) Babesiosis/Red Water (Butuku wa sma Mali)</t>
  </si>
  <si>
    <t>High cost of inputs (fertilizers, pesticides) Lack of Mecnization/Labor constraints Floods</t>
  </si>
  <si>
    <t>Pests and Diseases Lack of Mecnization/Labor constraints Limited access to farming inputs</t>
  </si>
  <si>
    <t>CBPP (Maswafu) Botulism (Kubama) Anaplasmosis (Nyoko) Bovine Dermatophilosis (Senkobo) Babesiosis/Red Water (Butuku wa sma Mali) Foot and Mouth (Mulomo ni taku) Liverfluke (Minyopi ya mwa sibiti) Lumpy Skin Disease (Sikwekwe)</t>
  </si>
  <si>
    <t>Pests and Diseases High cost of inputs (fertilizers, pesticides) Lack of Mecnization/Labor constraints</t>
  </si>
  <si>
    <t>Botulism (Kubama) Liverfluke (Minyopi ya mwa sibiti) Anaplasmosis (Nyoko) Babesiosis/Red Water (Butuku wa sma Mali) Lumpy Skin Disease (Sikwekwe) Bovine Dermatophilosis (Senkobo) CBPP (Maswafu)</t>
  </si>
  <si>
    <t xml:space="preserve">Rice 
Maize but no rvest due to drought </t>
  </si>
  <si>
    <t>CBPP (Maswafu)  Bovine Tuberculosis Lumpy Skin Disease (Sikwekwe) Anthrax (Lubete) Black Leg (Ngongola) Pasteurella/ emorrgic Septicaemia (Kanoto) Babesiosis/Red Water (Butuku wa sma Mali)</t>
  </si>
  <si>
    <t>Botulism (Kubama) Anaplasmosis (Nyoko) Black Leg (Ngongola) Liverfluke (Minyopi ya mwa sibiti) Foot and Mouth (Mulomo ni taku) Anthrax (Lubete) CBPP (Maswafu) Babesiosis/Red Water (Butuku wa sma Mali)</t>
  </si>
  <si>
    <t>Black Leg (Ngongola) Babesiosis/Red Water (Butuku wa sma Mali) Botulism (Kubama) Foot and Mouth (Mulomo ni taku)</t>
  </si>
  <si>
    <t>Botulism (Kubama) Babesiosis/Red Water (Butuku wa sma Mali) Lumpy Skin Disease (Sikwekwe) Anaplasmosis (Nyoko) Brucellosis (Butuku bwa Kufoloza) CBPP (Maswafu) Foot and Mouth (Mulomo ni taku)</t>
  </si>
  <si>
    <t>Pests and Diseases Lack of Mecnization/Labor constraints Lack of capital</t>
  </si>
  <si>
    <t>Lack of Mecnization/Labor constraints Drought Knowledge Gap</t>
  </si>
  <si>
    <t>Drought Pests and Diseases Lack of Mecnization/Labor constraints</t>
  </si>
  <si>
    <t>Other High cost of inputs (fertilizers, pesticides) Lack of Mecnization/Labor constraints</t>
  </si>
  <si>
    <t>Foot and Mouth (Mulomo ni taku) Botulism (Kubama) CBPP (Maswafu) Babesiosis/Red Water (Butuku wa sma Mali)</t>
  </si>
  <si>
    <t>Botulism (Kubama) Babesiosis/Red Water (Butuku wa sma Mali) Black Leg (Ngongola) Foot and Mouth (Mulomo ni taku) CBPP (Maswafu)</t>
  </si>
  <si>
    <t>Botulism (Kubama) Lumpy Skin Disease (Sikwekwe) Brucellosis (Butuku bwa Kufoloza) CBPP (Maswafu) Anaplasmosis (Nyoko) Babesiosis/Red Water (Butuku wa sma Mali) Foot and Mouth (Mulomo ni taku)</t>
  </si>
  <si>
    <t>Botulism (Kubama) CBPP (Maswafu) Black Leg (Ngongola) Pasteurella/ emorrgic Septicaemia (Kanoto)</t>
  </si>
  <si>
    <t>Other Lack of Mecnization/Labor constraints High cost of inputs (fertilizers, pesticides)</t>
  </si>
  <si>
    <t xml:space="preserve">When cattle is old and when I ve a personal crisis </t>
  </si>
  <si>
    <t>High cost of inputs (fertilizers, pesticides) Pests and Diseases Lack of Mecnization/Labor constraints</t>
  </si>
  <si>
    <t xml:space="preserve">Namuskende camp Nambanda village </t>
  </si>
  <si>
    <t xml:space="preserve">Namuskende camp Muleta village </t>
  </si>
  <si>
    <t xml:space="preserve">Namuskende camp Nawinda village </t>
  </si>
  <si>
    <t>Namuskende camp Nakamba village</t>
  </si>
  <si>
    <t>Akusnga Situmbeko</t>
  </si>
  <si>
    <t xml:space="preserve">Namuskende Camp Nasamba village </t>
  </si>
  <si>
    <t xml:space="preserve">Namuskende,  Namala village </t>
  </si>
  <si>
    <t xml:space="preserve">Namuskende,  Mulondo village </t>
  </si>
  <si>
    <t>Namuskende, Nambanda</t>
  </si>
  <si>
    <t xml:space="preserve">Namuskende camp Namala village </t>
  </si>
  <si>
    <t xml:space="preserve">Namuskende camp Mulondo village </t>
  </si>
  <si>
    <t>Mwanota Sicmu</t>
  </si>
  <si>
    <t xml:space="preserve">Namuskende, Namala village </t>
  </si>
  <si>
    <t xml:space="preserve">Mart </t>
  </si>
  <si>
    <t xml:space="preserve">Not yet rvested </t>
  </si>
  <si>
    <t>Botulism (Kubama) Babesiosis/Red Water (Butuku wa sma Mali) CBPP (Maswafu)</t>
  </si>
  <si>
    <t>Simasiku spa</t>
  </si>
  <si>
    <t>Pests and Diseases Poor soil fertility Lack of Mecnization/Labor constraints</t>
  </si>
  <si>
    <t>High cost of inputs (fertilizers, pesticides) Drought Lack of Mecnization/Labor constraints</t>
  </si>
  <si>
    <t>Pests and Diseases Poor soil fertility Limited Extension Services Lack of Mecnization/Labor constraints</t>
  </si>
  <si>
    <t>CBPP (Maswafu) Anaplasmosis (Nyoko) Liverfluke (Minyopi ya mwa sibiti) Black Leg (Ngongola) Babesiosis/Red Water (Butuku wa sma Mali) Heartwater (Matakani)</t>
  </si>
  <si>
    <t>Pests and Diseases Poor soil fertility Lack of Mecnization/Labor constraints High cost of inputs (fertilizers, pesticides)</t>
  </si>
  <si>
    <t>CBPP (Maswafu) Liverfluke (Minyopi ya mwa sibiti) Anaplasmosis (Nyoko) Pasteurella/ emorrgic Septicaemia (Kanoto) Black Leg (Ngongola)</t>
  </si>
  <si>
    <t>CBPP (Maswafu) Anaplasmosis (Nyoko) Liverfluke (Minyopi ya mwa sibiti) Anthrax (Lubete) Pasteurella/ emorrgic Septicaemia (Kanoto) Black Leg (Ngongola)</t>
  </si>
  <si>
    <t>CBPP (Maswafu) Black Leg (Ngongola) Liverfluke (Minyopi ya mwa sibiti) Anaplasmosis (Nyoko) Pasteurella/ emorrgic Septicaemia (Kanoto) Babesiosis/Red Water (Butuku wa sma Mali)</t>
  </si>
  <si>
    <t>Floods Pests and Diseases Lack of Mecnization/Labor constraints</t>
  </si>
  <si>
    <t>Crcoal Production</t>
  </si>
  <si>
    <t>CBPP (Maswafu) Foot and Mouth (Mulomo ni taku) Babesiosis/Red Water (Butuku wa sma Mali)</t>
  </si>
  <si>
    <t>Foot and Mouth (Mulomo ni taku) CBPP (Maswafu) Anaplasmosis (Nyoko) Pasteurella/ emorrgic Septicaemia (Kanoto) Liverfluke (Minyopi ya mwa sibiti) Black Leg (Ngongola)</t>
  </si>
  <si>
    <t>Siwito maclingwe</t>
  </si>
  <si>
    <t>Botulism (Kubama) CBPP (Maswafu) Lumpy Skin Disease (Sikwekwe) Black Leg (Ngongola) Anthrax (Lubete) Foot and Mouth (Mulomo ni taku) Pasteurella/ emorrgic Septicaemia (Kanoto) Liverfluke (Minyopi ya mwa sibiti) Eye Infections/Pink Eye (Butuku bwa meto)</t>
  </si>
  <si>
    <t>Foot and Mouth (Mulomo ni taku) CBPP (Maswafu) Botulism (Kubama) Liverfluke (Minyopi ya mwa sibiti) Babesiosis/Red Water (Butuku wa sma Mali) Bovine Dermatophilosis (Senkobo) Eye Infections/Pink Eye (Butuku bwa meto) Lumpy Skin Disease (Sikwekwe)</t>
  </si>
  <si>
    <t>Bovine Dermatophilosis (Senkobo) Foot and Mouth (Mulomo ni taku) Botulism (Kubama) Black Leg (Ngongola) Babesiosis/Red Water (Butuku wa sma Mali) Liverfluke (Minyopi ya mwa sibiti) CBPP (Maswafu)</t>
  </si>
  <si>
    <t>Black Leg (Ngongola) Anaplasmosis (Nyoko) CBPP (Maswafu) Liverfluke (Minyopi ya mwa sibiti) Babesiosis/Red Water (Butuku wa sma Mali) Heartwater (Matakani) Lumpy Skin Disease (Sikwekwe)</t>
  </si>
  <si>
    <t>High cost of inputs (fertilizers, pesticides) Lack of Mecnization/Labor constraints Pests and Diseases</t>
  </si>
  <si>
    <t>Botulism (Kubama) CBPP (Maswafu) Lumpy Skin Disease (Sikwekwe) Anaplasmosis (Nyoko) Black Leg (Ngongola) Bovine Dermatophilosis (Senkobo) Anthrax (Lubete) Liverfluke (Minyopi ya mwa sibiti) Foot and Mouth (Mulomo ni taku) Pasteurella/ emorrgic Septicaemia (Kanoto) Eye Infections/Pink Eye (Butuku bwa meto)</t>
  </si>
  <si>
    <t>Eye Infections/Pink Eye (Butuku bwa meto) CBPP (Maswafu) Bovine Dermatophilosis (Senkobo) Babesiosis/Red Water (Butuku wa sma Mali) Liverfluke (Minyopi ya mwa sibiti) Botulism (Kubama) Lumpy Skin Disease (Sikwekwe) Foot and Mouth (Mulomo ni taku)</t>
  </si>
  <si>
    <t xml:space="preserve">Ricrd Munalula Nyambe </t>
  </si>
  <si>
    <t>Botulism (Kubama) CBPP (Maswafu) Foot and Mouth (Mulomo ni taku) Liverfluke (Minyopi ya mwa sibiti) Anaplasmosis (Nyoko) Babesiosis/Red Water (Butuku wa sma Mali) Lumpy Skin Disease (Sikwekwe)</t>
  </si>
  <si>
    <t>Foot and Mouth (Mulomo ni taku) Botulism (Kubama) Liverfluke (Minyopi ya mwa sibiti) Babesiosis/Red Water (Butuku wa sma Mali) Bovine Dermatophilosis (Senkobo) CBPP (Maswafu)</t>
  </si>
  <si>
    <t>Mbonjeni Malili</t>
  </si>
  <si>
    <t>Anaplasmosis (Nyoko) Black Leg (Ngongola) CBPP (Maswafu) Liverfluke (Minyopi ya mwa sibiti) Babesiosis/Red Water (Butuku wa sma Mali) Heartwater (Matakani) Bovine Dermatophilosis (Senkobo) Lumpy Skin Disease (Sikwekwe)</t>
  </si>
  <si>
    <t>Purcsed Bull Borrowed Bull</t>
  </si>
  <si>
    <t>Botulism (Kubama) Liverfluke (Minyopi ya mwa sibiti) Anaplasmosis (Nyoko) CBPP (Maswafu) Foot and Mouth (Mulomo ni taku) Babesiosis/Red Water (Butuku wa sma Mali) Bovine Dermatophilosis (Senkobo) Lumpy Skin Disease (Sikwekwe) Black Leg (Ngongola)</t>
  </si>
  <si>
    <t>Anaplasmosis (Nyoko) Botulism (Kubama) Eye Infections/Pink Eye (Butuku bwa meto) Lumpy Skin Disease (Sikwekwe) Black Leg (Ngongola) Babesiosis/Red Water (Butuku wa sma Mali) Mycotic Dermatitis (Lukwekwe)</t>
  </si>
  <si>
    <t>Botulism (Kubama) Anaplasmosis (Nyoko) Pasteurella/ emorrgic Septicaemia (Kanoto) Anthrax (Lubete) Mycotic Dermatitis (Lukwekwe) Eye Infections/Pink Eye (Butuku bwa meto) Black Leg (Ngongola)  Bovine Tuberculosis</t>
  </si>
  <si>
    <t>Brucellosis (Butuku bwa Kufoloza) Botulism (Kubama) Heartwater (Matakani) Liverfluke (Minyopi ya mwa sibiti) Anaplasmosis (Nyoko) Bovine Dermatophilosis (Senkobo) Anthrax (Lubete) Babesiosis/Red Water (Butuku wa sma Mali) Lumpy Skin Disease (Sikwekwe) Black Leg (Ngongola)</t>
  </si>
  <si>
    <t>Inbreeding Purcsed Bull Rented Bull</t>
  </si>
  <si>
    <t>Liverfluke (Minyopi ya mwa sibiti) Botulism (Kubama) Brucellosis (Butuku bwa Kufoloza) Anthrax (Lubete) Mycotic Dermatitis (Lukwekwe) Eye Infections/Pink Eye (Butuku bwa meto) Babesiosis/Red Water (Butuku wa sma Mali)</t>
  </si>
  <si>
    <t>Inbreeding Purcsed Bull Rented Bull Borrowed Bull</t>
  </si>
  <si>
    <t>Heartwater (Matakani) Mycotic Dermatitis (Lukwekwe) Babesiosis/Red Water (Butuku wa sma Mali) Bovine Dermatophilosis (Senkobo)  Bovine Tuberculosis Black Leg (Ngongola) Lumpy Skin Disease (Sikwekwe) Eye Infections/Pink Eye (Butuku bwa meto) Pasteurella/ emorrgic Septicaemia (Kanoto) Anthrax (Lubete)</t>
  </si>
  <si>
    <t>Lack of Mecnization/Labor constraints Knowledge Gap Drought</t>
  </si>
  <si>
    <t>Lack of Mecnization/Labor constraints Lack of capital Knowledge Gap</t>
  </si>
  <si>
    <t>Lack of capital Lack of Mecnization/Labor constraints Knowledge Gap</t>
  </si>
  <si>
    <t>Liverfluke (Minyopi ya mwa sibiti) CBPP (Maswafu) Anaplasmosis (Nyoko) Pasteurella/ emorrgic Septicaemia (Kanoto)</t>
  </si>
  <si>
    <t>High cost of inputs (fertilizers, pesticides) Lack of Mecnization/Labor constraints High temperatures</t>
  </si>
  <si>
    <t>Anaplasmosis (Nyoko) Foot and Mouth (Mulomo ni taku) Lumpy Skin Disease (Sikwekwe) CBPP (Maswafu) Pasteurella/ emorrgic Septicaemia (Kanoto)</t>
  </si>
  <si>
    <t>High cost of inputs (fertilizers, pesticides) Lack of Mecnization/Labor constraints Lack of capital</t>
  </si>
  <si>
    <t>Floods Lack of Mecnization/Labor constraints Pests and Diseases</t>
  </si>
  <si>
    <t>Lack of Mecnization/Labor constraints Lack of capital High cost of inputs (fertilizers, pesticides)</t>
  </si>
  <si>
    <t>Lack of Mecnization/Labor constraints Floods Drought</t>
  </si>
  <si>
    <t>Communal Sire Purcsed Bull Inbreeding</t>
  </si>
  <si>
    <t>Limited access to farming inputs High cost of inputs (fertilizers, pesticides) Lack of Mecnization/Labor constraints</t>
  </si>
  <si>
    <t>Knowledge Gap Lack of Mecnization/Labor constraints Lack of capital</t>
  </si>
  <si>
    <t>Pests and Diseases Drought Lack of Mecnization/Labor constraints</t>
  </si>
  <si>
    <t>Lack of Mecnization/Labor constraints Pests and Diseases Floods</t>
  </si>
  <si>
    <t>CBPP (Maswafu) Lumpy Skin Disease (Sikwekwe) Black Leg (Ngongola) Anaplasmosis (Nyoko) Liverfluke (Minyopi ya mwa sibiti) Pasteurella/ emorrgic Septicaemia (Kanoto)</t>
  </si>
  <si>
    <t>Liverfluke (Minyopi ya mwa sibiti) CBPP (Maswafu) Anaplasmosis (Nyoko) Babesiosis/Red Water (Butuku wa sma Mali)</t>
  </si>
  <si>
    <t>Patrick nawa mukena</t>
  </si>
  <si>
    <t xml:space="preserve">mmer Mills </t>
  </si>
  <si>
    <t>CBPP (Maswafu) Anaplasmosis (Nyoko) Lumpy Skin Disease (Sikwekwe) Pasteurella/ emorrgic Septicaemia (Kanoto) Black Leg (Ngongola) Liverfluke (Minyopi ya mwa sibiti)</t>
  </si>
  <si>
    <t>Lack of Mecnization/Labor constraints Limited Extension Services Knowledge Gap</t>
  </si>
  <si>
    <t>CBPP (Maswafu) Liverfluke (Minyopi ya mwa sibiti) Anaplasmosis (Nyoko) Pasteurella/ emorrgic Septicaemia (Kanoto)</t>
  </si>
  <si>
    <t>Botulism (Kubama) Heartwater (Matakani) Anaplasmosis (Nyoko) Babesiosis/Red Water (Butuku wa sma Mali) Eye Infections/Pink Eye (Butuku bwa meto) Black Leg (Ngongola) Pasteurella/ emorrgic Septicaemia (Kanoto) Mycotic Dermatitis (Lukwekwe)</t>
  </si>
  <si>
    <t>Liverfluke (Minyopi ya mwa sibiti) Heartwater (Matakani) Brucellosis (Butuku bwa Kufoloza) Anthrax (Lubete) Black Leg (Ngongola) Lumpy Skin Disease (Sikwekwe) Bovine Dermatophilosis (Senkobo) Babesiosis/Red Water (Butuku wa sma Mali) Pasteurella/ emorrgic Septicaemia (Kanoto)</t>
  </si>
  <si>
    <t>Anaplasmosis (Nyoko) Liverfluke (Minyopi ya mwa sibiti) Heartwater (Matakani) Botulism (Kubama) Brucellosis (Butuku bwa Kufoloza) Mycotic Dermatitis (Lukwekwe) Anthrax (Lubete) Bovine Dermatophilosis (Senkobo) Eye Infections/Pink Eye (Butuku bwa meto) Babesiosis/Red Water (Butuku wa sma Mali)  Bovine Tuberculosis Black Leg (Ngongola)</t>
  </si>
  <si>
    <t>Brucellosis (Butuku bwa Kufoloza) Botulism (Kubama) Heartwater (Matakani) Liverfluke (Minyopi ya mwa sibiti) Anaplasmosis (Nyoko) Mycotic Dermatitis (Lukwekwe) Bovine Dermatophilosis (Senkobo) Babesiosis/Red Water (Butuku wa sma Mali) Eye Infections/Pink Eye (Butuku bwa meto) Black Leg (Ngongola) Lumpy Skin Disease (Sikwekwe)  Bovine Tuberculosis</t>
  </si>
  <si>
    <t>Botulism (Kubama) Brucellosis (Butuku bwa Kufoloza) Heartwater (Matakani) Anaplasmosis (Nyoko) Mycotic Dermatitis (Lukwekwe) Pasteurella/ emorrgic Septicaemia (Kanoto) Babesiosis/Red Water (Butuku wa sma Mali) Bovine Dermatophilosis (Senkobo) Black Leg (Ngongola) Lumpy Skin Disease (Sikwekwe)</t>
  </si>
  <si>
    <t>Botulism (Kubama) Heartwater (Matakani) Liverfluke (Minyopi ya mwa sibiti) Anaplasmosis (Nyoko) Anthrax (Lubete) Babesiosis/Red Water (Butuku wa sma Mali) Eye Infections/Pink Eye (Butuku bwa meto) Black Leg (Ngongola) Lumpy Skin Disease (Sikwekwe)</t>
  </si>
  <si>
    <t>Lack of Mecnization/Labor constraints Drought Pests and Diseases</t>
  </si>
  <si>
    <t>Lack of Mecnization/Labor constraints Lack of capital Pests and Diseases</t>
  </si>
  <si>
    <t xml:space="preserve">Sipula musukwa </t>
  </si>
  <si>
    <t>Brucellosis (Butuku bwa Kufoloza) Botulism (Kubama) Anaplasmosis (Nyoko) Liverfluke (Minyopi ya mwa sibiti)  Bovine Tuberculosis Anthrax (Lubete) Babesiosis/Red Water (Butuku wa sma Mali)</t>
  </si>
  <si>
    <t>Babesiosis/Red Water (Butuku wa sma Mali) Liverfluke (Minyopi ya mwa sibiti) Botulism (Kubama) Black Leg (Ngongola)</t>
  </si>
  <si>
    <t>Siwito/Skandinde</t>
  </si>
  <si>
    <t>Babesiosis/Red Water (Butuku wa sma Mali) Black Leg (Ngongola) Liverfluke (Minyopi ya mwa sibiti)</t>
  </si>
  <si>
    <t>Anaplasmosis (Nyoko) Anthrax (Lubete) Liverfluke (Minyopi ya mwa sibiti) Botulism (Kubama) Babesiosis/Red Water (Butuku wa sma Mali) Brucellosis (Butuku bwa Kufoloza)</t>
  </si>
  <si>
    <t>Babesiosis/Red Water (Butuku wa sma Mali) Liverfluke (Minyopi ya mwa sibiti) Botulism (Kubama) Eye Infections/Pink Eye (Butuku bwa meto)</t>
  </si>
  <si>
    <t>High cost of inputs (fertilizers, pesticides) Floods Lack of Mecnization/Labor constraints</t>
  </si>
  <si>
    <t>Anaplasmosis (Nyoko) Anthrax (Lubete) Botulism (Kubama) Liverfluke (Minyopi ya mwa sibiti) Babesiosis/Red Water (Butuku wa sma Mali) Black Leg (Ngongola)</t>
  </si>
  <si>
    <t>Monde Mucwa</t>
  </si>
  <si>
    <t>Nalubutu/Mus</t>
  </si>
  <si>
    <t>Lack of Mecnization/Labor constraints Pests and Diseases Knowledge Gap</t>
  </si>
  <si>
    <t>CBPP (Maswafu) Foot and Mouth (Mulomo ni taku) Botulism (Kubama) Anaplasmosis (Nyoko) Liverfluke (Minyopi ya mwa sibiti) Babesiosis/Red Water (Butuku wa sma Mali) Bovine Dermatophilosis (Senkobo) Lumpy Skin Disease (Sikwekwe)</t>
  </si>
  <si>
    <t>CBPP (Maswafu) Black Leg (Ngongola) Pasteurella/ emorrgic Septicaemia (Kanoto) Lumpy Skin Disease (Sikwekwe) Anthrax (Lubete) Foot and Mouth (Mulomo ni taku) Botulism (Kubama)</t>
  </si>
  <si>
    <t>Drought Lack of Mecnization/Labor constraints Lack of capital</t>
  </si>
  <si>
    <t>Purcsed Bull Communal Sire</t>
  </si>
  <si>
    <t>Anaplasmosis (Nyoko) Anthrax (Lubete) CBPP (Maswafu) Liverfluke (Minyopi ya mwa sibiti) Botulism (Kubama) Pasteurella/ emorrgic Septicaemia (Kanoto)</t>
  </si>
  <si>
    <t>Munyinda Muu</t>
  </si>
  <si>
    <t>High temperatures Floods Lack of Mecnization/Labor constraints</t>
  </si>
  <si>
    <t>Anaplasmosis (Nyoko) CBPP (Maswafu) Botulism (Kubama) Pasteurella/ emorrgic Septicaemia (Kanoto)</t>
  </si>
  <si>
    <t>Lack of Mecnization/Labor constraints Lack of capital Drought</t>
  </si>
  <si>
    <t>Anaplasmosis (Nyoko) Anthrax (Lubete) CBPP (Maswafu) Botulism (Kubama) Pasteurella/ emorrgic Septicaemia (Kanoto)</t>
  </si>
  <si>
    <t>Purcsed Bull Inbreeding Communal Sire</t>
  </si>
  <si>
    <t>Kaama camp/nasisla village</t>
  </si>
  <si>
    <t xml:space="preserve">Namuskendi camp and Nakaywe village </t>
  </si>
  <si>
    <t>CBPP (Maswafu) Liverfluke (Minyopi ya mwa sibiti) Anaplasmosis (Nyoko) Pasteurella/ emorrgic Septicaemia (Kanoto) Foot and Mouth (Mulomo ni taku) Black Leg (Ngongola)</t>
  </si>
  <si>
    <t>Namuskendi and Imei</t>
  </si>
  <si>
    <t xml:space="preserve">
Mucla  munalula</t>
  </si>
  <si>
    <t>Namuskendi and Imeyi</t>
  </si>
  <si>
    <t>CBPP (Maswafu) Black Leg (Ngongola) Liverfluke (Minyopi ya mwa sibiti) Anaplasmosis (Nyoko) Pasteurella/ emorrgic Septicaemia (Kanoto)</t>
  </si>
  <si>
    <t xml:space="preserve">Namuskendi vet cam and Nu'ndu </t>
  </si>
  <si>
    <t>CBPP (Maswafu) Liverfluke (Minyopi ya mwa sibiti) Anaplasmosis (Nyoko) Pasteurella/ emorrgic Septicaemia (Kanoto) Black Leg (Ngongola) Babesiosis/Red Water (Butuku wa sma Mali) Foot and Mouth (Mulomo ni taku) Lumpy Skin Disease (Sikwekwe)</t>
  </si>
  <si>
    <t xml:space="preserve">Namuskendi and  ng'undu </t>
  </si>
  <si>
    <t>Namuskendi vet camp  and liwela</t>
  </si>
  <si>
    <t>Anaplasmosis (Nyoko) Pasteurella/ emorrgic Septicaemia (Kanoto) CBPP (Maswafu) Foot and Mouth (Mulomo ni taku) Liverfluke (Minyopi ya mwa sibiti)</t>
  </si>
  <si>
    <t>Lack of Mecnization/Labor constraints Floods Lack of capital</t>
  </si>
  <si>
    <t>Other Lack of Mecnization/Labor constraints Lack of capital</t>
  </si>
  <si>
    <t>Lack of Mecnization/Labor constraints Other Drought</t>
  </si>
  <si>
    <t>Anthrax (Lubete) Black Leg (Ngongola) CBPP (Maswafu) Pasteurella/ emorrgic Septicaemia (Kanoto) Foot and Mouth (Mulomo ni taku)</t>
  </si>
  <si>
    <t>Induna mukes</t>
  </si>
  <si>
    <t>Pests and Diseases High cost of inputs (fertilizers, pesticides) Limited access to farming inputs Lack of Mecnization/Labor constraints</t>
  </si>
  <si>
    <t>Babesiosis/Red Water (Butuku wa sma Mali) Anaplasmosis (Nyoko) CBPP (Maswafu)</t>
  </si>
  <si>
    <t xml:space="preserve">Namuskende/Naliyele </t>
  </si>
  <si>
    <t>Anaplasmosis (Nyoko) Foot and Mouth (Mulomo ni taku) Botulism (Kubama) CBPP (Maswafu) Anthrax (Lubete) Pasteurella/ emorrgic Septicaemia (Kanoto) Liverfluke (Minyopi ya mwa sibiti) Babesiosis/Red Water (Butuku wa sma Mali) Lumpy Skin Disease (Sikwekwe)</t>
  </si>
  <si>
    <t>Liverfluke (Minyopi ya mwa sibiti) Anaplasmosis (Nyoko) CBPP (Maswafu) Botulism (Kubama) Babesiosis/Red Water (Butuku wa sma Mali)</t>
  </si>
  <si>
    <t>Namuskende/Namuku</t>
  </si>
  <si>
    <t>CBPP (Maswafu) Botulism (Kubama) Liverfluke (Minyopi ya mwa sibiti) Anaplasmosis (Nyoko) Anthrax (Lubete) Babesiosis/Red Water (Butuku wa sma Mali) Lumpy Skin Disease (Sikwekwe)</t>
  </si>
  <si>
    <t>Namuskende/Naliyele</t>
  </si>
  <si>
    <t>Anaplasmosis (Nyoko) Botulism (Kubama) Pasteurella/ emorrgic Septicaemia (Kanoto) CBPP (Maswafu) Anthrax (Lubete) Liverfluke (Minyopi ya mwa sibiti) Foot and Mouth (Mulomo ni taku) Lumpy Skin Disease (Sikwekwe) Babesiosis/Red Water (Butuku wa sma Mali)</t>
  </si>
  <si>
    <t>Anaplasmosis (Nyoko) Anthrax (Lubete) Liverfluke (Minyopi ya mwa sibiti) Babesiosis/Red Water (Butuku wa sma Mali) CBPP (Maswafu) Brucellosis (Butuku bwa Kufoloza)</t>
  </si>
  <si>
    <t>Wanyembe Sicmu</t>
  </si>
  <si>
    <t>Lack of Mecnization/Labor constraints High cost of inputs (fertilizers, pesticides) Lack of capital</t>
  </si>
  <si>
    <t>Lack of Mecnization/Labor constraints Pests and Diseases Other</t>
  </si>
  <si>
    <t>Lack of Mecnization/Labor constraints Knowledge Gap Lack of capital</t>
  </si>
  <si>
    <t>Heartwater (Matakani) Liverfluke (Minyopi ya mwa sibiti) Brucellosis (Butuku bwa Kufoloza) Botulism (Kubama) Mycotic Dermatitis (Lukwekwe) Anthrax (Lubete) Anaplasmosis (Nyoko) Lumpy Skin Disease (Sikwekwe) Eye Infections/Pink Eye (Butuku bwa meto) Babesiosis/Red Water (Butuku wa sma Mali)</t>
  </si>
  <si>
    <t>Botulism (Kubama) Lumpy Skin Disease (Sikwekwe)  Bovine Tuberculosis Anaplasmosis (Nyoko) Heartwater (Matakani) Anthrax (Lubete) Pasteurella/ emorrgic Septicaemia (Kanoto) Brucellosis (Butuku bwa Kufoloza)</t>
  </si>
  <si>
    <t>CBPP (Maswafu) Heartwater (Matakani) Liverfluke (Minyopi ya mwa sibiti) Mycotic Dermatitis (Lukwekwe) Anthrax (Lubete) Black Leg (Ngongola) Lumpy Skin Disease (Sikwekwe) Bovine Dermatophilosis (Senkobo) Eye Infections/Pink Eye (Butuku bwa meto) Babesiosis/Red Water (Butuku wa sma Mali) Pasteurella/ emorrgic Septicaemia (Kanoto) Anaplasmosis (Nyoko)</t>
  </si>
  <si>
    <t xml:space="preserve">Namuskende Camp, Nalipumo village </t>
  </si>
  <si>
    <t xml:space="preserve">Namuskende Camp, Sisheke village </t>
  </si>
  <si>
    <t>Anaplasmosis (Nyoko) Botulism (Kubama) Pasteurella/ emorrgic Septicaemia (Kanoto)</t>
  </si>
  <si>
    <t>Namuskende camp</t>
  </si>
  <si>
    <t xml:space="preserve">Namuskende, Sisheke village </t>
  </si>
  <si>
    <t>Namuskende Camp</t>
  </si>
  <si>
    <t xml:space="preserve">Namuskende,  Sisheke village </t>
  </si>
  <si>
    <t xml:space="preserve">Namuskende,  Litongo village </t>
  </si>
  <si>
    <t xml:space="preserve">Namuskende camp,  Imei village </t>
  </si>
  <si>
    <t xml:space="preserve">Namuskende,  Ng'undu village </t>
  </si>
  <si>
    <t>Anthrax (Lubete) Botulism (Kubama) CBPP (Maswafu) Babesiosis/Red Water (Butuku wa sma Mali)</t>
  </si>
  <si>
    <t>Lukonga Cbi</t>
  </si>
  <si>
    <t xml:space="preserve">Namuskende camp,  Liwela village </t>
  </si>
  <si>
    <t>CBPP (Maswafu) Anthrax (Lubete) Anaplasmosis (Nyoko) Babesiosis/Red Water (Butuku wa sma Mali)</t>
  </si>
  <si>
    <t>Sindila Naluc</t>
  </si>
  <si>
    <t>Pests and Diseases Limited Extension Services Lack of Mecnization/Labor constraints</t>
  </si>
  <si>
    <t>Anaplasmosis (Nyoko) CBPP (Maswafu) Babesiosis/Red Water (Butuku wa sma Mali) Lumpy Skin Disease (Sikwekwe) Other</t>
  </si>
  <si>
    <t>Babesiosis/Red Water (Butuku wa sma Mali) Anaplasmosis (Nyoko) Botulism (Kubama) Anthrax (Lubete) Lumpy Skin Disease (Sikwekwe) Pasteurella/ emorrgic Septicaemia (Kanoto)</t>
  </si>
  <si>
    <t>Anaplasmosis (Nyoko) Anthrax (Lubete) Botulism (Kubama) Lumpy Skin Disease (Sikwekwe) Black Leg (Ngongola) Babesiosis/Red Water (Butuku wa sma Mali)</t>
  </si>
  <si>
    <t>Other Drought Lack of Mecnization/Labor constraints</t>
  </si>
  <si>
    <t>Esmbutu</t>
  </si>
  <si>
    <t>Anaplasmosis (Nyoko) Anthrax (Lubete) Botulism (Kubama) Pasteurella/ emorrgic Septicaemia (Kanoto)</t>
  </si>
  <si>
    <t>Mundia Smano</t>
  </si>
  <si>
    <t>Kama camp,  Nasis village</t>
  </si>
  <si>
    <t>Lack of Mecnization/Labor constraints High cost of inputs (fertilizers, pesticides) Floods</t>
  </si>
  <si>
    <t>Foot and Mouth (Mulomo ni taku) Anaplasmosis (Nyoko) Liverfluke (Minyopi ya mwa sibiti) Lumpy Skin Disease (Sikwekwe) Bovine Dermatophilosis (Senkobo) Babesiosis/Red Water (Butuku wa sma Mali) Botulism (Kubama)</t>
  </si>
  <si>
    <t>Pests and Diseases Lack of Mecnization/Labor constraints High cost of inputs (fertilizers, pesticides)</t>
  </si>
  <si>
    <t>Pasteurella/ emorrgic Septicaemia (Kanoto) Anthrax (Lubete) Babesiosis/Red Water (Butuku wa sma Mali) Botulism (Kubama) Liverfluke (Minyopi ya mwa sibiti) Anaplasmosis (Nyoko) Lumpy Skin Disease (Sikwekwe) Heartwater (Matakani)</t>
  </si>
  <si>
    <t>Anaplasmosis (Nyoko) Botulism (Kubama) Anthrax (Lubete) Lumpy Skin Disease (Sikwekwe) Black Leg (Ngongola) Babesiosis/Red Water (Butuku wa sma Mali) Heartwater (Matakani) Liverfluke (Minyopi ya mwa sibiti)</t>
  </si>
  <si>
    <t>Anaplasmosis (Nyoko) Liverfluke (Minyopi ya mwa sibiti) Botulism (Kubama) Pasteurella/ emorrgic Septicaemia (Kanoto) Babesiosis/Red Water (Butuku wa sma Mali) Lumpy Skin Disease (Sikwekwe) Heartwater (Matakani)</t>
  </si>
  <si>
    <t>Lack of Mecnization/Labor constraints High cost of inputs (fertilizers, pesticides) Drought</t>
  </si>
  <si>
    <t>Kama camp, Village Nasisla</t>
  </si>
  <si>
    <t>Botulism (Kubama) Brucellosis (Butuku bwa Kufoloza) Anaplasmosis (Nyoko) Mycotic Dermatitis (Lukwekwe) Anthrax (Lubete) Heartwater (Matakani) Babesiosis/Red Water (Butuku wa sma Mali) Bovine Dermatophilosis (Senkobo) Black Leg (Ngongola) Lumpy Skin Disease (Sikwekwe)</t>
  </si>
  <si>
    <t>Foot and Mouth (Mulomo ni taku) Brucellosis (Butuku bwa Kufoloza) Heartwater (Matakani) Liverfluke (Minyopi ya mwa sibiti) Botulism (Kubama) Anthrax (Lubete) Babesiosis/Red Water (Butuku wa sma Mali) Bovine Dermatophilosis (Senkobo) Eye Infections/Pink Eye (Butuku bwa meto) Lumpy Skin Disease (Sikwekwe) Black Leg (Ngongola)</t>
  </si>
  <si>
    <t>How many  of land is cultivated for each listed crop?</t>
  </si>
  <si>
    <t>How many  of farming experience do you ve?</t>
  </si>
  <si>
    <t>In the past 5 , how s been the health of the grazing land?</t>
  </si>
  <si>
    <t>Youth (≤ 35 )</t>
  </si>
  <si>
    <t>Adult (≥ 36 )</t>
  </si>
  <si>
    <t>&lt;span style="display:0"&gt;row-Number&lt;/span&gt;</t>
  </si>
  <si>
    <t>&lt;span style="display:0"&gt;row_1-Number&lt;/span&gt;</t>
  </si>
  <si>
    <t>&lt;span style="display:0"&gt;row_2-Number&lt;/span&gt;</t>
  </si>
  <si>
    <t>&lt;span style="display:0"&gt;row_3-Number&lt;/span&gt;</t>
  </si>
  <si>
    <t>&lt;span style="display:0"&gt;row_4-Number&lt;/span&gt;</t>
  </si>
  <si>
    <t>&lt;span style="display:0"&gt;row_5-Number&lt;/span&gt;</t>
  </si>
  <si>
    <t>&lt;span style="display:0"&gt;row_6-Number&lt;/span&gt;</t>
  </si>
  <si>
    <t>0 (All crops grown are for home consumption)</t>
  </si>
  <si>
    <t xml:space="preserve">
Rice 120 bags 50kgs not yet sold 
Maize 0</t>
  </si>
  <si>
    <t>0l</t>
  </si>
  <si>
    <t>Of the total land owned, how much of it is used ?()</t>
  </si>
  <si>
    <t>How many hecters is your farm land?</t>
  </si>
  <si>
    <t>If 0ther timber products, specify:</t>
  </si>
  <si>
    <t>What crops did you plant in the following 2023/24 farming season. Provide crops cultivated, yields (Bags) and Price/Bag</t>
  </si>
  <si>
    <t>Do you have on-site irrigation on land?</t>
  </si>
  <si>
    <t xml:space="preserve">How many days does it take you  sale your cattle/ access cattle market? </t>
  </si>
  <si>
    <t>Do you have a communal grazing plan?</t>
  </si>
  <si>
    <t>epends on the health of animals and flooding</t>
  </si>
  <si>
    <t>What is the distance to the nearest market? KM</t>
  </si>
  <si>
    <t>What  top 3 challenges do you face in accessing formal markets for crops?</t>
  </si>
  <si>
    <t>What do you do to your crop residuals?</t>
  </si>
  <si>
    <t>Maize 2023/2024</t>
  </si>
  <si>
    <t>Rice  2023/2024</t>
  </si>
  <si>
    <t>Tomatoes 2023/2024</t>
  </si>
  <si>
    <t>Maize 2023/2025</t>
  </si>
  <si>
    <t>Tomatoes 2023/2025</t>
  </si>
  <si>
    <t>Rice  2023/2025</t>
  </si>
  <si>
    <t>27, 0000.00</t>
  </si>
  <si>
    <t>How many cattle do you normally lose due  diseases in year?</t>
  </si>
  <si>
    <t>How far do you typically ve to ove your cattle to access safe grazing areas?</t>
  </si>
  <si>
    <t>AGE</t>
  </si>
  <si>
    <t>University/ College</t>
  </si>
  <si>
    <t>&lt; 1 Year</t>
  </si>
  <si>
    <t>1 - 5 Years</t>
  </si>
  <si>
    <t>6 - 10 Years</t>
  </si>
  <si>
    <t>11 - 15 Years</t>
  </si>
  <si>
    <t>16 - 20 Years</t>
  </si>
  <si>
    <t>21 - 25 Years</t>
  </si>
  <si>
    <t>26 - 30 Years</t>
  </si>
  <si>
    <t>31 - 35  Years</t>
  </si>
  <si>
    <t>31 - 39 Years</t>
  </si>
  <si>
    <t>40 - 50+ Years</t>
  </si>
  <si>
    <t xml:space="preserve">What type of agricutural activities are you engaged in?  </t>
  </si>
  <si>
    <t>Fish Production</t>
  </si>
  <si>
    <t>Tree Crop (Agro Forestry)</t>
  </si>
  <si>
    <t>hectares of farm land</t>
  </si>
  <si>
    <t>&lt;1 ha</t>
  </si>
  <si>
    <t>1 - 2 ha</t>
  </si>
  <si>
    <t>3 - 5 ha</t>
  </si>
  <si>
    <t>6 - 10 ha</t>
  </si>
  <si>
    <t xml:space="preserve">12 - 26 ha </t>
  </si>
  <si>
    <t>30 - 50 ha</t>
  </si>
  <si>
    <t>60+ ha</t>
  </si>
  <si>
    <t>Land Ownership Status</t>
  </si>
  <si>
    <t>What is the ownership status of your land?</t>
  </si>
  <si>
    <t>Traditional joint ownership with Pass from headman/King/Queen</t>
  </si>
  <si>
    <t>Traditional sole ownership with No Pass</t>
  </si>
  <si>
    <t>Traditional joint ownership with No Pass</t>
  </si>
  <si>
    <t>Traditional sole ownership with pass from Headman/King/Queen</t>
  </si>
  <si>
    <t>Membership in Farmer or Community Groups</t>
  </si>
  <si>
    <t>Categories of Groups Joined by Respondents</t>
  </si>
  <si>
    <t xml:space="preserve">Rangeland Group </t>
  </si>
  <si>
    <t xml:space="preserve">Cooperative </t>
  </si>
  <si>
    <t>Farmer Group</t>
  </si>
  <si>
    <t>Primary sources of income</t>
  </si>
  <si>
    <t xml:space="preserve"> Fishing</t>
  </si>
  <si>
    <t>Average Monthly Earnings from Main Livelihood Activities</t>
  </si>
  <si>
    <t>0 - K500</t>
  </si>
  <si>
    <t>K600 - K1,000</t>
  </si>
  <si>
    <t>K1,000 - K5,000</t>
  </si>
  <si>
    <t>K6,000 - K10,000</t>
  </si>
  <si>
    <t>K11,000 - K15,000</t>
  </si>
  <si>
    <t>K15,000 +</t>
  </si>
  <si>
    <t>Secondary and Other Sources of Income among Farmers</t>
  </si>
  <si>
    <t xml:space="preserve">Livestock Production </t>
  </si>
  <si>
    <t>Community health services</t>
  </si>
  <si>
    <t xml:space="preserve">Very good </t>
  </si>
  <si>
    <t>Good</t>
  </si>
  <si>
    <t>Farners internet connection</t>
  </si>
  <si>
    <t>Neautral</t>
  </si>
  <si>
    <t>Primary Markets for Crop Produce</t>
  </si>
  <si>
    <t xml:space="preserve">Dont Sell </t>
  </si>
  <si>
    <t>Processors (Formal Companies)</t>
  </si>
  <si>
    <t xml:space="preserve">Local Residents </t>
  </si>
  <si>
    <t>Main Challenges Farmers Face in Accessing Formal Crop Markets</t>
  </si>
  <si>
    <t>Predominance of Intermediaries</t>
  </si>
  <si>
    <t>Unreliable/Inconsistent Off-take</t>
  </si>
  <si>
    <t>Limited access to finance</t>
  </si>
  <si>
    <t>Limited Market knowledge</t>
  </si>
  <si>
    <t>Do you use chemicals for your Crops</t>
  </si>
  <si>
    <t>What breeding practices do you employ?</t>
  </si>
  <si>
    <t>What is the main purpose of your cattle?</t>
  </si>
  <si>
    <t>Breeding</t>
  </si>
  <si>
    <t>Meat Production</t>
  </si>
  <si>
    <t>Transportation</t>
  </si>
  <si>
    <t>Dairy Production</t>
  </si>
  <si>
    <t>1 - 2 Heads</t>
  </si>
  <si>
    <t>3 to 5 Heads</t>
  </si>
  <si>
    <t xml:space="preserve">6 to 7 Heads </t>
  </si>
  <si>
    <t xml:space="preserve">8 to 10 Heads </t>
  </si>
  <si>
    <t>11 to 15 Heads</t>
  </si>
  <si>
    <t>16 + Heads</t>
  </si>
  <si>
    <t>What income did you earn from last cattle sells (2024)?</t>
  </si>
  <si>
    <t>0 - K5,000</t>
  </si>
  <si>
    <t>K6,000 - K9,000</t>
  </si>
  <si>
    <t>K10,000 - K15,000</t>
  </si>
  <si>
    <t>K16,000 - K20,000</t>
  </si>
  <si>
    <t>K21,000 - K30,000</t>
  </si>
  <si>
    <t xml:space="preserve">K41,000+ </t>
  </si>
  <si>
    <t>Didn't Sell</t>
  </si>
  <si>
    <t>Jointly Owned</t>
  </si>
  <si>
    <t>Individually Owned</t>
  </si>
  <si>
    <t>Aggregators</t>
  </si>
  <si>
    <t>Don't sell</t>
  </si>
  <si>
    <t>Local market Aggregation points/hubs</t>
  </si>
  <si>
    <t>Annual Cattle Mortality Reported by Farmers Due to Disease</t>
  </si>
  <si>
    <t>No Loss</t>
  </si>
  <si>
    <t>1 - 2 heads</t>
  </si>
  <si>
    <t xml:space="preserve">3 - 5 heads </t>
  </si>
  <si>
    <t xml:space="preserve">6 - 10 heads </t>
  </si>
  <si>
    <t xml:space="preserve">11 - 20 heads </t>
  </si>
  <si>
    <t xml:space="preserve">21 - 40 heads </t>
  </si>
  <si>
    <t xml:space="preserve">41 + heads </t>
  </si>
  <si>
    <t>Top 3 Challenges Faced in Cattle Production</t>
  </si>
  <si>
    <t>Limited access to adequate water sources</t>
  </si>
  <si>
    <t xml:space="preserve">Lack of Capital </t>
  </si>
  <si>
    <t xml:space="preserve">Lack of Extension Support </t>
  </si>
  <si>
    <t xml:space="preserve">Theft </t>
  </si>
  <si>
    <t>Limited access to vet drugs/vaccines</t>
  </si>
  <si>
    <t>Lack of nowledge</t>
  </si>
  <si>
    <t>Limited grazing areas</t>
  </si>
  <si>
    <t>If Other, what supplements do you utilise?</t>
  </si>
  <si>
    <t>Phosphate</t>
  </si>
  <si>
    <t xml:space="preserve">Lime </t>
  </si>
  <si>
    <t>How Often Do you Deep your Cattle?</t>
  </si>
  <si>
    <t>Every Six Months</t>
  </si>
  <si>
    <t>Only when diseases are prevalent</t>
  </si>
  <si>
    <t>Annualy</t>
  </si>
  <si>
    <t>what do you vaccinate against?</t>
  </si>
  <si>
    <t>Pasteurella / HS (anoto)</t>
  </si>
  <si>
    <t>Lumpy Sin Disease (Siwewe)</t>
  </si>
  <si>
    <t>Foot and Mouth (Mulomo ni litao)</t>
  </si>
  <si>
    <t>Blac Leg (Ngongola)</t>
  </si>
  <si>
    <t>Do you Deworm your cattle?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</si>
</sst>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K&quot;* #,##0.00_-;\-&quot;K&quot;* #,##0.00_-;_-&quot;K&quot;* &quot;-&quot;??_-;_-@_-"/>
    <numFmt numFmtId="164" formatCode="yyyy\-mm\-dd"/>
    <numFmt numFmtId="169" formatCode="0.000"/>
    <numFmt numFmtId="170" formatCode="0.0"/>
  </numFmts>
  <fonts count="9" x14ac:knownFonts="1">
    <font>
      <sz val="11"/>
      <color theme="1"/>
      <name val="Calibri"/>
      <family val="2"/>
      <scheme val="minor"/>
    </font>
    <font>
      <sz val="11"/>
      <color theme="0"/>
      <name val="Calibri"/>
      <family val="2"/>
      <scheme val="minor"/>
    </font>
    <font>
      <sz val="11"/>
      <color theme="1"/>
      <name val="Calibri"/>
      <family val="2"/>
      <scheme val="minor"/>
    </font>
    <font>
      <sz val="1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sz val="14"/>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
      <patternFill patternType="solid">
        <fgColor theme="4"/>
        <bgColor indexed="64"/>
      </patternFill>
    </fill>
    <fill>
      <patternFill patternType="solid">
        <fgColor rgb="FF7030A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25">
    <xf numFmtId="0" fontId="0" fillId="0" borderId="0" xfId="0"/>
    <xf numFmtId="164" fontId="0" fillId="0" borderId="0" xfId="0" applyNumberFormat="1"/>
    <xf numFmtId="0" fontId="0" fillId="0" borderId="0" xfId="0" applyAlignment="1">
      <alignment wrapText="1"/>
    </xf>
    <xf numFmtId="3" fontId="0" fillId="0" borderId="0" xfId="0" applyNumberFormat="1"/>
    <xf numFmtId="0" fontId="1" fillId="2" borderId="0" xfId="0" applyFont="1" applyFill="1"/>
    <xf numFmtId="1" fontId="0" fillId="0" borderId="0" xfId="0" applyNumberFormat="1"/>
    <xf numFmtId="1" fontId="0" fillId="0" borderId="0" xfId="0" applyNumberFormat="1" applyAlignment="1">
      <alignment wrapText="1"/>
    </xf>
    <xf numFmtId="0" fontId="0" fillId="3" borderId="0" xfId="0" applyFill="1"/>
    <xf numFmtId="0" fontId="0" fillId="4" borderId="0" xfId="0" applyFill="1"/>
    <xf numFmtId="0" fontId="0" fillId="5" borderId="0" xfId="0" applyFill="1"/>
    <xf numFmtId="0" fontId="0" fillId="0" borderId="0" xfId="1" applyNumberFormat="1" applyFont="1"/>
    <xf numFmtId="0" fontId="3" fillId="4" borderId="0" xfId="0" applyFont="1" applyFill="1"/>
    <xf numFmtId="0" fontId="4" fillId="0" borderId="0" xfId="0" applyFont="1"/>
    <xf numFmtId="0" fontId="6" fillId="0" borderId="0" xfId="0" applyFont="1"/>
    <xf numFmtId="0" fontId="7" fillId="0" borderId="0" xfId="0" applyFont="1" applyAlignment="1">
      <alignment horizontal="center" vertical="center" readingOrder="1"/>
    </xf>
    <xf numFmtId="0" fontId="6" fillId="0" borderId="0" xfId="0" applyFont="1" applyAlignment="1">
      <alignment wrapText="1"/>
    </xf>
    <xf numFmtId="0" fontId="3" fillId="0" borderId="0" xfId="0" applyFont="1"/>
    <xf numFmtId="169" fontId="6" fillId="0" borderId="0" xfId="0" applyNumberFormat="1" applyFont="1"/>
    <xf numFmtId="169" fontId="0" fillId="0" borderId="0" xfId="0" applyNumberFormat="1" applyAlignment="1">
      <alignment wrapText="1"/>
    </xf>
    <xf numFmtId="170" fontId="0" fillId="0" borderId="0" xfId="0" applyNumberFormat="1"/>
    <xf numFmtId="170" fontId="6" fillId="0" borderId="0" xfId="0" applyNumberFormat="1" applyFont="1"/>
    <xf numFmtId="16" fontId="0" fillId="0" borderId="0" xfId="0" applyNumberFormat="1"/>
    <xf numFmtId="0" fontId="8" fillId="0" borderId="0" xfId="0" applyFont="1" applyAlignment="1">
      <alignment wrapText="1"/>
    </xf>
    <xf numFmtId="0" fontId="5" fillId="0" borderId="0" xfId="0" applyFont="1" applyAlignment="1">
      <alignment wrapText="1"/>
    </xf>
    <xf numFmtId="0" fontId="0" fillId="6" borderId="0" xfId="0"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solidFill>
              </a:rPr>
              <a:t>Primary Purpose of Cattle Ownership Among Respondents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Livestock!$A$2:$A$6</c:f>
              <c:strCache>
                <c:ptCount val="5"/>
                <c:pt idx="0">
                  <c:v>Breeding</c:v>
                </c:pt>
                <c:pt idx="1">
                  <c:v>Meat Production</c:v>
                </c:pt>
                <c:pt idx="2">
                  <c:v>Transportation</c:v>
                </c:pt>
                <c:pt idx="3">
                  <c:v>Plowing/Draught power</c:v>
                </c:pt>
                <c:pt idx="4">
                  <c:v>Selling/Income generation</c:v>
                </c:pt>
              </c:strCache>
            </c:strRef>
          </c:cat>
          <c:val>
            <c:numRef>
              <c:f>Livestock!$B$2:$B$6</c:f>
              <c:numCache>
                <c:formatCode>General</c:formatCode>
                <c:ptCount val="5"/>
                <c:pt idx="0">
                  <c:v>13</c:v>
                </c:pt>
                <c:pt idx="1">
                  <c:v>73</c:v>
                </c:pt>
                <c:pt idx="2">
                  <c:v>123</c:v>
                </c:pt>
                <c:pt idx="3">
                  <c:v>252</c:v>
                </c:pt>
                <c:pt idx="4">
                  <c:v>276</c:v>
                </c:pt>
              </c:numCache>
            </c:numRef>
          </c:val>
          <c:extLst>
            <c:ext xmlns:c16="http://schemas.microsoft.com/office/drawing/2014/chart" uri="{C3380CC4-5D6E-409C-BE32-E72D297353CC}">
              <c16:uniqueId val="{00000000-233E-4C6E-BA47-05AA19C9418A}"/>
            </c:ext>
          </c:extLst>
        </c:ser>
        <c:dLbls>
          <c:showLegendKey val="0"/>
          <c:showVal val="0"/>
          <c:showCatName val="0"/>
          <c:showSerName val="0"/>
          <c:showPercent val="0"/>
          <c:showBubbleSize val="0"/>
        </c:dLbls>
        <c:gapWidth val="219"/>
        <c:axId val="1020506736"/>
        <c:axId val="1020507096"/>
      </c:barChart>
      <c:catAx>
        <c:axId val="102050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020507096"/>
        <c:crosses val="autoZero"/>
        <c:auto val="1"/>
        <c:lblAlgn val="ctr"/>
        <c:lblOffset val="100"/>
        <c:noMultiLvlLbl val="0"/>
      </c:catAx>
      <c:valAx>
        <c:axId val="1020507096"/>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02050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Number of Cattle Sold in the Past Year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Livestock!$I$3:$I$8</c:f>
              <c:strCache>
                <c:ptCount val="6"/>
                <c:pt idx="0">
                  <c:v>16 + Heads</c:v>
                </c:pt>
                <c:pt idx="1">
                  <c:v>11 to 15 Heads</c:v>
                </c:pt>
                <c:pt idx="2">
                  <c:v>8 to 10 Heads </c:v>
                </c:pt>
                <c:pt idx="3">
                  <c:v>6 to 7 Heads </c:v>
                </c:pt>
                <c:pt idx="4">
                  <c:v>3 to 5 Heads</c:v>
                </c:pt>
                <c:pt idx="5">
                  <c:v>1 - 2 Heads</c:v>
                </c:pt>
              </c:strCache>
            </c:strRef>
          </c:cat>
          <c:val>
            <c:numRef>
              <c:f>Livestock!$J$3:$J$8</c:f>
              <c:numCache>
                <c:formatCode>General</c:formatCode>
                <c:ptCount val="6"/>
                <c:pt idx="0">
                  <c:v>6</c:v>
                </c:pt>
                <c:pt idx="1">
                  <c:v>8</c:v>
                </c:pt>
                <c:pt idx="2">
                  <c:v>9</c:v>
                </c:pt>
                <c:pt idx="3">
                  <c:v>18</c:v>
                </c:pt>
                <c:pt idx="4">
                  <c:v>54</c:v>
                </c:pt>
                <c:pt idx="5">
                  <c:v>68</c:v>
                </c:pt>
              </c:numCache>
            </c:numRef>
          </c:val>
          <c:extLst>
            <c:ext xmlns:c16="http://schemas.microsoft.com/office/drawing/2014/chart" uri="{C3380CC4-5D6E-409C-BE32-E72D297353CC}">
              <c16:uniqueId val="{00000000-9A54-491A-AEF0-5C7AB167BCBA}"/>
            </c:ext>
          </c:extLst>
        </c:ser>
        <c:dLbls>
          <c:dLblPos val="outEnd"/>
          <c:showLegendKey val="0"/>
          <c:showVal val="1"/>
          <c:showCatName val="0"/>
          <c:showSerName val="0"/>
          <c:showPercent val="0"/>
          <c:showBubbleSize val="0"/>
        </c:dLbls>
        <c:gapWidth val="219"/>
        <c:axId val="775919968"/>
        <c:axId val="775920328"/>
      </c:barChart>
      <c:catAx>
        <c:axId val="77591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75920328"/>
        <c:crosses val="autoZero"/>
        <c:auto val="1"/>
        <c:lblAlgn val="ctr"/>
        <c:lblOffset val="100"/>
        <c:noMultiLvlLbl val="0"/>
      </c:catAx>
      <c:valAx>
        <c:axId val="775920328"/>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7591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Reported Income from Most Recent Cattle Sales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Livestock!$Q$5:$Q$10</c:f>
              <c:strCache>
                <c:ptCount val="6"/>
                <c:pt idx="0">
                  <c:v>K16,000 - K20,000</c:v>
                </c:pt>
                <c:pt idx="1">
                  <c:v>K6,000 - K9,000</c:v>
                </c:pt>
                <c:pt idx="2">
                  <c:v>K41,000+ </c:v>
                </c:pt>
                <c:pt idx="3">
                  <c:v>K10,000 - K15,000</c:v>
                </c:pt>
                <c:pt idx="4">
                  <c:v>K21,000 - K30,000</c:v>
                </c:pt>
                <c:pt idx="5">
                  <c:v>0 - K5,000</c:v>
                </c:pt>
              </c:strCache>
            </c:strRef>
          </c:cat>
          <c:val>
            <c:numRef>
              <c:f>Livestock!$R$5:$R$10</c:f>
              <c:numCache>
                <c:formatCode>General</c:formatCode>
                <c:ptCount val="6"/>
                <c:pt idx="0">
                  <c:v>14</c:v>
                </c:pt>
                <c:pt idx="1">
                  <c:v>24</c:v>
                </c:pt>
                <c:pt idx="2">
                  <c:v>33</c:v>
                </c:pt>
                <c:pt idx="3">
                  <c:v>34</c:v>
                </c:pt>
                <c:pt idx="4">
                  <c:v>35</c:v>
                </c:pt>
                <c:pt idx="5">
                  <c:v>83</c:v>
                </c:pt>
              </c:numCache>
            </c:numRef>
          </c:val>
          <c:extLst>
            <c:ext xmlns:c16="http://schemas.microsoft.com/office/drawing/2014/chart" uri="{C3380CC4-5D6E-409C-BE32-E72D297353CC}">
              <c16:uniqueId val="{00000000-F083-471A-82E1-B962A72B5C8D}"/>
            </c:ext>
          </c:extLst>
        </c:ser>
        <c:dLbls>
          <c:dLblPos val="outEnd"/>
          <c:showLegendKey val="0"/>
          <c:showVal val="1"/>
          <c:showCatName val="0"/>
          <c:showSerName val="0"/>
          <c:showPercent val="0"/>
          <c:showBubbleSize val="0"/>
        </c:dLbls>
        <c:gapWidth val="219"/>
        <c:axId val="1202893920"/>
        <c:axId val="1202897160"/>
      </c:barChart>
      <c:catAx>
        <c:axId val="120289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202897160"/>
        <c:crosses val="autoZero"/>
        <c:auto val="1"/>
        <c:lblAlgn val="ctr"/>
        <c:lblOffset val="100"/>
        <c:noMultiLvlLbl val="0"/>
      </c:catAx>
      <c:valAx>
        <c:axId val="1202897160"/>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20289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Cattle Ownership Structure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2-99C2-4CA8-88BB-A20481AC46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99C2-4CA8-88BB-A20481AC467D}"/>
              </c:ext>
            </c:extLst>
          </c:dPt>
          <c:dLbls>
            <c:dLbl>
              <c:idx val="0"/>
              <c:tx>
                <c:rich>
                  <a:bodyPr/>
                  <a:lstStyle/>
                  <a:p>
                    <a:fld id="{2CCD57A9-B6B7-437B-91B9-2580E3A378B5}" type="VALUE">
                      <a:rPr lang="en-US"/>
                      <a:pPr/>
                      <a:t>[VALUE]</a:t>
                    </a:fld>
                    <a:r>
                      <a:rPr lang="en-US"/>
                      <a:t> (56%)</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9C2-4CA8-88BB-A20481AC467D}"/>
                </c:ext>
              </c:extLst>
            </c:dLbl>
            <c:dLbl>
              <c:idx val="1"/>
              <c:tx>
                <c:rich>
                  <a:bodyPr/>
                  <a:lstStyle/>
                  <a:p>
                    <a:fld id="{83921B54-F1A1-49C1-8A9F-E2A19A587C99}" type="VALUE">
                      <a:rPr lang="en-US"/>
                      <a:pPr/>
                      <a:t>[VALUE]</a:t>
                    </a:fld>
                    <a:r>
                      <a:rPr lang="en-US"/>
                      <a:t>(44%)</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9C2-4CA8-88BB-A20481AC46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Livestock!$B$20:$B$21</c:f>
              <c:strCache>
                <c:ptCount val="2"/>
                <c:pt idx="0">
                  <c:v>Jointly Owned</c:v>
                </c:pt>
                <c:pt idx="1">
                  <c:v>Individually Owned</c:v>
                </c:pt>
              </c:strCache>
            </c:strRef>
          </c:cat>
          <c:val>
            <c:numRef>
              <c:f>Livestock!$C$20:$C$21</c:f>
              <c:numCache>
                <c:formatCode>General</c:formatCode>
                <c:ptCount val="2"/>
                <c:pt idx="0">
                  <c:v>173</c:v>
                </c:pt>
                <c:pt idx="1">
                  <c:v>137</c:v>
                </c:pt>
              </c:numCache>
            </c:numRef>
          </c:val>
          <c:extLst>
            <c:ext xmlns:c16="http://schemas.microsoft.com/office/drawing/2014/chart" uri="{C3380CC4-5D6E-409C-BE32-E72D297353CC}">
              <c16:uniqueId val="{00000000-99C2-4CA8-88BB-A20481AC467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6336898512685913"/>
          <c:y val="0.17650408282298047"/>
          <c:w val="0.23437314085739283"/>
          <c:h val="0.19386628754738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Primary Markets for Cattle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Livestock!$I$19:$I$23</c:f>
              <c:strCache>
                <c:ptCount val="5"/>
                <c:pt idx="0">
                  <c:v>Butcheries </c:v>
                </c:pt>
                <c:pt idx="1">
                  <c:v>Feedlots </c:v>
                </c:pt>
                <c:pt idx="2">
                  <c:v>Don't sell</c:v>
                </c:pt>
                <c:pt idx="3">
                  <c:v>Briefcase Buyers</c:v>
                </c:pt>
                <c:pt idx="4">
                  <c:v>Abattoirs</c:v>
                </c:pt>
              </c:strCache>
            </c:strRef>
          </c:cat>
          <c:val>
            <c:numRef>
              <c:f>Livestock!$J$19:$J$23</c:f>
              <c:numCache>
                <c:formatCode>General</c:formatCode>
                <c:ptCount val="5"/>
                <c:pt idx="0">
                  <c:v>2</c:v>
                </c:pt>
                <c:pt idx="1">
                  <c:v>2</c:v>
                </c:pt>
                <c:pt idx="2">
                  <c:v>6</c:v>
                </c:pt>
                <c:pt idx="3">
                  <c:v>17</c:v>
                </c:pt>
                <c:pt idx="4">
                  <c:v>141</c:v>
                </c:pt>
              </c:numCache>
            </c:numRef>
          </c:val>
          <c:extLst>
            <c:ext xmlns:c16="http://schemas.microsoft.com/office/drawing/2014/chart" uri="{C3380CC4-5D6E-409C-BE32-E72D297353CC}">
              <c16:uniqueId val="{00000000-D9C0-4BCD-A992-FE6710D71229}"/>
            </c:ext>
          </c:extLst>
        </c:ser>
        <c:dLbls>
          <c:showLegendKey val="0"/>
          <c:showVal val="0"/>
          <c:showCatName val="0"/>
          <c:showSerName val="0"/>
          <c:showPercent val="0"/>
          <c:showBubbleSize val="0"/>
        </c:dLbls>
        <c:gapWidth val="182"/>
        <c:axId val="917462432"/>
        <c:axId val="917459552"/>
      </c:barChart>
      <c:catAx>
        <c:axId val="91746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917459552"/>
        <c:crosses val="autoZero"/>
        <c:auto val="1"/>
        <c:lblAlgn val="ctr"/>
        <c:lblOffset val="100"/>
        <c:noMultiLvlLbl val="0"/>
      </c:catAx>
      <c:valAx>
        <c:axId val="917459552"/>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9174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Channels Used to Access Buyers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col"/>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Livestock!$Q$19:$Q$21</c:f>
              <c:strCache>
                <c:ptCount val="3"/>
                <c:pt idx="0">
                  <c:v>Buyer comes to collect from my farm</c:v>
                </c:pt>
                <c:pt idx="1">
                  <c:v>Local market Aggregation points/hubs</c:v>
                </c:pt>
                <c:pt idx="2">
                  <c:v>Supply to buyers' facilities</c:v>
                </c:pt>
              </c:strCache>
            </c:strRef>
          </c:cat>
          <c:val>
            <c:numRef>
              <c:f>Livestock!$R$19:$R$21</c:f>
              <c:numCache>
                <c:formatCode>General</c:formatCode>
                <c:ptCount val="3"/>
                <c:pt idx="0">
                  <c:v>19</c:v>
                </c:pt>
                <c:pt idx="1">
                  <c:v>11</c:v>
                </c:pt>
                <c:pt idx="2">
                  <c:v>131</c:v>
                </c:pt>
              </c:numCache>
            </c:numRef>
          </c:val>
          <c:extLst>
            <c:ext xmlns:c16="http://schemas.microsoft.com/office/drawing/2014/chart" uri="{C3380CC4-5D6E-409C-BE32-E72D297353CC}">
              <c16:uniqueId val="{00000000-4A48-4A8A-BE40-29CE0C2B35A9}"/>
            </c:ext>
          </c:extLst>
        </c:ser>
        <c:dLbls>
          <c:showLegendKey val="0"/>
          <c:showVal val="0"/>
          <c:showCatName val="0"/>
          <c:showSerName val="0"/>
          <c:showPercent val="0"/>
          <c:showBubbleSize val="0"/>
        </c:dLbls>
        <c:gapWidth val="219"/>
        <c:overlap val="-27"/>
        <c:axId val="778528240"/>
        <c:axId val="778528960"/>
      </c:barChart>
      <c:catAx>
        <c:axId val="77852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78528960"/>
        <c:crosses val="autoZero"/>
        <c:auto val="1"/>
        <c:lblAlgn val="ctr"/>
        <c:lblOffset val="100"/>
        <c:noMultiLvlLbl val="0"/>
      </c:catAx>
      <c:valAx>
        <c:axId val="778528960"/>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7852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Annual Cattle Mortality Reported by Farmers Due to Disease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Livestock!$C$28:$C$34</c:f>
              <c:strCache>
                <c:ptCount val="7"/>
                <c:pt idx="0">
                  <c:v>41 + heads </c:v>
                </c:pt>
                <c:pt idx="1">
                  <c:v>21 - 40 heads </c:v>
                </c:pt>
                <c:pt idx="2">
                  <c:v>11 - 20 heads </c:v>
                </c:pt>
                <c:pt idx="3">
                  <c:v>No Loss</c:v>
                </c:pt>
                <c:pt idx="4">
                  <c:v>1 - 2 heads</c:v>
                </c:pt>
                <c:pt idx="5">
                  <c:v>6 - 10 heads </c:v>
                </c:pt>
                <c:pt idx="6">
                  <c:v>3 - 5 heads </c:v>
                </c:pt>
              </c:strCache>
            </c:strRef>
          </c:cat>
          <c:val>
            <c:numRef>
              <c:f>Livestock!$D$28:$D$34</c:f>
              <c:numCache>
                <c:formatCode>General</c:formatCode>
                <c:ptCount val="7"/>
                <c:pt idx="0">
                  <c:v>4</c:v>
                </c:pt>
                <c:pt idx="1">
                  <c:v>18</c:v>
                </c:pt>
                <c:pt idx="2">
                  <c:v>29</c:v>
                </c:pt>
                <c:pt idx="3">
                  <c:v>37</c:v>
                </c:pt>
                <c:pt idx="4">
                  <c:v>60</c:v>
                </c:pt>
                <c:pt idx="5">
                  <c:v>66</c:v>
                </c:pt>
                <c:pt idx="6">
                  <c:v>96</c:v>
                </c:pt>
              </c:numCache>
            </c:numRef>
          </c:val>
          <c:extLst>
            <c:ext xmlns:c16="http://schemas.microsoft.com/office/drawing/2014/chart" uri="{C3380CC4-5D6E-409C-BE32-E72D297353CC}">
              <c16:uniqueId val="{00000000-722A-4D14-84B5-88E4081B1D9E}"/>
            </c:ext>
          </c:extLst>
        </c:ser>
        <c:dLbls>
          <c:showLegendKey val="0"/>
          <c:showVal val="0"/>
          <c:showCatName val="0"/>
          <c:showSerName val="0"/>
          <c:showPercent val="0"/>
          <c:showBubbleSize val="0"/>
        </c:dLbls>
        <c:gapWidth val="182"/>
        <c:axId val="1187321448"/>
        <c:axId val="1187318928"/>
      </c:barChart>
      <c:catAx>
        <c:axId val="1187321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187318928"/>
        <c:crosses val="autoZero"/>
        <c:auto val="1"/>
        <c:lblAlgn val="ctr"/>
        <c:lblOffset val="100"/>
        <c:noMultiLvlLbl val="0"/>
      </c:catAx>
      <c:valAx>
        <c:axId val="1187318928"/>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187321448"/>
        <c:crosses val="autoZero"/>
        <c:crossBetween val="between"/>
      </c:valAx>
      <c:spPr>
        <a:no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3 Challenges Faced in Cattle Production</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Livestock!$I$28:$I$35</c:f>
              <c:strCache>
                <c:ptCount val="8"/>
                <c:pt idx="0">
                  <c:v>Limited grazing areas</c:v>
                </c:pt>
                <c:pt idx="1">
                  <c:v>Limited access to adequate water sources</c:v>
                </c:pt>
                <c:pt idx="2">
                  <c:v>High disease prevalence</c:v>
                </c:pt>
                <c:pt idx="3">
                  <c:v>Lack of Capital </c:v>
                </c:pt>
                <c:pt idx="4">
                  <c:v>Lack of nowledge</c:v>
                </c:pt>
                <c:pt idx="5">
                  <c:v>Lack of Extension Support </c:v>
                </c:pt>
                <c:pt idx="6">
                  <c:v>Limited access to vet drugs/vaccines</c:v>
                </c:pt>
                <c:pt idx="7">
                  <c:v>Theft </c:v>
                </c:pt>
              </c:strCache>
            </c:strRef>
          </c:cat>
          <c:val>
            <c:numRef>
              <c:f>Livestock!$J$28:$J$35</c:f>
              <c:numCache>
                <c:formatCode>General</c:formatCode>
                <c:ptCount val="8"/>
                <c:pt idx="0">
                  <c:v>1</c:v>
                </c:pt>
                <c:pt idx="1">
                  <c:v>10</c:v>
                </c:pt>
                <c:pt idx="2">
                  <c:v>26</c:v>
                </c:pt>
                <c:pt idx="3">
                  <c:v>39</c:v>
                </c:pt>
                <c:pt idx="4">
                  <c:v>40</c:v>
                </c:pt>
                <c:pt idx="5">
                  <c:v>45</c:v>
                </c:pt>
                <c:pt idx="6">
                  <c:v>87</c:v>
                </c:pt>
                <c:pt idx="7">
                  <c:v>111</c:v>
                </c:pt>
              </c:numCache>
            </c:numRef>
          </c:val>
          <c:extLst>
            <c:ext xmlns:c16="http://schemas.microsoft.com/office/drawing/2014/chart" uri="{C3380CC4-5D6E-409C-BE32-E72D297353CC}">
              <c16:uniqueId val="{00000000-75C2-4068-B31D-D749692BD65C}"/>
            </c:ext>
          </c:extLst>
        </c:ser>
        <c:dLbls>
          <c:dLblPos val="outEnd"/>
          <c:showLegendKey val="0"/>
          <c:showVal val="1"/>
          <c:showCatName val="0"/>
          <c:showSerName val="0"/>
          <c:showPercent val="0"/>
          <c:showBubbleSize val="0"/>
        </c:dLbls>
        <c:gapWidth val="182"/>
        <c:axId val="1199037408"/>
        <c:axId val="1199026248"/>
      </c:barChart>
      <c:catAx>
        <c:axId val="119903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199026248"/>
        <c:crosses val="autoZero"/>
        <c:auto val="1"/>
        <c:lblAlgn val="ctr"/>
        <c:lblOffset val="100"/>
        <c:noMultiLvlLbl val="0"/>
      </c:catAx>
      <c:valAx>
        <c:axId val="1199026248"/>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19903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Adoption of Supplemental Feeding Among Farmers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41B-4F8F-9F24-B6DEAA9B095C}"/>
              </c:ext>
            </c:extLst>
          </c:dPt>
          <c:dPt>
            <c:idx val="1"/>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2-B41B-4F8F-9F24-B6DEAA9B095C}"/>
              </c:ext>
            </c:extLst>
          </c:dPt>
          <c:dLbls>
            <c:dLbl>
              <c:idx val="0"/>
              <c:tx>
                <c:rich>
                  <a:bodyPr/>
                  <a:lstStyle/>
                  <a:p>
                    <a:fld id="{5D8B1E25-A007-4B58-A8D9-22C0BB2ABF08}" type="VALUE">
                      <a:rPr lang="en-US"/>
                      <a:pPr/>
                      <a:t>[VALUE]</a:t>
                    </a:fld>
                    <a:r>
                      <a:rPr lang="en-US"/>
                      <a:t> (2%)</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41B-4F8F-9F24-B6DEAA9B095C}"/>
                </c:ext>
              </c:extLst>
            </c:dLbl>
            <c:dLbl>
              <c:idx val="1"/>
              <c:tx>
                <c:rich>
                  <a:bodyPr/>
                  <a:lstStyle/>
                  <a:p>
                    <a:fld id="{E919E80A-A73C-42F7-944B-A92DD26CCE3A}" type="VALUE">
                      <a:rPr lang="en-US"/>
                      <a:pPr/>
                      <a:t>[VALUE]</a:t>
                    </a:fld>
                    <a:r>
                      <a:rPr lang="en-US"/>
                      <a:t> (98%)</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41B-4F8F-9F24-B6DEAA9B09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Livestock!$Q$29:$Q$30</c:f>
              <c:strCache>
                <c:ptCount val="2"/>
                <c:pt idx="0">
                  <c:v>Yes</c:v>
                </c:pt>
                <c:pt idx="1">
                  <c:v>No</c:v>
                </c:pt>
              </c:strCache>
            </c:strRef>
          </c:cat>
          <c:val>
            <c:numRef>
              <c:f>Livestock!$R$29:$R$30</c:f>
              <c:numCache>
                <c:formatCode>General</c:formatCode>
                <c:ptCount val="2"/>
                <c:pt idx="0">
                  <c:v>7</c:v>
                </c:pt>
                <c:pt idx="1">
                  <c:v>303</c:v>
                </c:pt>
              </c:numCache>
            </c:numRef>
          </c:val>
          <c:extLst>
            <c:ext xmlns:c16="http://schemas.microsoft.com/office/drawing/2014/chart" uri="{C3380CC4-5D6E-409C-BE32-E72D297353CC}">
              <c16:uniqueId val="{00000000-B41B-4F8F-9F24-B6DEAA9B095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87045045986167158"/>
          <c:y val="0.22743000874890634"/>
          <c:w val="0.10626596675415571"/>
          <c:h val="0.16608850976961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Common Supplements Used for Livestock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Livestock!$B$43:$B$47</c:f>
              <c:strCache>
                <c:ptCount val="5"/>
                <c:pt idx="0">
                  <c:v>Phosphate</c:v>
                </c:pt>
                <c:pt idx="1">
                  <c:v>Lime </c:v>
                </c:pt>
                <c:pt idx="2">
                  <c:v>Other</c:v>
                </c:pt>
                <c:pt idx="3">
                  <c:v>Maize</c:v>
                </c:pt>
                <c:pt idx="4">
                  <c:v>Salt</c:v>
                </c:pt>
              </c:strCache>
            </c:strRef>
          </c:cat>
          <c:val>
            <c:numRef>
              <c:f>Livestock!$C$43:$C$47</c:f>
              <c:numCache>
                <c:formatCode>General</c:formatCode>
                <c:ptCount val="5"/>
                <c:pt idx="0">
                  <c:v>1</c:v>
                </c:pt>
                <c:pt idx="1">
                  <c:v>1</c:v>
                </c:pt>
                <c:pt idx="2">
                  <c:v>2</c:v>
                </c:pt>
                <c:pt idx="3">
                  <c:v>3</c:v>
                </c:pt>
                <c:pt idx="4">
                  <c:v>4</c:v>
                </c:pt>
              </c:numCache>
            </c:numRef>
          </c:val>
          <c:extLst>
            <c:ext xmlns:c16="http://schemas.microsoft.com/office/drawing/2014/chart" uri="{C3380CC4-5D6E-409C-BE32-E72D297353CC}">
              <c16:uniqueId val="{00000000-C570-42FA-86B6-6F1A22554B52}"/>
            </c:ext>
          </c:extLst>
        </c:ser>
        <c:dLbls>
          <c:showLegendKey val="0"/>
          <c:showVal val="0"/>
          <c:showCatName val="0"/>
          <c:showSerName val="0"/>
          <c:showPercent val="0"/>
          <c:showBubbleSize val="0"/>
        </c:dLbls>
        <c:gapWidth val="182"/>
        <c:axId val="1021294600"/>
        <c:axId val="1021296760"/>
      </c:barChart>
      <c:catAx>
        <c:axId val="1021294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021296760"/>
        <c:crosses val="autoZero"/>
        <c:auto val="1"/>
        <c:lblAlgn val="ctr"/>
        <c:lblOffset val="100"/>
        <c:noMultiLvlLbl val="0"/>
      </c:catAx>
      <c:valAx>
        <c:axId val="1021296760"/>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021294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Regularity of Cattle Dipping Practices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Livestock!$I$42:$I$47</c:f>
              <c:strCache>
                <c:ptCount val="6"/>
                <c:pt idx="0">
                  <c:v>How Often Do you Deep your Cattle?</c:v>
                </c:pt>
                <c:pt idx="1">
                  <c:v>Weekly</c:v>
                </c:pt>
                <c:pt idx="2">
                  <c:v>Every two weeks</c:v>
                </c:pt>
                <c:pt idx="3">
                  <c:v>Annualy</c:v>
                </c:pt>
                <c:pt idx="4">
                  <c:v>Monthly</c:v>
                </c:pt>
                <c:pt idx="5">
                  <c:v>Only when diseases are prevalent</c:v>
                </c:pt>
              </c:strCache>
            </c:strRef>
          </c:cat>
          <c:val>
            <c:numRef>
              <c:f>Livestock!$J$42:$J$47</c:f>
              <c:numCache>
                <c:formatCode>General</c:formatCode>
                <c:ptCount val="6"/>
                <c:pt idx="1">
                  <c:v>17</c:v>
                </c:pt>
                <c:pt idx="2">
                  <c:v>23</c:v>
                </c:pt>
                <c:pt idx="3">
                  <c:v>23</c:v>
                </c:pt>
                <c:pt idx="4">
                  <c:v>31</c:v>
                </c:pt>
                <c:pt idx="5">
                  <c:v>84</c:v>
                </c:pt>
              </c:numCache>
            </c:numRef>
          </c:val>
          <c:extLst>
            <c:ext xmlns:c16="http://schemas.microsoft.com/office/drawing/2014/chart" uri="{C3380CC4-5D6E-409C-BE32-E72D297353CC}">
              <c16:uniqueId val="{00000000-BF74-4E34-9E8A-382885AE119F}"/>
            </c:ext>
          </c:extLst>
        </c:ser>
        <c:dLbls>
          <c:dLblPos val="outEnd"/>
          <c:showLegendKey val="0"/>
          <c:showVal val="1"/>
          <c:showCatName val="0"/>
          <c:showSerName val="0"/>
          <c:showPercent val="0"/>
          <c:showBubbleSize val="0"/>
        </c:dLbls>
        <c:gapWidth val="182"/>
        <c:axId val="925582096"/>
        <c:axId val="925584616"/>
      </c:barChart>
      <c:catAx>
        <c:axId val="92558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925584616"/>
        <c:crosses val="autoZero"/>
        <c:auto val="1"/>
        <c:lblAlgn val="ctr"/>
        <c:lblOffset val="100"/>
        <c:noMultiLvlLbl val="0"/>
      </c:catAx>
      <c:valAx>
        <c:axId val="925584616"/>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92558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Cattle Vaccination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9FD3-4389-98EF-1617DE7A1B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FD3-4389-98EF-1617DE7A1BA9}"/>
              </c:ext>
            </c:extLst>
          </c:dPt>
          <c:dLbls>
            <c:dLbl>
              <c:idx val="0"/>
              <c:tx>
                <c:rich>
                  <a:bodyPr/>
                  <a:lstStyle/>
                  <a:p>
                    <a:fld id="{5F2E3FC0-E756-4071-B8BD-2CE9EC92B8DD}" type="VALUE">
                      <a:rPr lang="en-US"/>
                      <a:pPr/>
                      <a:t>[VALUE]</a:t>
                    </a:fld>
                    <a:r>
                      <a:rPr lang="en-US"/>
                      <a:t> (99%)</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FD3-4389-98EF-1617DE7A1BA9}"/>
                </c:ext>
              </c:extLst>
            </c:dLbl>
            <c:dLbl>
              <c:idx val="1"/>
              <c:tx>
                <c:rich>
                  <a:bodyPr/>
                  <a:lstStyle/>
                  <a:p>
                    <a:fld id="{3939C70C-B6C2-4734-9C13-D47E222FD856}" type="VALUE">
                      <a:rPr lang="en-US"/>
                      <a:pPr/>
                      <a:t>[VALUE]</a:t>
                    </a:fld>
                    <a:r>
                      <a:rPr lang="en-US"/>
                      <a:t> (1%)</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FD3-4389-98EF-1617DE7A1B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Livestock!$Q$43:$Q$44</c:f>
              <c:strCache>
                <c:ptCount val="2"/>
                <c:pt idx="0">
                  <c:v>Yes</c:v>
                </c:pt>
                <c:pt idx="1">
                  <c:v>No</c:v>
                </c:pt>
              </c:strCache>
            </c:strRef>
          </c:cat>
          <c:val>
            <c:numRef>
              <c:f>Livestock!$R$43:$R$44</c:f>
              <c:numCache>
                <c:formatCode>General</c:formatCode>
                <c:ptCount val="2"/>
                <c:pt idx="0">
                  <c:v>308</c:v>
                </c:pt>
                <c:pt idx="1">
                  <c:v>3</c:v>
                </c:pt>
              </c:numCache>
            </c:numRef>
          </c:val>
          <c:extLst>
            <c:ext xmlns:c16="http://schemas.microsoft.com/office/drawing/2014/chart" uri="{C3380CC4-5D6E-409C-BE32-E72D297353CC}">
              <c16:uniqueId val="{00000000-9FD3-4389-98EF-1617DE7A1BA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87379727674799534"/>
          <c:y val="0.19921519831851406"/>
          <c:w val="9.7350193092334253E-2"/>
          <c:h val="0.21030161063681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Cattle Deworming Practices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3-EFAD-4755-9A7E-36F3AB74741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2-EFAD-4755-9A7E-36F3AB747412}"/>
              </c:ext>
            </c:extLst>
          </c:dPt>
          <c:dLbls>
            <c:dLbl>
              <c:idx val="1"/>
              <c:tx>
                <c:rich>
                  <a:bodyPr/>
                  <a:lstStyle/>
                  <a:p>
                    <a:fld id="{11FF4231-2B14-48F7-B4ED-7091D9373539}" type="VALUE">
                      <a:rPr lang="en-US"/>
                      <a:pPr/>
                      <a:t>[VALUE]</a:t>
                    </a:fld>
                    <a:r>
                      <a:rPr lang="en-US"/>
                      <a:t> (91%)</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FAD-4755-9A7E-36F3AB747412}"/>
                </c:ext>
              </c:extLst>
            </c:dLbl>
            <c:dLbl>
              <c:idx val="2"/>
              <c:tx>
                <c:rich>
                  <a:bodyPr/>
                  <a:lstStyle/>
                  <a:p>
                    <a:fld id="{097EB671-46A3-486C-9C0E-008875A4D689}" type="VALUE">
                      <a:rPr lang="en-US"/>
                      <a:pPr/>
                      <a:t>[VALUE]</a:t>
                    </a:fld>
                    <a:r>
                      <a:rPr lang="en-US"/>
                      <a:t> (9%)</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FAD-4755-9A7E-36F3AB7474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Livestock!$J$56:$J$58</c:f>
              <c:strCache>
                <c:ptCount val="3"/>
                <c:pt idx="0">
                  <c:v>Do you Deworm your cattle?</c:v>
                </c:pt>
                <c:pt idx="1">
                  <c:v>Yes</c:v>
                </c:pt>
                <c:pt idx="2">
                  <c:v>No</c:v>
                </c:pt>
              </c:strCache>
            </c:strRef>
          </c:cat>
          <c:val>
            <c:numRef>
              <c:f>Livestock!$K$56:$K$58</c:f>
              <c:numCache>
                <c:formatCode>General</c:formatCode>
                <c:ptCount val="3"/>
                <c:pt idx="1">
                  <c:v>281</c:v>
                </c:pt>
                <c:pt idx="2">
                  <c:v>29</c:v>
                </c:pt>
              </c:numCache>
            </c:numRef>
          </c:val>
          <c:extLst>
            <c:ext xmlns:c16="http://schemas.microsoft.com/office/drawing/2014/chart" uri="{C3380CC4-5D6E-409C-BE32-E72D297353CC}">
              <c16:uniqueId val="{00000000-EFAD-4755-9A7E-36F3AB747412}"/>
            </c:ext>
          </c:extLst>
        </c:ser>
        <c:ser>
          <c:idx val="1"/>
          <c:order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Livestock!$J$56:$J$58</c:f>
              <c:strCache>
                <c:ptCount val="3"/>
                <c:pt idx="0">
                  <c:v>Do you Deworm your cattle?</c:v>
                </c:pt>
                <c:pt idx="1">
                  <c:v>Yes</c:v>
                </c:pt>
                <c:pt idx="2">
                  <c:v>No</c:v>
                </c:pt>
              </c:strCache>
            </c:strRef>
          </c:cat>
          <c:val>
            <c:numRef>
              <c:f>Livestock!$L$56:$L$58</c:f>
              <c:numCache>
                <c:formatCode>General</c:formatCode>
                <c:ptCount val="3"/>
              </c:numCache>
            </c:numRef>
          </c:val>
          <c:extLst>
            <c:ext xmlns:c16="http://schemas.microsoft.com/office/drawing/2014/chart" uri="{C3380CC4-5D6E-409C-BE32-E72D297353CC}">
              <c16:uniqueId val="{00000001-EFAD-4755-9A7E-36F3AB74741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Common</a:t>
            </a:r>
            <a:r>
              <a:rPr lang="en-US" baseline="0"/>
              <a:t> Cattle Diseases Vaccinated Against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Livestock!$B$56:$B$61</c:f>
              <c:strCache>
                <c:ptCount val="6"/>
                <c:pt idx="0">
                  <c:v>Anthrax (Lubete)</c:v>
                </c:pt>
                <c:pt idx="1">
                  <c:v>Lumpy Sin Disease (Siwewe)</c:v>
                </c:pt>
                <c:pt idx="2">
                  <c:v>Pasteurella / HS (anoto)</c:v>
                </c:pt>
                <c:pt idx="3">
                  <c:v>Blac Leg (Ngongola)</c:v>
                </c:pt>
                <c:pt idx="4">
                  <c:v>Foot and Mouth (Mulomo ni litao)</c:v>
                </c:pt>
                <c:pt idx="5">
                  <c:v>CBPP (Maswafu)</c:v>
                </c:pt>
              </c:strCache>
            </c:strRef>
          </c:cat>
          <c:val>
            <c:numRef>
              <c:f>Livestock!$C$56:$C$61</c:f>
              <c:numCache>
                <c:formatCode>General</c:formatCode>
                <c:ptCount val="6"/>
                <c:pt idx="0">
                  <c:v>20</c:v>
                </c:pt>
                <c:pt idx="1">
                  <c:v>29</c:v>
                </c:pt>
                <c:pt idx="2">
                  <c:v>61</c:v>
                </c:pt>
                <c:pt idx="3">
                  <c:v>75</c:v>
                </c:pt>
                <c:pt idx="4">
                  <c:v>95</c:v>
                </c:pt>
                <c:pt idx="5">
                  <c:v>233</c:v>
                </c:pt>
              </c:numCache>
            </c:numRef>
          </c:val>
          <c:extLst>
            <c:ext xmlns:c16="http://schemas.microsoft.com/office/drawing/2014/chart" uri="{C3380CC4-5D6E-409C-BE32-E72D297353CC}">
              <c16:uniqueId val="{00000000-23C2-4045-83D3-7D05CC2F1FEE}"/>
            </c:ext>
          </c:extLst>
        </c:ser>
        <c:dLbls>
          <c:dLblPos val="outEnd"/>
          <c:showLegendKey val="0"/>
          <c:showVal val="1"/>
          <c:showCatName val="0"/>
          <c:showSerName val="0"/>
          <c:showPercent val="0"/>
          <c:showBubbleSize val="0"/>
        </c:dLbls>
        <c:gapWidth val="219"/>
        <c:axId val="665348096"/>
        <c:axId val="665349896"/>
      </c:barChart>
      <c:catAx>
        <c:axId val="66534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65349896"/>
        <c:crosses val="autoZero"/>
        <c:auto val="1"/>
        <c:lblAlgn val="ctr"/>
        <c:lblOffset val="100"/>
        <c:noMultiLvlLbl val="0"/>
      </c:catAx>
      <c:valAx>
        <c:axId val="665349896"/>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6534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Primary Markets for Crop Produce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'CROP PRODUCTION'!$B$4:$B$9</c:f>
              <c:strCache>
                <c:ptCount val="6"/>
                <c:pt idx="0">
                  <c:v>Cooperatives</c:v>
                </c:pt>
                <c:pt idx="1">
                  <c:v>Processors (Formal Companies)</c:v>
                </c:pt>
                <c:pt idx="2">
                  <c:v>FRA</c:v>
                </c:pt>
                <c:pt idx="3">
                  <c:v>Dont Sell </c:v>
                </c:pt>
                <c:pt idx="4">
                  <c:v>Briefcase Buyers</c:v>
                </c:pt>
                <c:pt idx="5">
                  <c:v>Local Residents </c:v>
                </c:pt>
              </c:strCache>
            </c:strRef>
          </c:cat>
          <c:val>
            <c:numRef>
              <c:f>'CROP PRODUCTION'!$C$4:$C$9</c:f>
              <c:numCache>
                <c:formatCode>General</c:formatCode>
                <c:ptCount val="6"/>
                <c:pt idx="0">
                  <c:v>1</c:v>
                </c:pt>
                <c:pt idx="1">
                  <c:v>1</c:v>
                </c:pt>
                <c:pt idx="2">
                  <c:v>5</c:v>
                </c:pt>
                <c:pt idx="3">
                  <c:v>11</c:v>
                </c:pt>
                <c:pt idx="4">
                  <c:v>151</c:v>
                </c:pt>
                <c:pt idx="5">
                  <c:v>151</c:v>
                </c:pt>
              </c:numCache>
            </c:numRef>
          </c:val>
          <c:extLst>
            <c:ext xmlns:c16="http://schemas.microsoft.com/office/drawing/2014/chart" uri="{C3380CC4-5D6E-409C-BE32-E72D297353CC}">
              <c16:uniqueId val="{00000000-552E-4A31-ACA8-DF585C759FB8}"/>
            </c:ext>
          </c:extLst>
        </c:ser>
        <c:dLbls>
          <c:dLblPos val="outEnd"/>
          <c:showLegendKey val="0"/>
          <c:showVal val="1"/>
          <c:showCatName val="0"/>
          <c:showSerName val="0"/>
          <c:showPercent val="0"/>
          <c:showBubbleSize val="0"/>
        </c:dLbls>
        <c:gapWidth val="219"/>
        <c:axId val="813752504"/>
        <c:axId val="813753224"/>
      </c:barChart>
      <c:catAx>
        <c:axId val="813752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813753224"/>
        <c:crosses val="autoZero"/>
        <c:auto val="1"/>
        <c:lblAlgn val="ctr"/>
        <c:lblOffset val="100"/>
        <c:noMultiLvlLbl val="0"/>
      </c:catAx>
      <c:valAx>
        <c:axId val="813753224"/>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813752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Main Challenges Farmers Face in Accessing Formal Crop Markets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bar"/>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'CROP PRODUCTION'!$J$2:$J$8</c:f>
              <c:strCache>
                <c:ptCount val="7"/>
                <c:pt idx="0">
                  <c:v>Unreliable/Inconsistent Off-take</c:v>
                </c:pt>
                <c:pt idx="1">
                  <c:v>Predominance of Intermediaries</c:v>
                </c:pt>
                <c:pt idx="2">
                  <c:v>Limited access to finance</c:v>
                </c:pt>
                <c:pt idx="3">
                  <c:v>Geographical Isolation</c:v>
                </c:pt>
                <c:pt idx="4">
                  <c:v>Limited Market knowledge</c:v>
                </c:pt>
                <c:pt idx="5">
                  <c:v>Lack of Transportation</c:v>
                </c:pt>
                <c:pt idx="6">
                  <c:v>Low Prices</c:v>
                </c:pt>
              </c:strCache>
            </c:strRef>
          </c:cat>
          <c:val>
            <c:numRef>
              <c:f>'CROP PRODUCTION'!$K$2:$K$8</c:f>
              <c:numCache>
                <c:formatCode>General</c:formatCode>
                <c:ptCount val="7"/>
                <c:pt idx="0">
                  <c:v>22</c:v>
                </c:pt>
                <c:pt idx="1">
                  <c:v>26</c:v>
                </c:pt>
                <c:pt idx="2">
                  <c:v>45</c:v>
                </c:pt>
                <c:pt idx="3">
                  <c:v>67</c:v>
                </c:pt>
                <c:pt idx="4">
                  <c:v>132</c:v>
                </c:pt>
                <c:pt idx="5">
                  <c:v>141</c:v>
                </c:pt>
                <c:pt idx="6">
                  <c:v>241</c:v>
                </c:pt>
              </c:numCache>
            </c:numRef>
          </c:val>
          <c:extLst>
            <c:ext xmlns:c16="http://schemas.microsoft.com/office/drawing/2014/chart" uri="{C3380CC4-5D6E-409C-BE32-E72D297353CC}">
              <c16:uniqueId val="{00000000-32C6-499E-A41E-86427C1F75BC}"/>
            </c:ext>
          </c:extLst>
        </c:ser>
        <c:dLbls>
          <c:showLegendKey val="0"/>
          <c:showVal val="0"/>
          <c:showCatName val="0"/>
          <c:showSerName val="0"/>
          <c:showPercent val="0"/>
          <c:showBubbleSize val="0"/>
        </c:dLbls>
        <c:gapWidth val="219"/>
        <c:axId val="696919656"/>
        <c:axId val="696917496"/>
      </c:barChart>
      <c:catAx>
        <c:axId val="696919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96917496"/>
        <c:crosses val="autoZero"/>
        <c:auto val="1"/>
        <c:lblAlgn val="ctr"/>
        <c:lblOffset val="100"/>
        <c:noMultiLvlLbl val="0"/>
      </c:catAx>
      <c:valAx>
        <c:axId val="696917496"/>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96919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 of Chemicals</a:t>
            </a:r>
            <a:r>
              <a:rPr lang="en-US" baseline="0"/>
              <a:t> Amongst Respondents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spPr>
            <a:solidFill>
              <a:schemeClr val="tx2">
                <a:lumMod val="50000"/>
              </a:schemeClr>
            </a:solidFill>
          </c:spPr>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2-930F-4A78-B9DE-B13343A1BB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930F-4A78-B9DE-B13343A1BB2E}"/>
              </c:ext>
            </c:extLst>
          </c:dPt>
          <c:dLbls>
            <c:dLbl>
              <c:idx val="0"/>
              <c:tx>
                <c:rich>
                  <a:bodyPr/>
                  <a:lstStyle/>
                  <a:p>
                    <a:fld id="{C572AA38-657D-4BFC-B237-3F1722CFE8DF}" type="VALUE">
                      <a:rPr lang="en-US"/>
                      <a:pPr/>
                      <a:t>[VALUE]</a:t>
                    </a:fld>
                    <a:r>
                      <a:rPr lang="en-US"/>
                      <a:t> (75%)</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30F-4A78-B9DE-B13343A1BB2E}"/>
                </c:ext>
              </c:extLst>
            </c:dLbl>
            <c:dLbl>
              <c:idx val="1"/>
              <c:tx>
                <c:rich>
                  <a:bodyPr/>
                  <a:lstStyle/>
                  <a:p>
                    <a:fld id="{39894EFB-DB12-496A-88EC-5D3AC186F735}" type="VALUE">
                      <a:rPr lang="en-US"/>
                      <a:pPr/>
                      <a:t>[VALUE]</a:t>
                    </a:fld>
                    <a:r>
                      <a:rPr lang="en-US"/>
                      <a:t> (25%)</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30F-4A78-B9DE-B13343A1BB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'Rangeland Practices'!$C$2:$C$3</c:f>
              <c:strCache>
                <c:ptCount val="2"/>
                <c:pt idx="0">
                  <c:v>No</c:v>
                </c:pt>
                <c:pt idx="1">
                  <c:v>Yes</c:v>
                </c:pt>
              </c:strCache>
            </c:strRef>
          </c:cat>
          <c:val>
            <c:numRef>
              <c:f>'Rangeland Practices'!$D$2:$D$3</c:f>
              <c:numCache>
                <c:formatCode>General</c:formatCode>
                <c:ptCount val="2"/>
                <c:pt idx="0">
                  <c:v>169</c:v>
                </c:pt>
                <c:pt idx="1">
                  <c:v>57</c:v>
                </c:pt>
              </c:numCache>
            </c:numRef>
          </c:val>
          <c:extLst>
            <c:ext xmlns:c16="http://schemas.microsoft.com/office/drawing/2014/chart" uri="{C3380CC4-5D6E-409C-BE32-E72D297353CC}">
              <c16:uniqueId val="{00000000-930F-4A78-B9DE-B13343A1BB2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86063238510978379"/>
          <c:y val="0.23859749279565107"/>
          <c:w val="9.8277464366440595E-2"/>
          <c:h val="0.207235802659927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D010-4683-8AF4-6329CC811A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010-4683-8AF4-6329CC811A42}"/>
              </c:ext>
            </c:extLst>
          </c:dPt>
          <c:dLbls>
            <c:dLbl>
              <c:idx val="0"/>
              <c:tx>
                <c:rich>
                  <a:bodyPr/>
                  <a:lstStyle/>
                  <a:p>
                    <a:fld id="{902F5CDD-C00C-41D7-BE9B-D179D865FEFB}" type="VALUE">
                      <a:rPr lang="en-US"/>
                      <a:pPr/>
                      <a:t>[VALUE]</a:t>
                    </a:fld>
                    <a:r>
                      <a:rPr lang="en-US"/>
                      <a:t>(92%)</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010-4683-8AF4-6329CC811A42}"/>
                </c:ext>
              </c:extLst>
            </c:dLbl>
            <c:dLbl>
              <c:idx val="1"/>
              <c:tx>
                <c:rich>
                  <a:bodyPr/>
                  <a:lstStyle/>
                  <a:p>
                    <a:fld id="{A78EAC91-DC46-40AB-9ADF-562C1031BC0A}" type="VALUE">
                      <a:rPr lang="en-US"/>
                      <a:pPr/>
                      <a:t>[VALUE]</a:t>
                    </a:fld>
                    <a:r>
                      <a:rPr lang="en-US"/>
                      <a:t>(8%)</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010-4683-8AF4-6329CC811A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DEMOGRAPHICS!$B$2:$B$3</c:f>
              <c:strCache>
                <c:ptCount val="2"/>
                <c:pt idx="0">
                  <c:v>Male</c:v>
                </c:pt>
                <c:pt idx="1">
                  <c:v>Female</c:v>
                </c:pt>
              </c:strCache>
            </c:strRef>
          </c:cat>
          <c:val>
            <c:numRef>
              <c:f>DEMOGRAPHICS!$C$2:$C$3</c:f>
              <c:numCache>
                <c:formatCode>General</c:formatCode>
                <c:ptCount val="2"/>
                <c:pt idx="0">
                  <c:v>315</c:v>
                </c:pt>
                <c:pt idx="1">
                  <c:v>26</c:v>
                </c:pt>
              </c:numCache>
            </c:numRef>
          </c:val>
          <c:extLst>
            <c:ext xmlns:c16="http://schemas.microsoft.com/office/drawing/2014/chart" uri="{C3380CC4-5D6E-409C-BE32-E72D297353CC}">
              <c16:uniqueId val="{00000000-D010-4683-8AF4-6329CC811A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83613910761154864"/>
          <c:y val="0.14872630504520273"/>
          <c:w val="0.14716622922134734"/>
          <c:h val="0.16145888013998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2-88CF-4AAF-B86A-E25DCA44DA70}"/>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88CF-4AAF-B86A-E25DCA44DA70}"/>
              </c:ext>
            </c:extLst>
          </c:dPt>
          <c:dLbls>
            <c:dLbl>
              <c:idx val="0"/>
              <c:layout>
                <c:manualLayout>
                  <c:x val="6.6666666666666569E-2"/>
                  <c:y val="-2.7777777777777776E-2"/>
                </c:manualLayout>
              </c:layout>
              <c:tx>
                <c:rich>
                  <a:bodyPr/>
                  <a:lstStyle/>
                  <a:p>
                    <a:fld id="{06A6DACA-1A6B-4D7B-8D39-20F3935DB93B}" type="VALUE">
                      <a:rPr lang="en-US"/>
                      <a:pPr/>
                      <a:t>[VALUE]</a:t>
                    </a:fld>
                    <a:r>
                      <a:rPr lang="en-US"/>
                      <a:t>(18%)</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8CF-4AAF-B86A-E25DCA44DA70}"/>
                </c:ext>
              </c:extLst>
            </c:dLbl>
            <c:dLbl>
              <c:idx val="1"/>
              <c:layout>
                <c:manualLayout>
                  <c:x val="-0.11095516231997635"/>
                  <c:y val="4.6111108892289655E-3"/>
                </c:manualLayout>
              </c:layout>
              <c:tx>
                <c:rich>
                  <a:bodyPr/>
                  <a:lstStyle/>
                  <a:p>
                    <a:fld id="{6E3AB3FA-0B18-422D-95E3-2A8C643EB4F7}" type="VALUE">
                      <a:rPr lang="en-US"/>
                      <a:pPr/>
                      <a:t>[VALUE]</a:t>
                    </a:fld>
                    <a:r>
                      <a:rPr lang="en-US"/>
                      <a:t>(82%)</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CF-4AAF-B86A-E25DCA44DA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1"/>
            <c:showCatName val="0"/>
            <c:showSerName val="0"/>
            <c:showPercent val="0"/>
            <c:showBubbleSize val="0"/>
            <c:showLeaderLines val="0"/>
            <c:extLst>
              <c:ext xmlns:c15="http://schemas.microsoft.com/office/drawing/2012/chart" uri="{CE6537A1-D6FC-4f65-9D91-7224C49458BB}"/>
            </c:extLst>
          </c:dLbls>
          <c:cat>
            <c:strRef>
              <c:f>DEMOGRAPHICS!$J$3:$J$4</c:f>
              <c:strCache>
                <c:ptCount val="2"/>
                <c:pt idx="0">
                  <c:v>Youth (≤ 35 )</c:v>
                </c:pt>
                <c:pt idx="1">
                  <c:v>Adult (≥ 36 )</c:v>
                </c:pt>
              </c:strCache>
            </c:strRef>
          </c:cat>
          <c:val>
            <c:numRef>
              <c:f>DEMOGRAPHICS!$K$3:$K$4</c:f>
              <c:numCache>
                <c:formatCode>General</c:formatCode>
                <c:ptCount val="2"/>
                <c:pt idx="0">
                  <c:v>63</c:v>
                </c:pt>
                <c:pt idx="1">
                  <c:v>278</c:v>
                </c:pt>
              </c:numCache>
            </c:numRef>
          </c:val>
          <c:extLst>
            <c:ext xmlns:c16="http://schemas.microsoft.com/office/drawing/2014/chart" uri="{C3380CC4-5D6E-409C-BE32-E72D297353CC}">
              <c16:uniqueId val="{00000000-88CF-4AAF-B86A-E25DCA44DA7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Respondent Heads of Household's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E634-4695-929C-55264979F5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634-4695-929C-55264979F504}"/>
              </c:ext>
            </c:extLst>
          </c:dPt>
          <c:dLbls>
            <c:dLbl>
              <c:idx val="0"/>
              <c:tx>
                <c:rich>
                  <a:bodyPr/>
                  <a:lstStyle/>
                  <a:p>
                    <a:fld id="{810121A7-4005-494F-BECE-E77B0107F32C}" type="VALUE">
                      <a:rPr lang="en-US"/>
                      <a:pPr/>
                      <a:t>[VALUE]</a:t>
                    </a:fld>
                    <a:r>
                      <a:rPr lang="en-US"/>
                      <a:t>(98%)</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634-4695-929C-55264979F504}"/>
                </c:ext>
              </c:extLst>
            </c:dLbl>
            <c:dLbl>
              <c:idx val="1"/>
              <c:tx>
                <c:rich>
                  <a:bodyPr/>
                  <a:lstStyle/>
                  <a:p>
                    <a:fld id="{43D8A887-9BEA-433B-8A9B-1EF52E3606C2}" type="VALUE">
                      <a:rPr lang="en-US"/>
                      <a:pPr/>
                      <a:t>[VALUE]</a:t>
                    </a:fld>
                    <a:r>
                      <a:rPr lang="en-US"/>
                      <a:t>(2%)</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634-4695-929C-55264979F5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DEMOGRAPHICS!$Q$4:$Q$5</c:f>
              <c:strCache>
                <c:ptCount val="2"/>
                <c:pt idx="0">
                  <c:v>Yes</c:v>
                </c:pt>
                <c:pt idx="1">
                  <c:v>No</c:v>
                </c:pt>
              </c:strCache>
            </c:strRef>
          </c:cat>
          <c:val>
            <c:numRef>
              <c:f>DEMOGRAPHICS!$R$4:$R$5</c:f>
              <c:numCache>
                <c:formatCode>General</c:formatCode>
                <c:ptCount val="2"/>
                <c:pt idx="0">
                  <c:v>273</c:v>
                </c:pt>
                <c:pt idx="1">
                  <c:v>5</c:v>
                </c:pt>
              </c:numCache>
            </c:numRef>
          </c:val>
          <c:extLst>
            <c:ext xmlns:c16="http://schemas.microsoft.com/office/drawing/2014/chart" uri="{C3380CC4-5D6E-409C-BE32-E72D297353CC}">
              <c16:uniqueId val="{00000000-E634-4695-929C-55264979F50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Household Headship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2-E0A8-4D8A-8982-F395273C87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E0A8-4D8A-8982-F395273C87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0A8-4D8A-8982-F395273C8794}"/>
              </c:ext>
            </c:extLst>
          </c:dPt>
          <c:dLbls>
            <c:dLbl>
              <c:idx val="0"/>
              <c:tx>
                <c:rich>
                  <a:bodyPr/>
                  <a:lstStyle/>
                  <a:p>
                    <a:fld id="{280FCE28-4849-4E36-9C85-066D810D7FAD}" type="VALUE">
                      <a:rPr lang="en-US"/>
                      <a:pPr/>
                      <a:t>[VALUE]</a:t>
                    </a:fld>
                    <a:r>
                      <a:rPr lang="en-US"/>
                      <a:t>(46%)</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0A8-4D8A-8982-F395273C8794}"/>
                </c:ext>
              </c:extLst>
            </c:dLbl>
            <c:dLbl>
              <c:idx val="1"/>
              <c:tx>
                <c:rich>
                  <a:bodyPr/>
                  <a:lstStyle/>
                  <a:p>
                    <a:fld id="{D097B37F-BEC7-436F-AB89-155014E4A1C0}" type="VALUE">
                      <a:rPr lang="en-US"/>
                      <a:pPr/>
                      <a:t>[VALUE]</a:t>
                    </a:fld>
                    <a:r>
                      <a:rPr lang="en-US"/>
                      <a:t>(50%)</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0A8-4D8A-8982-F395273C8794}"/>
                </c:ext>
              </c:extLst>
            </c:dLbl>
            <c:dLbl>
              <c:idx val="2"/>
              <c:tx>
                <c:rich>
                  <a:bodyPr/>
                  <a:lstStyle/>
                  <a:p>
                    <a:fld id="{45E16B5A-6BA4-4D42-B79C-168B797477CA}" type="VALUE">
                      <a:rPr lang="en-US"/>
                      <a:pPr/>
                      <a:t>[VALUE]</a:t>
                    </a:fld>
                    <a:r>
                      <a:rPr lang="en-US"/>
                      <a:t>(4%)</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0A8-4D8A-8982-F395273C87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DEMOGRAPHICS!$B$19:$B$21</c:f>
              <c:strCache>
                <c:ptCount val="3"/>
                <c:pt idx="0">
                  <c:v>Both Parties </c:v>
                </c:pt>
                <c:pt idx="1">
                  <c:v>Male Headed Household</c:v>
                </c:pt>
                <c:pt idx="2">
                  <c:v>Female Headed Household</c:v>
                </c:pt>
              </c:strCache>
            </c:strRef>
          </c:cat>
          <c:val>
            <c:numRef>
              <c:f>DEMOGRAPHICS!$C$19:$C$21</c:f>
              <c:numCache>
                <c:formatCode>General</c:formatCode>
                <c:ptCount val="3"/>
                <c:pt idx="0">
                  <c:v>158</c:v>
                </c:pt>
                <c:pt idx="1">
                  <c:v>159</c:v>
                </c:pt>
                <c:pt idx="2">
                  <c:v>12</c:v>
                </c:pt>
              </c:numCache>
            </c:numRef>
          </c:val>
          <c:extLst>
            <c:ext xmlns:c16="http://schemas.microsoft.com/office/drawing/2014/chart" uri="{C3380CC4-5D6E-409C-BE32-E72D297353CC}">
              <c16:uniqueId val="{00000000-E0A8-4D8A-8982-F395273C879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Farmer</a:t>
            </a:r>
            <a:r>
              <a:rPr lang="en-US" baseline="0"/>
              <a:t> Level Of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col"/>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DEMOGRAPHICS!$I$18:$I$21</c:f>
              <c:strCache>
                <c:ptCount val="4"/>
                <c:pt idx="0">
                  <c:v>Primary School Education</c:v>
                </c:pt>
                <c:pt idx="1">
                  <c:v>Secondary School Education</c:v>
                </c:pt>
                <c:pt idx="2">
                  <c:v>University/ College</c:v>
                </c:pt>
                <c:pt idx="3">
                  <c:v>No Formal Education</c:v>
                </c:pt>
              </c:strCache>
            </c:strRef>
          </c:cat>
          <c:val>
            <c:numRef>
              <c:f>DEMOGRAPHICS!$J$18:$J$21</c:f>
              <c:numCache>
                <c:formatCode>General</c:formatCode>
                <c:ptCount val="4"/>
                <c:pt idx="0">
                  <c:v>179</c:v>
                </c:pt>
                <c:pt idx="1">
                  <c:v>126</c:v>
                </c:pt>
                <c:pt idx="2">
                  <c:v>8</c:v>
                </c:pt>
                <c:pt idx="3">
                  <c:v>28</c:v>
                </c:pt>
              </c:numCache>
            </c:numRef>
          </c:val>
          <c:extLst>
            <c:ext xmlns:c16="http://schemas.microsoft.com/office/drawing/2014/chart" uri="{C3380CC4-5D6E-409C-BE32-E72D297353CC}">
              <c16:uniqueId val="{00000000-2B56-4A99-A9F3-A676FBFD3484}"/>
            </c:ext>
          </c:extLst>
        </c:ser>
        <c:dLbls>
          <c:dLblPos val="outEnd"/>
          <c:showLegendKey val="0"/>
          <c:showVal val="1"/>
          <c:showCatName val="0"/>
          <c:showSerName val="0"/>
          <c:showPercent val="0"/>
          <c:showBubbleSize val="0"/>
        </c:dLbls>
        <c:gapWidth val="219"/>
        <c:overlap val="-27"/>
        <c:axId val="813720824"/>
        <c:axId val="813725144"/>
      </c:barChart>
      <c:catAx>
        <c:axId val="813720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813725144"/>
        <c:crosses val="autoZero"/>
        <c:auto val="1"/>
        <c:lblAlgn val="ctr"/>
        <c:lblOffset val="100"/>
        <c:noMultiLvlLbl val="0"/>
      </c:catAx>
      <c:valAx>
        <c:axId val="813725144"/>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813720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Farmer</a:t>
            </a:r>
            <a:r>
              <a:rPr lang="en-US" baseline="0"/>
              <a:t> Level Of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col"/>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DEMOGRAPHICS!$Q$19:$Q$28</c:f>
              <c:strCache>
                <c:ptCount val="10"/>
                <c:pt idx="0">
                  <c:v>&lt; 1 Year</c:v>
                </c:pt>
                <c:pt idx="1">
                  <c:v>1 - 5 Years</c:v>
                </c:pt>
                <c:pt idx="2">
                  <c:v>6 - 10 Years</c:v>
                </c:pt>
                <c:pt idx="3">
                  <c:v>11 - 15 Years</c:v>
                </c:pt>
                <c:pt idx="4">
                  <c:v>16 - 20 Years</c:v>
                </c:pt>
                <c:pt idx="5">
                  <c:v>21 - 25 Years</c:v>
                </c:pt>
                <c:pt idx="6">
                  <c:v>26 - 30 Years</c:v>
                </c:pt>
                <c:pt idx="7">
                  <c:v>31 - 35  Years</c:v>
                </c:pt>
                <c:pt idx="8">
                  <c:v>31 - 39 Years</c:v>
                </c:pt>
                <c:pt idx="9">
                  <c:v>40 - 50+ Years</c:v>
                </c:pt>
              </c:strCache>
            </c:strRef>
          </c:cat>
          <c:val>
            <c:numRef>
              <c:f>DEMOGRAPHICS!$R$19:$R$28</c:f>
              <c:numCache>
                <c:formatCode>General</c:formatCode>
                <c:ptCount val="10"/>
                <c:pt idx="0">
                  <c:v>0</c:v>
                </c:pt>
                <c:pt idx="1">
                  <c:v>40</c:v>
                </c:pt>
                <c:pt idx="2">
                  <c:v>51</c:v>
                </c:pt>
                <c:pt idx="3">
                  <c:v>44</c:v>
                </c:pt>
                <c:pt idx="4">
                  <c:v>55</c:v>
                </c:pt>
                <c:pt idx="5">
                  <c:v>41</c:v>
                </c:pt>
                <c:pt idx="6">
                  <c:v>52</c:v>
                </c:pt>
                <c:pt idx="7">
                  <c:v>17</c:v>
                </c:pt>
                <c:pt idx="8">
                  <c:v>20</c:v>
                </c:pt>
                <c:pt idx="9">
                  <c:v>38</c:v>
                </c:pt>
              </c:numCache>
            </c:numRef>
          </c:val>
          <c:extLst>
            <c:ext xmlns:c16="http://schemas.microsoft.com/office/drawing/2014/chart" uri="{C3380CC4-5D6E-409C-BE32-E72D297353CC}">
              <c16:uniqueId val="{00000000-C9C7-4AE3-882E-C0932A7B685E}"/>
            </c:ext>
          </c:extLst>
        </c:ser>
        <c:dLbls>
          <c:showLegendKey val="0"/>
          <c:showVal val="0"/>
          <c:showCatName val="0"/>
          <c:showSerName val="0"/>
          <c:showPercent val="0"/>
          <c:showBubbleSize val="0"/>
        </c:dLbls>
        <c:gapWidth val="219"/>
        <c:overlap val="-27"/>
        <c:axId val="781324312"/>
        <c:axId val="781333312"/>
      </c:barChart>
      <c:catAx>
        <c:axId val="781324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81333312"/>
        <c:crosses val="autoZero"/>
        <c:auto val="1"/>
        <c:lblAlgn val="ctr"/>
        <c:lblOffset val="100"/>
        <c:noMultiLvlLbl val="0"/>
      </c:catAx>
      <c:valAx>
        <c:axId val="78133331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81324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Farm Land Hectarage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col"/>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DEMOGRAPHICS!$B$35:$B$41</c:f>
              <c:strCache>
                <c:ptCount val="7"/>
                <c:pt idx="0">
                  <c:v>&lt;1 ha</c:v>
                </c:pt>
                <c:pt idx="1">
                  <c:v>1 - 2 ha</c:v>
                </c:pt>
                <c:pt idx="2">
                  <c:v>3 - 5 ha</c:v>
                </c:pt>
                <c:pt idx="3">
                  <c:v>6 - 10 ha</c:v>
                </c:pt>
                <c:pt idx="4">
                  <c:v>12 - 26 ha </c:v>
                </c:pt>
                <c:pt idx="5">
                  <c:v>30 - 50 ha</c:v>
                </c:pt>
                <c:pt idx="6">
                  <c:v>60+ ha</c:v>
                </c:pt>
              </c:strCache>
            </c:strRef>
          </c:cat>
          <c:val>
            <c:numRef>
              <c:f>DEMOGRAPHICS!$C$35:$C$41</c:f>
              <c:numCache>
                <c:formatCode>General</c:formatCode>
                <c:ptCount val="7"/>
                <c:pt idx="0">
                  <c:v>20</c:v>
                </c:pt>
                <c:pt idx="1">
                  <c:v>108</c:v>
                </c:pt>
                <c:pt idx="2">
                  <c:v>76</c:v>
                </c:pt>
                <c:pt idx="3">
                  <c:v>36</c:v>
                </c:pt>
                <c:pt idx="4">
                  <c:v>25</c:v>
                </c:pt>
                <c:pt idx="5">
                  <c:v>41</c:v>
                </c:pt>
                <c:pt idx="6">
                  <c:v>35</c:v>
                </c:pt>
              </c:numCache>
            </c:numRef>
          </c:val>
          <c:extLst>
            <c:ext xmlns:c16="http://schemas.microsoft.com/office/drawing/2014/chart" uri="{C3380CC4-5D6E-409C-BE32-E72D297353CC}">
              <c16:uniqueId val="{00000000-A241-4914-A624-F71E52B33DE8}"/>
            </c:ext>
          </c:extLst>
        </c:ser>
        <c:dLbls>
          <c:dLblPos val="outEnd"/>
          <c:showLegendKey val="0"/>
          <c:showVal val="1"/>
          <c:showCatName val="0"/>
          <c:showSerName val="0"/>
          <c:showPercent val="0"/>
          <c:showBubbleSize val="0"/>
        </c:dLbls>
        <c:gapWidth val="219"/>
        <c:overlap val="-27"/>
        <c:axId val="781350232"/>
        <c:axId val="813749624"/>
      </c:barChart>
      <c:catAx>
        <c:axId val="78135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813749624"/>
        <c:crosses val="autoZero"/>
        <c:auto val="1"/>
        <c:lblAlgn val="ctr"/>
        <c:lblOffset val="100"/>
        <c:noMultiLvlLbl val="0"/>
      </c:catAx>
      <c:valAx>
        <c:axId val="813749624"/>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81350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Membership in Farmer or Community Groups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2-3FAE-4E0D-91D6-B634902687F5}"/>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3FAE-4E0D-91D6-B634902687F5}"/>
              </c:ext>
            </c:extLst>
          </c:dPt>
          <c:dLbls>
            <c:dLbl>
              <c:idx val="0"/>
              <c:tx>
                <c:rich>
                  <a:bodyPr/>
                  <a:lstStyle/>
                  <a:p>
                    <a:fld id="{33A41EA2-C248-4C6F-A0C9-E9D2018ED8D0}" type="VALUE">
                      <a:rPr lang="en-US"/>
                      <a:pPr/>
                      <a:t>[VALUE]</a:t>
                    </a:fld>
                    <a:r>
                      <a:rPr lang="en-US"/>
                      <a:t> (16%)</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FAE-4E0D-91D6-B634902687F5}"/>
                </c:ext>
              </c:extLst>
            </c:dLbl>
            <c:dLbl>
              <c:idx val="1"/>
              <c:tx>
                <c:rich>
                  <a:bodyPr/>
                  <a:lstStyle/>
                  <a:p>
                    <a:fld id="{210D956D-ACA7-4436-9C41-809E01B68997}" type="VALUE">
                      <a:rPr lang="en-US"/>
                      <a:pPr/>
                      <a:t>[VALUE]</a:t>
                    </a:fld>
                    <a:r>
                      <a:rPr lang="en-US"/>
                      <a:t> (84%)</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FAE-4E0D-91D6-B634902687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DEMOGRAPHICS!$J$34:$J$35</c:f>
              <c:strCache>
                <c:ptCount val="2"/>
                <c:pt idx="0">
                  <c:v>Yes</c:v>
                </c:pt>
                <c:pt idx="1">
                  <c:v>No</c:v>
                </c:pt>
              </c:strCache>
            </c:strRef>
          </c:cat>
          <c:val>
            <c:numRef>
              <c:f>DEMOGRAPHICS!$K$34:$K$35</c:f>
              <c:numCache>
                <c:formatCode>General</c:formatCode>
                <c:ptCount val="2"/>
                <c:pt idx="0">
                  <c:v>53</c:v>
                </c:pt>
                <c:pt idx="1">
                  <c:v>288</c:v>
                </c:pt>
              </c:numCache>
            </c:numRef>
          </c:val>
          <c:extLst>
            <c:ext xmlns:c16="http://schemas.microsoft.com/office/drawing/2014/chart" uri="{C3380CC4-5D6E-409C-BE32-E72D297353CC}">
              <c16:uniqueId val="{00000000-3FAE-4E0D-91D6-B634902687F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84977247140103362"/>
          <c:y val="0.19821528302002595"/>
          <c:w val="8.9989510508712872E-2"/>
          <c:h val="0.18740827946077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Primary sources of income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col"/>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DEMOGRAPHICS!$Q$33:$Q$38</c:f>
              <c:strCache>
                <c:ptCount val="6"/>
                <c:pt idx="0">
                  <c:v> Fishing</c:v>
                </c:pt>
                <c:pt idx="1">
                  <c:v>Formal Employment </c:v>
                </c:pt>
                <c:pt idx="2">
                  <c:v>Formal Employment </c:v>
                </c:pt>
                <c:pt idx="3">
                  <c:v>Livestock Production</c:v>
                </c:pt>
                <c:pt idx="4">
                  <c:v>Livestock Production</c:v>
                </c:pt>
                <c:pt idx="5">
                  <c:v>Crop Production</c:v>
                </c:pt>
              </c:strCache>
            </c:strRef>
          </c:cat>
          <c:val>
            <c:numRef>
              <c:f>DEMOGRAPHICS!$R$33:$R$38</c:f>
              <c:numCache>
                <c:formatCode>General</c:formatCode>
                <c:ptCount val="6"/>
                <c:pt idx="0">
                  <c:v>94</c:v>
                </c:pt>
                <c:pt idx="1">
                  <c:v>5</c:v>
                </c:pt>
                <c:pt idx="2">
                  <c:v>1</c:v>
                </c:pt>
                <c:pt idx="3">
                  <c:v>80</c:v>
                </c:pt>
                <c:pt idx="4">
                  <c:v>1</c:v>
                </c:pt>
                <c:pt idx="5">
                  <c:v>137</c:v>
                </c:pt>
              </c:numCache>
            </c:numRef>
          </c:val>
          <c:extLst>
            <c:ext xmlns:c16="http://schemas.microsoft.com/office/drawing/2014/chart" uri="{C3380CC4-5D6E-409C-BE32-E72D297353CC}">
              <c16:uniqueId val="{00000000-B2A0-439C-ADB1-3BADE7435D69}"/>
            </c:ext>
          </c:extLst>
        </c:ser>
        <c:dLbls>
          <c:showLegendKey val="0"/>
          <c:showVal val="0"/>
          <c:showCatName val="0"/>
          <c:showSerName val="0"/>
          <c:showPercent val="0"/>
          <c:showBubbleSize val="0"/>
        </c:dLbls>
        <c:gapWidth val="219"/>
        <c:overlap val="-27"/>
        <c:axId val="781317832"/>
        <c:axId val="781322512"/>
      </c:barChart>
      <c:catAx>
        <c:axId val="781317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81322512"/>
        <c:crosses val="autoZero"/>
        <c:auto val="1"/>
        <c:lblAlgn val="ctr"/>
        <c:lblOffset val="100"/>
        <c:noMultiLvlLbl val="0"/>
      </c:catAx>
      <c:valAx>
        <c:axId val="78132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81317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Monthly Earnings from Main Livelihood Activities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barChart>
        <c:barDir val="col"/>
        <c:grouping val="clustered"/>
        <c:varyColors val="0"/>
        <c:ser>
          <c:idx val="0"/>
          <c:order val="0"/>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DEMOGRAPHICS!$B$50:$B$55</c:f>
              <c:strCache>
                <c:ptCount val="6"/>
                <c:pt idx="0">
                  <c:v>0 - K500</c:v>
                </c:pt>
                <c:pt idx="1">
                  <c:v>K600 - K1,000</c:v>
                </c:pt>
                <c:pt idx="2">
                  <c:v>K1,000 - K5,000</c:v>
                </c:pt>
                <c:pt idx="3">
                  <c:v>K6,000 - K10,000</c:v>
                </c:pt>
                <c:pt idx="4">
                  <c:v>K11,000 - K15,000</c:v>
                </c:pt>
                <c:pt idx="5">
                  <c:v>K15,000 +</c:v>
                </c:pt>
              </c:strCache>
            </c:strRef>
          </c:cat>
          <c:val>
            <c:numRef>
              <c:f>DEMOGRAPHICS!$C$50:$C$55</c:f>
              <c:numCache>
                <c:formatCode>General</c:formatCode>
                <c:ptCount val="6"/>
                <c:pt idx="0">
                  <c:v>66</c:v>
                </c:pt>
                <c:pt idx="1">
                  <c:v>17</c:v>
                </c:pt>
                <c:pt idx="2">
                  <c:v>21</c:v>
                </c:pt>
                <c:pt idx="3">
                  <c:v>13</c:v>
                </c:pt>
                <c:pt idx="4">
                  <c:v>6</c:v>
                </c:pt>
                <c:pt idx="5">
                  <c:v>14</c:v>
                </c:pt>
              </c:numCache>
            </c:numRef>
          </c:val>
          <c:extLst>
            <c:ext xmlns:c16="http://schemas.microsoft.com/office/drawing/2014/chart" uri="{C3380CC4-5D6E-409C-BE32-E72D297353CC}">
              <c16:uniqueId val="{00000000-9A5F-4E4A-95AE-0CA40C7CBA54}"/>
            </c:ext>
          </c:extLst>
        </c:ser>
        <c:dLbls>
          <c:showLegendKey val="0"/>
          <c:showVal val="0"/>
          <c:showCatName val="0"/>
          <c:showSerName val="0"/>
          <c:showPercent val="0"/>
          <c:showBubbleSize val="0"/>
        </c:dLbls>
        <c:gapWidth val="219"/>
        <c:overlap val="-27"/>
        <c:axId val="781367512"/>
        <c:axId val="781363552"/>
      </c:barChart>
      <c:catAx>
        <c:axId val="78136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81363552"/>
        <c:crosses val="autoZero"/>
        <c:auto val="1"/>
        <c:lblAlgn val="ctr"/>
        <c:lblOffset val="100"/>
        <c:noMultiLvlLbl val="0"/>
      </c:catAx>
      <c:valAx>
        <c:axId val="78136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81367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Status of Mobile/Internet Network Connection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pieChart>
        <c:varyColors val="1"/>
        <c:ser>
          <c:idx val="0"/>
          <c:order val="0"/>
          <c:spPr>
            <a:solidFill>
              <a:schemeClr val="tx2">
                <a:lumMod val="75000"/>
              </a:schemeClr>
            </a:solidFill>
          </c:spPr>
          <c:dPt>
            <c:idx val="0"/>
            <c:bubble3D val="0"/>
            <c:spPr>
              <a:solidFill>
                <a:schemeClr val="accent2"/>
              </a:solidFill>
              <a:ln>
                <a:noFill/>
              </a:ln>
              <a:effectLst/>
            </c:spPr>
            <c:extLst>
              <c:ext xmlns:c16="http://schemas.microsoft.com/office/drawing/2014/chart" uri="{C3380CC4-5D6E-409C-BE32-E72D297353CC}">
                <c16:uniqueId val="{00000001-BF5B-456D-B876-0A54CE9838BE}"/>
              </c:ext>
            </c:extLst>
          </c:dPt>
          <c:dPt>
            <c:idx val="1"/>
            <c:bubble3D val="0"/>
            <c:spPr>
              <a:solidFill>
                <a:schemeClr val="bg1">
                  <a:lumMod val="50000"/>
                </a:schemeClr>
              </a:solidFill>
              <a:ln>
                <a:noFill/>
              </a:ln>
              <a:effectLst/>
            </c:spPr>
            <c:extLst>
              <c:ext xmlns:c16="http://schemas.microsoft.com/office/drawing/2014/chart" uri="{C3380CC4-5D6E-409C-BE32-E72D297353CC}">
                <c16:uniqueId val="{00000003-BF5B-456D-B876-0A54CE9838BE}"/>
              </c:ext>
            </c:extLst>
          </c:dPt>
          <c:dPt>
            <c:idx val="2"/>
            <c:bubble3D val="0"/>
            <c:spPr>
              <a:solidFill>
                <a:schemeClr val="tx2">
                  <a:lumMod val="75000"/>
                </a:schemeClr>
              </a:solidFill>
              <a:ln>
                <a:noFill/>
              </a:ln>
              <a:effectLst/>
            </c:spPr>
            <c:extLst>
              <c:ext xmlns:c16="http://schemas.microsoft.com/office/drawing/2014/chart" uri="{C3380CC4-5D6E-409C-BE32-E72D297353CC}">
                <c16:uniqueId val="{00000004-BF5B-456D-B876-0A54CE9838BE}"/>
              </c:ext>
            </c:extLst>
          </c:dPt>
          <c:dPt>
            <c:idx val="3"/>
            <c:bubble3D val="0"/>
            <c:spPr>
              <a:solidFill>
                <a:schemeClr val="accent1">
                  <a:lumMod val="60000"/>
                  <a:lumOff val="40000"/>
                </a:schemeClr>
              </a:solidFill>
              <a:ln>
                <a:noFill/>
              </a:ln>
              <a:effectLst/>
            </c:spPr>
            <c:extLst>
              <c:ext xmlns:c16="http://schemas.microsoft.com/office/drawing/2014/chart" uri="{C3380CC4-5D6E-409C-BE32-E72D297353CC}">
                <c16:uniqueId val="{00000002-BF5B-456D-B876-0A54CE9838BE}"/>
              </c:ext>
            </c:extLst>
          </c:dPt>
          <c:dLbls>
            <c:dLbl>
              <c:idx val="0"/>
              <c:tx>
                <c:rich>
                  <a:bodyPr/>
                  <a:lstStyle/>
                  <a:p>
                    <a:fld id="{4C8DEDFD-4A3E-458F-B891-6B3CF9F0F2F9}" type="VALUE">
                      <a:rPr lang="en-US"/>
                      <a:pPr/>
                      <a:t>[VALUE]</a:t>
                    </a:fld>
                    <a:r>
                      <a:rPr lang="en-US"/>
                      <a:t> (43%)</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F5B-456D-B876-0A54CE9838BE}"/>
                </c:ext>
              </c:extLst>
            </c:dLbl>
            <c:dLbl>
              <c:idx val="1"/>
              <c:tx>
                <c:rich>
                  <a:bodyPr/>
                  <a:lstStyle/>
                  <a:p>
                    <a:fld id="{68587875-E491-41E7-95DD-FF4CD7E7B2AF}" type="VALUE">
                      <a:rPr lang="en-US"/>
                      <a:pPr/>
                      <a:t>[VALUE]</a:t>
                    </a:fld>
                    <a:r>
                      <a:rPr lang="en-US"/>
                      <a:t> (23%)</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F5B-456D-B876-0A54CE9838BE}"/>
                </c:ext>
              </c:extLst>
            </c:dLbl>
            <c:dLbl>
              <c:idx val="2"/>
              <c:layout>
                <c:manualLayout>
                  <c:x val="0"/>
                  <c:y val="1.8198505573113213E-2"/>
                </c:manualLayout>
              </c:layout>
              <c:tx>
                <c:rich>
                  <a:bodyPr/>
                  <a:lstStyle/>
                  <a:p>
                    <a:fld id="{FF495909-3C7C-4CB4-9FE8-11D8DF6CAF7F}" type="VALUE">
                      <a:rPr lang="en-US"/>
                      <a:pPr/>
                      <a:t>[VALUE]</a:t>
                    </a:fld>
                    <a:r>
                      <a:rPr lang="en-US"/>
                      <a:t> (28%)</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F5B-456D-B876-0A54CE9838BE}"/>
                </c:ext>
              </c:extLst>
            </c:dLbl>
            <c:dLbl>
              <c:idx val="3"/>
              <c:tx>
                <c:rich>
                  <a:bodyPr/>
                  <a:lstStyle/>
                  <a:p>
                    <a:fld id="{7DA2DF59-1397-43E8-B8A6-5F39AAB01827}" type="VALUE">
                      <a:rPr lang="en-US"/>
                      <a:pPr/>
                      <a:t>[VALUE]</a:t>
                    </a:fld>
                    <a:r>
                      <a:rPr lang="en-US"/>
                      <a:t> (6%)</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F5B-456D-B876-0A54CE9838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DEMOGRAPHICS!$J$53:$J$56</c:f>
              <c:strCache>
                <c:ptCount val="4"/>
                <c:pt idx="0">
                  <c:v>Good</c:v>
                </c:pt>
                <c:pt idx="1">
                  <c:v>Very good </c:v>
                </c:pt>
                <c:pt idx="2">
                  <c:v>Neautral</c:v>
                </c:pt>
                <c:pt idx="3">
                  <c:v>Poor</c:v>
                </c:pt>
              </c:strCache>
            </c:strRef>
          </c:cat>
          <c:val>
            <c:numRef>
              <c:f>DEMOGRAPHICS!$K$53:$K$56</c:f>
              <c:numCache>
                <c:formatCode>General</c:formatCode>
                <c:ptCount val="4"/>
                <c:pt idx="0">
                  <c:v>145</c:v>
                </c:pt>
                <c:pt idx="1">
                  <c:v>78</c:v>
                </c:pt>
                <c:pt idx="2">
                  <c:v>97</c:v>
                </c:pt>
                <c:pt idx="3">
                  <c:v>21</c:v>
                </c:pt>
              </c:numCache>
            </c:numRef>
          </c:val>
          <c:extLst>
            <c:ext xmlns:c16="http://schemas.microsoft.com/office/drawing/2014/chart" uri="{C3380CC4-5D6E-409C-BE32-E72D297353CC}">
              <c16:uniqueId val="{00000000-BF5B-456D-B876-0A54CE9838B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486775121543265"/>
          <c:y val="0.20078091467203776"/>
          <c:w val="0.15250773533223105"/>
          <c:h val="0.305005470313542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3B0B6517-CBCD-B1AA-0122-DCED53351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0</xdr:row>
      <xdr:rowOff>0</xdr:rowOff>
    </xdr:from>
    <xdr:to>
      <xdr:col>15</xdr:col>
      <xdr:colOff>7620</xdr:colOff>
      <xdr:row>15</xdr:row>
      <xdr:rowOff>7620</xdr:rowOff>
    </xdr:to>
    <xdr:graphicFrame macro="">
      <xdr:nvGraphicFramePr>
        <xdr:cNvPr id="3" name="Chart 2">
          <a:extLst>
            <a:ext uri="{FF2B5EF4-FFF2-40B4-BE49-F238E27FC236}">
              <a16:creationId xmlns:a16="http://schemas.microsoft.com/office/drawing/2014/main" id="{5547C555-7092-6ACD-9679-4D755F6C0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0</xdr:row>
      <xdr:rowOff>0</xdr:rowOff>
    </xdr:from>
    <xdr:to>
      <xdr:col>22</xdr:col>
      <xdr:colOff>304800</xdr:colOff>
      <xdr:row>15</xdr:row>
      <xdr:rowOff>0</xdr:rowOff>
    </xdr:to>
    <xdr:graphicFrame macro="">
      <xdr:nvGraphicFramePr>
        <xdr:cNvPr id="4" name="Chart 3">
          <a:extLst>
            <a:ext uri="{FF2B5EF4-FFF2-40B4-BE49-F238E27FC236}">
              <a16:creationId xmlns:a16="http://schemas.microsoft.com/office/drawing/2014/main" id="{FBC3C648-BA2D-7E9A-F5E6-10F440648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14</xdr:row>
      <xdr:rowOff>179070</xdr:rowOff>
    </xdr:from>
    <xdr:to>
      <xdr:col>7</xdr:col>
      <xdr:colOff>320040</xdr:colOff>
      <xdr:row>24</xdr:row>
      <xdr:rowOff>179070</xdr:rowOff>
    </xdr:to>
    <xdr:graphicFrame macro="">
      <xdr:nvGraphicFramePr>
        <xdr:cNvPr id="5" name="Chart 4">
          <a:extLst>
            <a:ext uri="{FF2B5EF4-FFF2-40B4-BE49-F238E27FC236}">
              <a16:creationId xmlns:a16="http://schemas.microsoft.com/office/drawing/2014/main" id="{338875FE-582F-FCF7-E8D7-F25895DDC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312420</xdr:colOff>
      <xdr:row>15</xdr:row>
      <xdr:rowOff>3810</xdr:rowOff>
    </xdr:from>
    <xdr:to>
      <xdr:col>15</xdr:col>
      <xdr:colOff>7620</xdr:colOff>
      <xdr:row>25</xdr:row>
      <xdr:rowOff>0</xdr:rowOff>
    </xdr:to>
    <xdr:graphicFrame macro="">
      <xdr:nvGraphicFramePr>
        <xdr:cNvPr id="6" name="Chart 5">
          <a:extLst>
            <a:ext uri="{FF2B5EF4-FFF2-40B4-BE49-F238E27FC236}">
              <a16:creationId xmlns:a16="http://schemas.microsoft.com/office/drawing/2014/main" id="{0A56CE7B-A54D-F4BA-CEA0-2BCEEBA81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7620</xdr:colOff>
      <xdr:row>15</xdr:row>
      <xdr:rowOff>3810</xdr:rowOff>
    </xdr:from>
    <xdr:to>
      <xdr:col>22</xdr:col>
      <xdr:colOff>312420</xdr:colOff>
      <xdr:row>25</xdr:row>
      <xdr:rowOff>0</xdr:rowOff>
    </xdr:to>
    <xdr:graphicFrame macro="">
      <xdr:nvGraphicFramePr>
        <xdr:cNvPr id="7" name="Chart 6">
          <a:extLst>
            <a:ext uri="{FF2B5EF4-FFF2-40B4-BE49-F238E27FC236}">
              <a16:creationId xmlns:a16="http://schemas.microsoft.com/office/drawing/2014/main" id="{B7248470-17D7-CFB2-23C4-0A933BD37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24</xdr:row>
      <xdr:rowOff>179070</xdr:rowOff>
    </xdr:from>
    <xdr:to>
      <xdr:col>7</xdr:col>
      <xdr:colOff>304800</xdr:colOff>
      <xdr:row>39</xdr:row>
      <xdr:rowOff>179070</xdr:rowOff>
    </xdr:to>
    <xdr:graphicFrame macro="">
      <xdr:nvGraphicFramePr>
        <xdr:cNvPr id="8" name="Chart 7">
          <a:extLst>
            <a:ext uri="{FF2B5EF4-FFF2-40B4-BE49-F238E27FC236}">
              <a16:creationId xmlns:a16="http://schemas.microsoft.com/office/drawing/2014/main" id="{13BBDC5D-301C-CD13-8044-22259DD66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312420</xdr:colOff>
      <xdr:row>25</xdr:row>
      <xdr:rowOff>11430</xdr:rowOff>
    </xdr:from>
    <xdr:to>
      <xdr:col>15</xdr:col>
      <xdr:colOff>15240</xdr:colOff>
      <xdr:row>39</xdr:row>
      <xdr:rowOff>167640</xdr:rowOff>
    </xdr:to>
    <xdr:graphicFrame macro="">
      <xdr:nvGraphicFramePr>
        <xdr:cNvPr id="9" name="Chart 8">
          <a:extLst>
            <a:ext uri="{FF2B5EF4-FFF2-40B4-BE49-F238E27FC236}">
              <a16:creationId xmlns:a16="http://schemas.microsoft.com/office/drawing/2014/main" id="{9DF284B1-4BC1-2092-27FD-0A4AB4CA4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25</xdr:row>
      <xdr:rowOff>11430</xdr:rowOff>
    </xdr:from>
    <xdr:to>
      <xdr:col>22</xdr:col>
      <xdr:colOff>327660</xdr:colOff>
      <xdr:row>39</xdr:row>
      <xdr:rowOff>160020</xdr:rowOff>
    </xdr:to>
    <xdr:graphicFrame macro="">
      <xdr:nvGraphicFramePr>
        <xdr:cNvPr id="10" name="Chart 9">
          <a:extLst>
            <a:ext uri="{FF2B5EF4-FFF2-40B4-BE49-F238E27FC236}">
              <a16:creationId xmlns:a16="http://schemas.microsoft.com/office/drawing/2014/main" id="{204C94B6-14AB-C2A0-BEF1-3AAD99A1A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40</xdr:row>
      <xdr:rowOff>13304</xdr:rowOff>
    </xdr:from>
    <xdr:to>
      <xdr:col>7</xdr:col>
      <xdr:colOff>338667</xdr:colOff>
      <xdr:row>50</xdr:row>
      <xdr:rowOff>22981</xdr:rowOff>
    </xdr:to>
    <xdr:graphicFrame macro="">
      <xdr:nvGraphicFramePr>
        <xdr:cNvPr id="11" name="Chart 10">
          <a:extLst>
            <a:ext uri="{FF2B5EF4-FFF2-40B4-BE49-F238E27FC236}">
              <a16:creationId xmlns:a16="http://schemas.microsoft.com/office/drawing/2014/main" id="{0AB00FD9-04BB-AFC5-DC65-7E2B06542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321236</xdr:colOff>
      <xdr:row>40</xdr:row>
      <xdr:rowOff>16150</xdr:rowOff>
    </xdr:from>
    <xdr:to>
      <xdr:col>15</xdr:col>
      <xdr:colOff>55140</xdr:colOff>
      <xdr:row>50</xdr:row>
      <xdr:rowOff>25827</xdr:rowOff>
    </xdr:to>
    <xdr:graphicFrame macro="">
      <xdr:nvGraphicFramePr>
        <xdr:cNvPr id="12" name="Chart 11">
          <a:extLst>
            <a:ext uri="{FF2B5EF4-FFF2-40B4-BE49-F238E27FC236}">
              <a16:creationId xmlns:a16="http://schemas.microsoft.com/office/drawing/2014/main" id="{99D21AB6-7FB7-C999-26E0-729C41229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58615</xdr:colOff>
      <xdr:row>39</xdr:row>
      <xdr:rowOff>171939</xdr:rowOff>
    </xdr:from>
    <xdr:to>
      <xdr:col>22</xdr:col>
      <xdr:colOff>390769</xdr:colOff>
      <xdr:row>49</xdr:row>
      <xdr:rowOff>150446</xdr:rowOff>
    </xdr:to>
    <xdr:graphicFrame macro="">
      <xdr:nvGraphicFramePr>
        <xdr:cNvPr id="13" name="Chart 12">
          <a:extLst>
            <a:ext uri="{FF2B5EF4-FFF2-40B4-BE49-F238E27FC236}">
              <a16:creationId xmlns:a16="http://schemas.microsoft.com/office/drawing/2014/main" id="{2FCA5A96-AC61-728E-4EAD-5D86E947D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311059</xdr:colOff>
      <xdr:row>50</xdr:row>
      <xdr:rowOff>29361</xdr:rowOff>
    </xdr:from>
    <xdr:to>
      <xdr:col>15</xdr:col>
      <xdr:colOff>29234</xdr:colOff>
      <xdr:row>66</xdr:row>
      <xdr:rowOff>12915</xdr:rowOff>
    </xdr:to>
    <xdr:graphicFrame macro="">
      <xdr:nvGraphicFramePr>
        <xdr:cNvPr id="14" name="Chart 13">
          <a:extLst>
            <a:ext uri="{FF2B5EF4-FFF2-40B4-BE49-F238E27FC236}">
              <a16:creationId xmlns:a16="http://schemas.microsoft.com/office/drawing/2014/main" id="{CCEDD8AA-8D6B-CA2B-2375-8D34B44B2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13953</xdr:colOff>
      <xdr:row>50</xdr:row>
      <xdr:rowOff>820</xdr:rowOff>
    </xdr:from>
    <xdr:to>
      <xdr:col>7</xdr:col>
      <xdr:colOff>294398</xdr:colOff>
      <xdr:row>65</xdr:row>
      <xdr:rowOff>167898</xdr:rowOff>
    </xdr:to>
    <xdr:graphicFrame macro="">
      <xdr:nvGraphicFramePr>
        <xdr:cNvPr id="15" name="Chart 14">
          <a:extLst>
            <a:ext uri="{FF2B5EF4-FFF2-40B4-BE49-F238E27FC236}">
              <a16:creationId xmlns:a16="http://schemas.microsoft.com/office/drawing/2014/main" id="{158AE940-7DC7-6160-B95C-918BD91EF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xdr:rowOff>
    </xdr:from>
    <xdr:to>
      <xdr:col>7</xdr:col>
      <xdr:colOff>304800</xdr:colOff>
      <xdr:row>10</xdr:row>
      <xdr:rowOff>11430</xdr:rowOff>
    </xdr:to>
    <xdr:graphicFrame macro="">
      <xdr:nvGraphicFramePr>
        <xdr:cNvPr id="2" name="Chart 1">
          <a:extLst>
            <a:ext uri="{FF2B5EF4-FFF2-40B4-BE49-F238E27FC236}">
              <a16:creationId xmlns:a16="http://schemas.microsoft.com/office/drawing/2014/main" id="{19E168B2-82F4-F1BE-3D82-ADFB3C5CB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295963</xdr:colOff>
      <xdr:row>0</xdr:row>
      <xdr:rowOff>0</xdr:rowOff>
    </xdr:from>
    <xdr:to>
      <xdr:col>14</xdr:col>
      <xdr:colOff>600763</xdr:colOff>
      <xdr:row>10</xdr:row>
      <xdr:rowOff>15240</xdr:rowOff>
    </xdr:to>
    <xdr:graphicFrame macro="">
      <xdr:nvGraphicFramePr>
        <xdr:cNvPr id="3" name="Chart 2">
          <a:extLst>
            <a:ext uri="{FF2B5EF4-FFF2-40B4-BE49-F238E27FC236}">
              <a16:creationId xmlns:a16="http://schemas.microsoft.com/office/drawing/2014/main" id="{88155124-DF3E-022E-C1F4-502AC30D0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99060</xdr:colOff>
      <xdr:row>0</xdr:row>
      <xdr:rowOff>3810</xdr:rowOff>
    </xdr:from>
    <xdr:to>
      <xdr:col>7</xdr:col>
      <xdr:colOff>403860</xdr:colOff>
      <xdr:row>15</xdr:row>
      <xdr:rowOff>3810</xdr:rowOff>
    </xdr:to>
    <xdr:graphicFrame macro="">
      <xdr:nvGraphicFramePr>
        <xdr:cNvPr id="2" name="Chart 1">
          <a:extLst>
            <a:ext uri="{FF2B5EF4-FFF2-40B4-BE49-F238E27FC236}">
              <a16:creationId xmlns:a16="http://schemas.microsoft.com/office/drawing/2014/main" id="{AF7FF9F0-796F-D6DE-3802-1A35CE0FB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55590306-C376-D72B-446B-2031111D4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0</xdr:row>
      <xdr:rowOff>0</xdr:rowOff>
    </xdr:from>
    <xdr:to>
      <xdr:col>14</xdr:col>
      <xdr:colOff>601980</xdr:colOff>
      <xdr:row>15</xdr:row>
      <xdr:rowOff>0</xdr:rowOff>
    </xdr:to>
    <xdr:graphicFrame macro="">
      <xdr:nvGraphicFramePr>
        <xdr:cNvPr id="3" name="Chart 2">
          <a:extLst>
            <a:ext uri="{FF2B5EF4-FFF2-40B4-BE49-F238E27FC236}">
              <a16:creationId xmlns:a16="http://schemas.microsoft.com/office/drawing/2014/main" id="{229D162A-00D8-82BF-274B-34124AC45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0</xdr:row>
      <xdr:rowOff>0</xdr:rowOff>
    </xdr:from>
    <xdr:to>
      <xdr:col>22</xdr:col>
      <xdr:colOff>304800</xdr:colOff>
      <xdr:row>15</xdr:row>
      <xdr:rowOff>0</xdr:rowOff>
    </xdr:to>
    <xdr:graphicFrame macro="">
      <xdr:nvGraphicFramePr>
        <xdr:cNvPr id="4" name="Chart 3">
          <a:extLst>
            <a:ext uri="{FF2B5EF4-FFF2-40B4-BE49-F238E27FC236}">
              <a16:creationId xmlns:a16="http://schemas.microsoft.com/office/drawing/2014/main" id="{E5A5C0C4-CFA7-3F75-796A-EFD828B79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171137</xdr:rowOff>
    </xdr:from>
    <xdr:to>
      <xdr:col>7</xdr:col>
      <xdr:colOff>287311</xdr:colOff>
      <xdr:row>30</xdr:row>
      <xdr:rowOff>16239</xdr:rowOff>
    </xdr:to>
    <xdr:graphicFrame macro="">
      <xdr:nvGraphicFramePr>
        <xdr:cNvPr id="5" name="Chart 4">
          <a:extLst>
            <a:ext uri="{FF2B5EF4-FFF2-40B4-BE49-F238E27FC236}">
              <a16:creationId xmlns:a16="http://schemas.microsoft.com/office/drawing/2014/main" id="{3C35F7CE-43E6-DEF2-2494-43B065816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287311</xdr:colOff>
      <xdr:row>15</xdr:row>
      <xdr:rowOff>8744</xdr:rowOff>
    </xdr:from>
    <xdr:to>
      <xdr:col>14</xdr:col>
      <xdr:colOff>574623</xdr:colOff>
      <xdr:row>30</xdr:row>
      <xdr:rowOff>34977</xdr:rowOff>
    </xdr:to>
    <xdr:graphicFrame macro="">
      <xdr:nvGraphicFramePr>
        <xdr:cNvPr id="6" name="Chart 5">
          <a:extLst>
            <a:ext uri="{FF2B5EF4-FFF2-40B4-BE49-F238E27FC236}">
              <a16:creationId xmlns:a16="http://schemas.microsoft.com/office/drawing/2014/main" id="{8956C8AC-69DD-EB64-85E6-D7A01C869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576810</xdr:colOff>
      <xdr:row>14</xdr:row>
      <xdr:rowOff>184158</xdr:rowOff>
    </xdr:from>
    <xdr:to>
      <xdr:col>22</xdr:col>
      <xdr:colOff>307869</xdr:colOff>
      <xdr:row>30</xdr:row>
      <xdr:rowOff>54877</xdr:rowOff>
    </xdr:to>
    <xdr:graphicFrame macro="">
      <xdr:nvGraphicFramePr>
        <xdr:cNvPr id="8" name="Chart 7">
          <a:extLst>
            <a:ext uri="{FF2B5EF4-FFF2-40B4-BE49-F238E27FC236}">
              <a16:creationId xmlns:a16="http://schemas.microsoft.com/office/drawing/2014/main" id="{EB01E330-5CD5-AC9C-2991-C1AD9724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34963</xdr:colOff>
      <xdr:row>30</xdr:row>
      <xdr:rowOff>47213</xdr:rowOff>
    </xdr:from>
    <xdr:to>
      <xdr:col>7</xdr:col>
      <xdr:colOff>339763</xdr:colOff>
      <xdr:row>45</xdr:row>
      <xdr:rowOff>101002</xdr:rowOff>
    </xdr:to>
    <xdr:graphicFrame macro="">
      <xdr:nvGraphicFramePr>
        <xdr:cNvPr id="9" name="Chart 8">
          <a:extLst>
            <a:ext uri="{FF2B5EF4-FFF2-40B4-BE49-F238E27FC236}">
              <a16:creationId xmlns:a16="http://schemas.microsoft.com/office/drawing/2014/main" id="{93ABAB34-D320-C3BA-7F9F-A31ACC185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325120</xdr:colOff>
      <xdr:row>30</xdr:row>
      <xdr:rowOff>50800</xdr:rowOff>
    </xdr:from>
    <xdr:to>
      <xdr:col>15</xdr:col>
      <xdr:colOff>20320</xdr:colOff>
      <xdr:row>45</xdr:row>
      <xdr:rowOff>98612</xdr:rowOff>
    </xdr:to>
    <xdr:graphicFrame macro="">
      <xdr:nvGraphicFramePr>
        <xdr:cNvPr id="10" name="Chart 9">
          <a:extLst>
            <a:ext uri="{FF2B5EF4-FFF2-40B4-BE49-F238E27FC236}">
              <a16:creationId xmlns:a16="http://schemas.microsoft.com/office/drawing/2014/main" id="{3D11B31B-0462-B099-0198-4FFA959CE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563782</xdr:colOff>
      <xdr:row>30</xdr:row>
      <xdr:rowOff>71717</xdr:rowOff>
    </xdr:from>
    <xdr:to>
      <xdr:col>22</xdr:col>
      <xdr:colOff>261804</xdr:colOff>
      <xdr:row>45</xdr:row>
      <xdr:rowOff>98612</xdr:rowOff>
    </xdr:to>
    <xdr:graphicFrame macro="">
      <xdr:nvGraphicFramePr>
        <xdr:cNvPr id="11" name="Chart 10">
          <a:extLst>
            <a:ext uri="{FF2B5EF4-FFF2-40B4-BE49-F238E27FC236}">
              <a16:creationId xmlns:a16="http://schemas.microsoft.com/office/drawing/2014/main" id="{63D7FD05-07BB-8AF3-2DB7-F0F7E8806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58271</xdr:colOff>
      <xdr:row>45</xdr:row>
      <xdr:rowOff>107577</xdr:rowOff>
    </xdr:from>
    <xdr:to>
      <xdr:col>7</xdr:col>
      <xdr:colOff>363071</xdr:colOff>
      <xdr:row>60</xdr:row>
      <xdr:rowOff>107577</xdr:rowOff>
    </xdr:to>
    <xdr:graphicFrame macro="">
      <xdr:nvGraphicFramePr>
        <xdr:cNvPr id="12" name="Chart 11">
          <a:extLst>
            <a:ext uri="{FF2B5EF4-FFF2-40B4-BE49-F238E27FC236}">
              <a16:creationId xmlns:a16="http://schemas.microsoft.com/office/drawing/2014/main" id="{6594D5EB-12CB-55E9-7812-B97CDFBCB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381392</xdr:colOff>
      <xdr:row>45</xdr:row>
      <xdr:rowOff>85096</xdr:rowOff>
    </xdr:from>
    <xdr:to>
      <xdr:col>15</xdr:col>
      <xdr:colOff>115296</xdr:colOff>
      <xdr:row>60</xdr:row>
      <xdr:rowOff>58487</xdr:rowOff>
    </xdr:to>
    <xdr:graphicFrame macro="">
      <xdr:nvGraphicFramePr>
        <xdr:cNvPr id="13" name="Chart 12">
          <a:extLst>
            <a:ext uri="{FF2B5EF4-FFF2-40B4-BE49-F238E27FC236}">
              <a16:creationId xmlns:a16="http://schemas.microsoft.com/office/drawing/2014/main" id="{12BC1ADF-83F5-8684-3720-03A466101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E82D-6649-4F55-B62F-86A71319FA7D}">
  <sheetPr filterMode="1"/>
  <dimension ref="A1:FZ370"/>
  <sheetViews>
    <sheetView topLeftCell="BX1" zoomScale="70" zoomScaleNormal="70" workbookViewId="0">
      <pane ySplit="1" topLeftCell="A158" activePane="bottomLeft" state="frozen"/>
      <selection activeCell="AI1" sqref="AI1"/>
      <selection pane="bottomLeft" activeCell="CK142" sqref="A1:FZ342"/>
    </sheetView>
  </sheetViews>
  <sheetFormatPr defaultRowHeight="14.4" x14ac:dyDescent="0.3"/>
  <cols>
    <col min="1" max="2" width="11.21875" bestFit="1" customWidth="1"/>
    <col min="9" max="10" width="9" bestFit="1" customWidth="1"/>
    <col min="15" max="18" width="9" bestFit="1" customWidth="1"/>
    <col min="21" max="21" width="9" bestFit="1" customWidth="1"/>
    <col min="24" max="24" width="9" bestFit="1" customWidth="1"/>
    <col min="25" max="25" width="12.44140625" customWidth="1"/>
    <col min="26" max="26" width="9" bestFit="1" customWidth="1"/>
    <col min="31" max="31" width="20.109375" customWidth="1"/>
    <col min="33" max="33" width="9" bestFit="1" customWidth="1"/>
    <col min="36" max="36" width="9" bestFit="1" customWidth="1"/>
    <col min="37" max="37" width="48.77734375" customWidth="1"/>
    <col min="41" max="41" width="56.88671875" customWidth="1"/>
    <col min="42" max="42" width="45.5546875" customWidth="1"/>
    <col min="43" max="43" width="16.6640625" customWidth="1"/>
    <col min="68" max="68" width="22.6640625" customWidth="1"/>
    <col min="84" max="84" width="29.6640625" customWidth="1"/>
    <col min="85" max="85" width="18.44140625" customWidth="1"/>
    <col min="106" max="106" width="11.6640625" customWidth="1"/>
    <col min="110" max="110" width="15" customWidth="1"/>
    <col min="173" max="173" width="12.88671875" bestFit="1" customWidth="1"/>
    <col min="175" max="175" width="13.33203125" bestFit="1" customWidth="1"/>
  </cols>
  <sheetData>
    <row r="1" spans="1:182" ht="86.4" x14ac:dyDescent="0.3">
      <c r="A1" t="s">
        <v>0</v>
      </c>
      <c r="B1" t="s">
        <v>1</v>
      </c>
      <c r="C1" t="s">
        <v>3806</v>
      </c>
      <c r="D1" t="s">
        <v>2</v>
      </c>
      <c r="E1" t="s">
        <v>3</v>
      </c>
      <c r="F1" t="s">
        <v>4</v>
      </c>
      <c r="G1" t="s">
        <v>5</v>
      </c>
      <c r="H1" t="s">
        <v>6</v>
      </c>
      <c r="I1" t="s">
        <v>7</v>
      </c>
      <c r="J1" t="s">
        <v>8</v>
      </c>
      <c r="K1" t="s">
        <v>9</v>
      </c>
      <c r="L1" t="s">
        <v>10</v>
      </c>
      <c r="M1" t="s">
        <v>11</v>
      </c>
      <c r="N1" t="s">
        <v>12</v>
      </c>
      <c r="O1" t="s">
        <v>13</v>
      </c>
      <c r="P1" t="s">
        <v>14</v>
      </c>
      <c r="Q1" t="s">
        <v>15</v>
      </c>
      <c r="R1" t="s">
        <v>16</v>
      </c>
      <c r="S1" s="11" t="s">
        <v>17</v>
      </c>
      <c r="T1" s="8" t="s">
        <v>18</v>
      </c>
      <c r="U1" s="8" t="s">
        <v>3807</v>
      </c>
      <c r="V1" s="8" t="s">
        <v>19</v>
      </c>
      <c r="W1" s="7" t="s">
        <v>20</v>
      </c>
      <c r="X1" s="8" t="s">
        <v>4119</v>
      </c>
      <c r="Y1" s="8" t="s">
        <v>4134</v>
      </c>
      <c r="Z1" s="8" t="s">
        <v>4133</v>
      </c>
      <c r="AA1" s="7" t="s">
        <v>4177</v>
      </c>
      <c r="AB1" s="8" t="s">
        <v>3808</v>
      </c>
      <c r="AC1" s="8" t="s">
        <v>3809</v>
      </c>
      <c r="AD1" s="8" t="s">
        <v>21</v>
      </c>
      <c r="AE1" s="8" t="s">
        <v>3810</v>
      </c>
      <c r="AF1" s="9" t="s">
        <v>22</v>
      </c>
      <c r="AG1" s="11" t="s">
        <v>3811</v>
      </c>
      <c r="AH1" s="7" t="s">
        <v>3812</v>
      </c>
      <c r="AI1" s="8" t="s">
        <v>23</v>
      </c>
      <c r="AJ1" s="8" t="s">
        <v>3813</v>
      </c>
      <c r="AK1" s="8" t="s">
        <v>3814</v>
      </c>
      <c r="AL1" s="8" t="s">
        <v>4135</v>
      </c>
      <c r="AM1" s="8" t="s">
        <v>3815</v>
      </c>
      <c r="AN1" s="8" t="s">
        <v>24</v>
      </c>
      <c r="AO1" s="7" t="s">
        <v>4136</v>
      </c>
      <c r="AP1" s="7" t="s">
        <v>3816</v>
      </c>
      <c r="AQ1" s="7" t="s">
        <v>3817</v>
      </c>
      <c r="AR1" s="7" t="s">
        <v>25</v>
      </c>
      <c r="AS1" s="8" t="s">
        <v>4144</v>
      </c>
      <c r="AT1" s="8" t="s">
        <v>4145</v>
      </c>
      <c r="AU1" s="8" t="s">
        <v>4146</v>
      </c>
      <c r="AV1" s="8" t="s">
        <v>4147</v>
      </c>
      <c r="AW1" s="8" t="s">
        <v>4149</v>
      </c>
      <c r="AX1" s="8" t="s">
        <v>4148</v>
      </c>
      <c r="AY1" s="8"/>
      <c r="AZ1" s="8" t="s">
        <v>3818</v>
      </c>
      <c r="BA1" s="8" t="s">
        <v>4137</v>
      </c>
      <c r="BB1" s="8" t="s">
        <v>3819</v>
      </c>
      <c r="BC1" s="8" t="s">
        <v>26</v>
      </c>
      <c r="BD1" s="8" t="s">
        <v>27</v>
      </c>
      <c r="BE1" s="8" t="s">
        <v>4143</v>
      </c>
      <c r="BF1" s="8" t="s">
        <v>3820</v>
      </c>
      <c r="BG1" s="8" t="s">
        <v>3821</v>
      </c>
      <c r="BH1" s="4" t="s">
        <v>3822</v>
      </c>
      <c r="BI1" s="7" t="s">
        <v>28</v>
      </c>
      <c r="BJ1" s="7" t="s">
        <v>29</v>
      </c>
      <c r="BK1" s="7" t="s">
        <v>30</v>
      </c>
      <c r="BL1" s="7" t="s">
        <v>4123</v>
      </c>
      <c r="BM1" s="7" t="s">
        <v>31</v>
      </c>
      <c r="BN1" s="7" t="s">
        <v>4124</v>
      </c>
      <c r="BO1" s="7" t="s">
        <v>32</v>
      </c>
      <c r="BP1" s="7" t="s">
        <v>4125</v>
      </c>
      <c r="BQ1" s="7" t="s">
        <v>33</v>
      </c>
      <c r="BR1" s="7" t="s">
        <v>4126</v>
      </c>
      <c r="BS1" s="7" t="s">
        <v>34</v>
      </c>
      <c r="BT1" s="7" t="s">
        <v>4127</v>
      </c>
      <c r="BU1" s="7" t="s">
        <v>35</v>
      </c>
      <c r="BV1" s="7" t="s">
        <v>4128</v>
      </c>
      <c r="BW1" s="7" t="s">
        <v>36</v>
      </c>
      <c r="BX1" s="7" t="s">
        <v>4129</v>
      </c>
      <c r="BY1" s="8" t="s">
        <v>37</v>
      </c>
      <c r="BZ1" s="8" t="s">
        <v>3823</v>
      </c>
      <c r="CA1" s="8" t="s">
        <v>38</v>
      </c>
      <c r="CB1" s="8" t="s">
        <v>39</v>
      </c>
      <c r="CC1" s="8" t="s">
        <v>40</v>
      </c>
      <c r="CD1" s="13" t="s">
        <v>4214</v>
      </c>
      <c r="CE1" s="8" t="s">
        <v>3824</v>
      </c>
      <c r="CF1" s="8" t="s">
        <v>3825</v>
      </c>
      <c r="CG1" s="8" t="s">
        <v>41</v>
      </c>
      <c r="CH1" s="8" t="s">
        <v>4151</v>
      </c>
      <c r="CI1" s="8" t="s">
        <v>42</v>
      </c>
      <c r="CJ1" t="s">
        <v>4258</v>
      </c>
      <c r="CK1" t="s">
        <v>43</v>
      </c>
      <c r="CL1" t="s">
        <v>4262</v>
      </c>
      <c r="CM1" s="8" t="s">
        <v>44</v>
      </c>
      <c r="CN1" s="8" t="s">
        <v>4213</v>
      </c>
      <c r="CO1" s="24" t="s">
        <v>45</v>
      </c>
      <c r="CP1" s="2" t="s">
        <v>4254</v>
      </c>
      <c r="CQ1" s="8" t="s">
        <v>3826</v>
      </c>
      <c r="CR1" s="8" t="s">
        <v>46</v>
      </c>
      <c r="CS1" s="8" t="s">
        <v>47</v>
      </c>
      <c r="CT1" s="8" t="s">
        <v>48</v>
      </c>
      <c r="CU1" s="8" t="s">
        <v>49</v>
      </c>
      <c r="CV1" s="8" t="s">
        <v>50</v>
      </c>
      <c r="CW1" s="8" t="s">
        <v>4142</v>
      </c>
      <c r="CX1" s="9" t="s">
        <v>51</v>
      </c>
      <c r="CY1" s="2" t="s">
        <v>52</v>
      </c>
      <c r="CZ1" s="8" t="s">
        <v>3827</v>
      </c>
      <c r="DA1" s="8" t="s">
        <v>53</v>
      </c>
      <c r="DB1" s="8" t="s">
        <v>3828</v>
      </c>
      <c r="DC1" s="8" t="s">
        <v>54</v>
      </c>
      <c r="DD1" s="8" t="s">
        <v>24</v>
      </c>
      <c r="DE1" s="8" t="s">
        <v>4138</v>
      </c>
      <c r="DF1" s="8" t="s">
        <v>4141</v>
      </c>
      <c r="DG1" s="8" t="s">
        <v>55</v>
      </c>
      <c r="DH1" s="8" t="s">
        <v>4139</v>
      </c>
      <c r="DI1" s="8" t="s">
        <v>56</v>
      </c>
      <c r="DJ1" s="8" t="s">
        <v>57</v>
      </c>
      <c r="DK1" s="8" t="s">
        <v>41</v>
      </c>
      <c r="DL1" s="8" t="s">
        <v>58</v>
      </c>
      <c r="DM1" s="8" t="s">
        <v>59</v>
      </c>
      <c r="DN1" s="8" t="s">
        <v>60</v>
      </c>
      <c r="DO1" s="8" t="s">
        <v>61</v>
      </c>
      <c r="DP1" s="8" t="s">
        <v>4152</v>
      </c>
      <c r="DQ1" s="8" t="s">
        <v>62</v>
      </c>
      <c r="DR1" s="8" t="s">
        <v>24</v>
      </c>
      <c r="DS1" s="8" t="s">
        <v>3829</v>
      </c>
      <c r="DT1" s="8" t="s">
        <v>4120</v>
      </c>
      <c r="DU1" s="8" t="s">
        <v>63</v>
      </c>
      <c r="DV1" s="8" t="s">
        <v>3830</v>
      </c>
      <c r="DW1" s="8" t="s">
        <v>64</v>
      </c>
      <c r="DX1" s="8" t="s">
        <v>3831</v>
      </c>
      <c r="DY1" t="s">
        <v>3832</v>
      </c>
      <c r="DZ1" t="s">
        <v>65</v>
      </c>
      <c r="EA1" t="s">
        <v>66</v>
      </c>
      <c r="EB1" t="s">
        <v>3833</v>
      </c>
      <c r="EC1" t="s">
        <v>3834</v>
      </c>
      <c r="ED1" t="s">
        <v>3835</v>
      </c>
      <c r="EE1" t="s">
        <v>3836</v>
      </c>
      <c r="EF1" t="s">
        <v>3837</v>
      </c>
      <c r="EG1" t="s">
        <v>3838</v>
      </c>
      <c r="EH1" t="s">
        <v>3839</v>
      </c>
      <c r="EI1" t="s">
        <v>3840</v>
      </c>
      <c r="EJ1" t="s">
        <v>3841</v>
      </c>
      <c r="EK1" t="s">
        <v>3842</v>
      </c>
      <c r="EL1" t="s">
        <v>3843</v>
      </c>
      <c r="EM1" t="s">
        <v>3844</v>
      </c>
      <c r="EN1" t="s">
        <v>3845</v>
      </c>
      <c r="EO1" t="s">
        <v>3846</v>
      </c>
      <c r="EP1" t="s">
        <v>3847</v>
      </c>
      <c r="EQ1" t="s">
        <v>3848</v>
      </c>
      <c r="ER1" t="s">
        <v>3849</v>
      </c>
      <c r="ES1" t="s">
        <v>3850</v>
      </c>
      <c r="ET1" t="s">
        <v>3851</v>
      </c>
      <c r="EU1" t="s">
        <v>3852</v>
      </c>
      <c r="EV1" t="s">
        <v>4118</v>
      </c>
      <c r="EW1" t="s">
        <v>3853</v>
      </c>
      <c r="EX1" t="s">
        <v>3854</v>
      </c>
      <c r="EY1" t="s">
        <v>3855</v>
      </c>
      <c r="EZ1" t="s">
        <v>3856</v>
      </c>
      <c r="FA1" t="s">
        <v>67</v>
      </c>
      <c r="FB1" t="s">
        <v>68</v>
      </c>
      <c r="FC1" t="s">
        <v>69</v>
      </c>
      <c r="FD1" t="s">
        <v>70</v>
      </c>
      <c r="FE1" t="s">
        <v>3857</v>
      </c>
      <c r="FF1" t="s">
        <v>71</v>
      </c>
      <c r="FG1" t="s">
        <v>3858</v>
      </c>
      <c r="FH1" t="s">
        <v>3859</v>
      </c>
      <c r="FI1" t="s">
        <v>3860</v>
      </c>
      <c r="FJ1" t="s">
        <v>3861</v>
      </c>
      <c r="FK1" t="s">
        <v>3862</v>
      </c>
      <c r="FL1" t="s">
        <v>3863</v>
      </c>
      <c r="FM1" t="s">
        <v>3864</v>
      </c>
      <c r="FN1" t="s">
        <v>72</v>
      </c>
      <c r="FO1" t="s">
        <v>73</v>
      </c>
      <c r="FP1" t="s">
        <v>3865</v>
      </c>
      <c r="FQ1" t="s">
        <v>74</v>
      </c>
      <c r="FR1" t="s">
        <v>75</v>
      </c>
      <c r="FS1" t="s">
        <v>76</v>
      </c>
      <c r="FT1" t="s">
        <v>77</v>
      </c>
      <c r="FU1" t="s">
        <v>78</v>
      </c>
      <c r="FV1" t="s">
        <v>79</v>
      </c>
      <c r="FW1" t="s">
        <v>80</v>
      </c>
      <c r="FX1" t="s">
        <v>81</v>
      </c>
      <c r="FY1" t="s">
        <v>82</v>
      </c>
      <c r="FZ1" t="s">
        <v>83</v>
      </c>
    </row>
    <row r="2" spans="1:182" hidden="1" x14ac:dyDescent="0.3">
      <c r="A2" s="1">
        <v>45929.550248425927</v>
      </c>
      <c r="B2" s="1">
        <v>45929.567178726851</v>
      </c>
      <c r="D2" t="s">
        <v>84</v>
      </c>
      <c r="E2" t="s">
        <v>901</v>
      </c>
      <c r="F2" t="s">
        <v>3486</v>
      </c>
      <c r="G2" t="s">
        <v>176</v>
      </c>
      <c r="H2" t="s">
        <v>4122</v>
      </c>
      <c r="I2" t="s">
        <v>3487</v>
      </c>
      <c r="J2" t="s">
        <v>3488</v>
      </c>
      <c r="K2" t="s">
        <v>90</v>
      </c>
      <c r="L2" t="s">
        <v>4093</v>
      </c>
      <c r="M2" t="s">
        <v>277</v>
      </c>
      <c r="N2" t="s">
        <v>3489</v>
      </c>
      <c r="O2">
        <v>-15.3960306</v>
      </c>
      <c r="P2">
        <v>23.0405649</v>
      </c>
      <c r="Q2">
        <v>972.643798828125</v>
      </c>
      <c r="R2">
        <v>33.93</v>
      </c>
      <c r="S2" t="s">
        <v>84</v>
      </c>
      <c r="T2" t="s">
        <v>182</v>
      </c>
      <c r="U2">
        <v>8</v>
      </c>
      <c r="V2" t="s">
        <v>95</v>
      </c>
      <c r="W2" t="s">
        <v>907</v>
      </c>
      <c r="X2">
        <v>19</v>
      </c>
      <c r="Y2">
        <v>12</v>
      </c>
      <c r="Z2">
        <v>0.7</v>
      </c>
      <c r="AA2" t="s">
        <v>96</v>
      </c>
      <c r="AB2" t="s">
        <v>351</v>
      </c>
      <c r="AC2" t="s">
        <v>98</v>
      </c>
      <c r="AD2" t="s">
        <v>99</v>
      </c>
      <c r="AE2" t="s">
        <v>101</v>
      </c>
      <c r="AF2" t="s">
        <v>907</v>
      </c>
      <c r="AG2">
        <v>200</v>
      </c>
      <c r="AH2" t="s">
        <v>3873</v>
      </c>
      <c r="AI2" t="s">
        <v>907</v>
      </c>
      <c r="AJ2" t="s">
        <v>907</v>
      </c>
      <c r="AK2" t="s">
        <v>102</v>
      </c>
      <c r="AL2" t="s">
        <v>907</v>
      </c>
      <c r="AM2" t="s">
        <v>4130</v>
      </c>
      <c r="AN2" t="s">
        <v>907</v>
      </c>
      <c r="AQ2" t="s">
        <v>909</v>
      </c>
      <c r="AR2" t="s">
        <v>95</v>
      </c>
      <c r="AS2">
        <v>0</v>
      </c>
      <c r="AT2">
        <v>0</v>
      </c>
      <c r="AU2">
        <v>0</v>
      </c>
      <c r="AV2">
        <v>0</v>
      </c>
      <c r="AW2">
        <v>0</v>
      </c>
      <c r="AX2">
        <v>0</v>
      </c>
      <c r="AY2">
        <v>0</v>
      </c>
      <c r="AZ2" t="s">
        <v>929</v>
      </c>
      <c r="BA2" t="s">
        <v>95</v>
      </c>
      <c r="BB2" t="s">
        <v>308</v>
      </c>
      <c r="BC2" t="s">
        <v>907</v>
      </c>
      <c r="BD2" t="s">
        <v>107</v>
      </c>
      <c r="BE2" t="s">
        <v>258</v>
      </c>
      <c r="BF2" t="s">
        <v>2131</v>
      </c>
      <c r="BG2" t="s">
        <v>156</v>
      </c>
      <c r="BH2">
        <v>45</v>
      </c>
      <c r="BL2">
        <v>34</v>
      </c>
      <c r="BN2">
        <v>1</v>
      </c>
      <c r="BP2">
        <v>0</v>
      </c>
      <c r="BR2">
        <v>0</v>
      </c>
      <c r="BT2">
        <v>5</v>
      </c>
      <c r="BV2">
        <v>0</v>
      </c>
      <c r="BX2">
        <v>5</v>
      </c>
      <c r="BY2" t="s">
        <v>110</v>
      </c>
      <c r="BZ2" t="s">
        <v>907</v>
      </c>
      <c r="CA2" t="s">
        <v>907</v>
      </c>
      <c r="CB2" t="s">
        <v>84</v>
      </c>
      <c r="CC2" t="s">
        <v>84</v>
      </c>
      <c r="CD2" t="s">
        <v>334</v>
      </c>
      <c r="CE2" t="s">
        <v>4252</v>
      </c>
      <c r="CF2" t="s">
        <v>4094</v>
      </c>
      <c r="CG2" t="s">
        <v>907</v>
      </c>
      <c r="CH2">
        <v>0</v>
      </c>
      <c r="CI2" t="s">
        <v>84</v>
      </c>
      <c r="CJ2" t="s">
        <v>546</v>
      </c>
      <c r="CK2" t="s">
        <v>84</v>
      </c>
      <c r="CL2" t="s">
        <v>263</v>
      </c>
      <c r="CM2" t="s">
        <v>193</v>
      </c>
      <c r="CN2" t="s">
        <v>421</v>
      </c>
      <c r="CO2" t="s">
        <v>95</v>
      </c>
      <c r="CP2" t="s">
        <v>466</v>
      </c>
      <c r="CQ2" t="s">
        <v>116</v>
      </c>
      <c r="CR2" t="s">
        <v>95</v>
      </c>
      <c r="CS2" t="s">
        <v>907</v>
      </c>
      <c r="CT2" t="s">
        <v>907</v>
      </c>
      <c r="CU2" t="s">
        <v>907</v>
      </c>
      <c r="CV2" t="s">
        <v>812</v>
      </c>
      <c r="CW2" t="s">
        <v>907</v>
      </c>
      <c r="CX2" t="s">
        <v>166</v>
      </c>
      <c r="CY2" t="s">
        <v>167</v>
      </c>
      <c r="CZ2" t="s">
        <v>696</v>
      </c>
      <c r="DA2">
        <v>0</v>
      </c>
      <c r="DB2" s="10">
        <v>0</v>
      </c>
      <c r="DC2" t="s">
        <v>169</v>
      </c>
      <c r="DD2" t="s">
        <v>907</v>
      </c>
      <c r="DE2">
        <v>2</v>
      </c>
      <c r="DF2">
        <v>15</v>
      </c>
      <c r="DG2" t="s">
        <v>95</v>
      </c>
      <c r="DH2" t="s">
        <v>95</v>
      </c>
      <c r="DI2" t="s">
        <v>907</v>
      </c>
      <c r="DJ2" t="s">
        <v>907</v>
      </c>
      <c r="DK2" t="s">
        <v>907</v>
      </c>
      <c r="DL2" t="s">
        <v>907</v>
      </c>
      <c r="DM2" t="s">
        <v>291</v>
      </c>
      <c r="DN2" t="s">
        <v>907</v>
      </c>
      <c r="DO2" t="s">
        <v>907</v>
      </c>
      <c r="DP2">
        <v>0</v>
      </c>
      <c r="DQ2" t="s">
        <v>202</v>
      </c>
      <c r="DR2" t="s">
        <v>907</v>
      </c>
      <c r="DS2" t="s">
        <v>996</v>
      </c>
      <c r="DT2" t="s">
        <v>3431</v>
      </c>
      <c r="DU2" t="s">
        <v>84</v>
      </c>
      <c r="DV2" t="s">
        <v>532</v>
      </c>
      <c r="DW2" t="s">
        <v>533</v>
      </c>
      <c r="DX2" t="s">
        <v>95</v>
      </c>
      <c r="FQ2">
        <v>569779460</v>
      </c>
      <c r="FR2" t="s">
        <v>3490</v>
      </c>
      <c r="FS2" s="1">
        <v>45930.259016203701</v>
      </c>
      <c r="FV2" t="s">
        <v>134</v>
      </c>
      <c r="FW2" t="s">
        <v>135</v>
      </c>
      <c r="FX2" t="s">
        <v>136</v>
      </c>
      <c r="FZ2">
        <v>552</v>
      </c>
    </row>
    <row r="3" spans="1:182" hidden="1" x14ac:dyDescent="0.3">
      <c r="A3" s="1">
        <v>45930.43969378472</v>
      </c>
      <c r="B3" s="1">
        <v>45930.45980704861</v>
      </c>
      <c r="D3" t="s">
        <v>84</v>
      </c>
      <c r="E3" t="s">
        <v>901</v>
      </c>
      <c r="F3" t="s">
        <v>3566</v>
      </c>
      <c r="G3" t="s">
        <v>176</v>
      </c>
      <c r="H3" t="s">
        <v>4122</v>
      </c>
      <c r="I3" t="s">
        <v>3567</v>
      </c>
      <c r="J3" t="s">
        <v>3568</v>
      </c>
      <c r="K3" t="s">
        <v>90</v>
      </c>
      <c r="L3" t="s">
        <v>3569</v>
      </c>
      <c r="M3" t="s">
        <v>3523</v>
      </c>
      <c r="N3" t="s">
        <v>3570</v>
      </c>
      <c r="O3">
        <v>-15.2422968</v>
      </c>
      <c r="P3">
        <v>22.877400099999999</v>
      </c>
      <c r="Q3">
        <v>1052.906860351562</v>
      </c>
      <c r="R3">
        <v>6.4429999999999996</v>
      </c>
      <c r="S3" t="s">
        <v>84</v>
      </c>
      <c r="T3" t="s">
        <v>182</v>
      </c>
      <c r="U3">
        <v>5</v>
      </c>
      <c r="V3" t="s">
        <v>95</v>
      </c>
      <c r="W3" t="s">
        <v>907</v>
      </c>
      <c r="X3">
        <v>37</v>
      </c>
      <c r="Y3">
        <v>16</v>
      </c>
      <c r="Z3">
        <v>5</v>
      </c>
      <c r="AA3" t="s">
        <v>96</v>
      </c>
      <c r="AB3" t="s">
        <v>351</v>
      </c>
      <c r="AC3" t="s">
        <v>98</v>
      </c>
      <c r="AD3" t="s">
        <v>252</v>
      </c>
      <c r="AE3" t="s">
        <v>101</v>
      </c>
      <c r="AF3" t="s">
        <v>907</v>
      </c>
      <c r="AG3">
        <v>3000</v>
      </c>
      <c r="AH3" t="s">
        <v>3873</v>
      </c>
      <c r="AI3" t="s">
        <v>907</v>
      </c>
      <c r="AJ3" t="s">
        <v>907</v>
      </c>
      <c r="AK3" t="s">
        <v>102</v>
      </c>
      <c r="AL3" t="s">
        <v>907</v>
      </c>
      <c r="AM3" t="s">
        <v>4130</v>
      </c>
      <c r="AN3" t="s">
        <v>907</v>
      </c>
      <c r="AQ3" t="s">
        <v>3571</v>
      </c>
      <c r="AR3" t="s">
        <v>95</v>
      </c>
      <c r="AS3">
        <v>0</v>
      </c>
      <c r="AT3">
        <v>0</v>
      </c>
      <c r="AU3">
        <v>0</v>
      </c>
      <c r="AV3">
        <v>0</v>
      </c>
      <c r="AW3">
        <v>0</v>
      </c>
      <c r="AX3">
        <v>0</v>
      </c>
      <c r="AY3">
        <v>0</v>
      </c>
      <c r="AZ3" t="s">
        <v>629</v>
      </c>
      <c r="BA3" t="s">
        <v>95</v>
      </c>
      <c r="BB3" t="s">
        <v>308</v>
      </c>
      <c r="BC3" t="s">
        <v>907</v>
      </c>
      <c r="BD3" t="s">
        <v>107</v>
      </c>
      <c r="BE3" t="s">
        <v>258</v>
      </c>
      <c r="BF3" t="s">
        <v>3572</v>
      </c>
      <c r="BG3" t="s">
        <v>790</v>
      </c>
      <c r="BH3">
        <v>40</v>
      </c>
      <c r="BL3">
        <v>25</v>
      </c>
      <c r="BN3">
        <v>1</v>
      </c>
      <c r="BP3">
        <v>0</v>
      </c>
      <c r="BR3">
        <v>0</v>
      </c>
      <c r="BT3">
        <v>6</v>
      </c>
      <c r="BV3">
        <v>0</v>
      </c>
      <c r="BX3">
        <v>8</v>
      </c>
      <c r="BY3" t="s">
        <v>110</v>
      </c>
      <c r="BZ3" t="s">
        <v>907</v>
      </c>
      <c r="CA3" t="s">
        <v>907</v>
      </c>
      <c r="CB3" t="s">
        <v>84</v>
      </c>
      <c r="CC3" t="s">
        <v>84</v>
      </c>
      <c r="CD3" t="s">
        <v>811</v>
      </c>
      <c r="CE3" t="s">
        <v>4249</v>
      </c>
      <c r="CF3" t="s">
        <v>3573</v>
      </c>
      <c r="CG3" t="s">
        <v>907</v>
      </c>
      <c r="CH3">
        <v>0</v>
      </c>
      <c r="CI3" t="s">
        <v>95</v>
      </c>
      <c r="CJ3" t="s">
        <v>907</v>
      </c>
      <c r="CK3" s="2" t="s">
        <v>95</v>
      </c>
      <c r="CL3" t="s">
        <v>263</v>
      </c>
      <c r="CM3" t="s">
        <v>547</v>
      </c>
      <c r="CN3" t="s">
        <v>421</v>
      </c>
      <c r="CO3" t="s">
        <v>95</v>
      </c>
      <c r="CP3" t="s">
        <v>4255</v>
      </c>
      <c r="CQ3" t="s">
        <v>116</v>
      </c>
      <c r="CR3" t="s">
        <v>95</v>
      </c>
      <c r="CS3" t="s">
        <v>907</v>
      </c>
      <c r="CT3" t="s">
        <v>907</v>
      </c>
      <c r="CU3" t="s">
        <v>907</v>
      </c>
      <c r="CV3" t="s">
        <v>812</v>
      </c>
      <c r="CW3" t="s">
        <v>439</v>
      </c>
      <c r="CX3" t="s">
        <v>166</v>
      </c>
      <c r="CY3" t="s">
        <v>167</v>
      </c>
      <c r="CZ3" t="s">
        <v>439</v>
      </c>
      <c r="DA3">
        <v>0</v>
      </c>
      <c r="DB3" s="10">
        <v>0</v>
      </c>
      <c r="DC3" t="s">
        <v>169</v>
      </c>
      <c r="DD3" t="s">
        <v>907</v>
      </c>
      <c r="DE3">
        <v>1</v>
      </c>
      <c r="DF3">
        <v>25</v>
      </c>
      <c r="DG3" t="s">
        <v>95</v>
      </c>
      <c r="DH3" t="s">
        <v>95</v>
      </c>
      <c r="DI3" t="s">
        <v>907</v>
      </c>
      <c r="DJ3" t="s">
        <v>907</v>
      </c>
      <c r="DK3" t="s">
        <v>907</v>
      </c>
      <c r="DL3" t="s">
        <v>907</v>
      </c>
      <c r="DM3" t="s">
        <v>125</v>
      </c>
      <c r="DN3" t="s">
        <v>200</v>
      </c>
      <c r="DO3" t="s">
        <v>3574</v>
      </c>
      <c r="DP3">
        <v>0</v>
      </c>
      <c r="DQ3" t="s">
        <v>202</v>
      </c>
      <c r="DR3" t="s">
        <v>907</v>
      </c>
      <c r="DS3" t="s">
        <v>2972</v>
      </c>
      <c r="DT3" t="s">
        <v>1889</v>
      </c>
      <c r="DU3" t="s">
        <v>84</v>
      </c>
      <c r="DV3" t="s">
        <v>532</v>
      </c>
      <c r="DW3" t="s">
        <v>370</v>
      </c>
      <c r="DX3" t="s">
        <v>84</v>
      </c>
      <c r="FQ3">
        <v>569919395</v>
      </c>
      <c r="FR3" t="s">
        <v>3575</v>
      </c>
      <c r="FS3" s="1">
        <v>45930.39744212963</v>
      </c>
      <c r="FV3" t="s">
        <v>134</v>
      </c>
      <c r="FW3" t="s">
        <v>135</v>
      </c>
      <c r="FX3" t="s">
        <v>136</v>
      </c>
      <c r="FZ3">
        <v>560</v>
      </c>
    </row>
    <row r="4" spans="1:182" hidden="1" x14ac:dyDescent="0.3">
      <c r="A4" s="1">
        <v>45926.618211053239</v>
      </c>
      <c r="B4" s="1">
        <v>45926.633948634262</v>
      </c>
      <c r="D4" t="s">
        <v>84</v>
      </c>
      <c r="E4" t="s">
        <v>85</v>
      </c>
      <c r="F4" t="s">
        <v>2783</v>
      </c>
      <c r="G4" t="s">
        <v>176</v>
      </c>
      <c r="H4" t="s">
        <v>4122</v>
      </c>
      <c r="I4" t="s">
        <v>2784</v>
      </c>
      <c r="J4" t="s">
        <v>2785</v>
      </c>
      <c r="K4" t="s">
        <v>90</v>
      </c>
      <c r="L4" t="s">
        <v>2752</v>
      </c>
      <c r="M4" t="s">
        <v>2753</v>
      </c>
      <c r="N4" t="s">
        <v>2786</v>
      </c>
      <c r="O4">
        <v>-15.2357049</v>
      </c>
      <c r="P4">
        <v>23.023570299999999</v>
      </c>
      <c r="Q4">
        <v>1041.362182617188</v>
      </c>
      <c r="R4">
        <v>4.2249999999999996</v>
      </c>
      <c r="S4" t="s">
        <v>84</v>
      </c>
      <c r="T4" t="s">
        <v>182</v>
      </c>
      <c r="U4">
        <v>9</v>
      </c>
      <c r="V4" t="s">
        <v>95</v>
      </c>
      <c r="W4" t="s">
        <v>907</v>
      </c>
      <c r="X4">
        <v>30</v>
      </c>
      <c r="Y4">
        <v>50</v>
      </c>
      <c r="Z4">
        <v>5</v>
      </c>
      <c r="AA4" t="s">
        <v>96</v>
      </c>
      <c r="AB4" t="s">
        <v>351</v>
      </c>
      <c r="AC4" t="s">
        <v>98</v>
      </c>
      <c r="AD4" t="s">
        <v>99</v>
      </c>
      <c r="AE4" t="s">
        <v>100</v>
      </c>
      <c r="AF4" t="s">
        <v>907</v>
      </c>
      <c r="AG4">
        <v>0</v>
      </c>
      <c r="AH4" t="s">
        <v>147</v>
      </c>
      <c r="AI4" t="s">
        <v>907</v>
      </c>
      <c r="AJ4" s="5">
        <v>0</v>
      </c>
      <c r="AK4" t="s">
        <v>102</v>
      </c>
      <c r="AL4" t="s">
        <v>907</v>
      </c>
      <c r="AM4" t="s">
        <v>466</v>
      </c>
      <c r="AN4" t="s">
        <v>907</v>
      </c>
      <c r="AO4">
        <v>0</v>
      </c>
      <c r="AP4">
        <v>0</v>
      </c>
      <c r="AQ4" t="s">
        <v>907</v>
      </c>
      <c r="AR4" t="s">
        <v>95</v>
      </c>
      <c r="AS4">
        <v>0</v>
      </c>
      <c r="AT4">
        <v>0</v>
      </c>
      <c r="AU4">
        <v>0</v>
      </c>
      <c r="AV4">
        <v>0</v>
      </c>
      <c r="AW4">
        <v>0</v>
      </c>
      <c r="AX4">
        <v>0</v>
      </c>
      <c r="AY4">
        <v>0</v>
      </c>
      <c r="AZ4" t="s">
        <v>284</v>
      </c>
      <c r="BA4" t="s">
        <v>95</v>
      </c>
      <c r="BB4" t="s">
        <v>3866</v>
      </c>
      <c r="BC4" t="s">
        <v>907</v>
      </c>
      <c r="BD4" t="s">
        <v>107</v>
      </c>
      <c r="BE4" t="s">
        <v>810</v>
      </c>
      <c r="BF4" t="s">
        <v>4010</v>
      </c>
      <c r="BG4" t="s">
        <v>235</v>
      </c>
      <c r="BH4">
        <v>42</v>
      </c>
      <c r="BY4" t="s">
        <v>189</v>
      </c>
      <c r="BZ4">
        <v>3</v>
      </c>
      <c r="CA4">
        <v>7</v>
      </c>
      <c r="CB4" t="s">
        <v>84</v>
      </c>
      <c r="CC4" t="s">
        <v>84</v>
      </c>
      <c r="CD4" t="s">
        <v>2787</v>
      </c>
      <c r="CE4" t="s">
        <v>4250</v>
      </c>
      <c r="CF4" t="s">
        <v>2788</v>
      </c>
      <c r="CG4" t="s">
        <v>907</v>
      </c>
      <c r="CH4">
        <v>0</v>
      </c>
      <c r="CI4" t="s">
        <v>84</v>
      </c>
      <c r="CJ4" t="s">
        <v>586</v>
      </c>
      <c r="CK4" t="s">
        <v>289</v>
      </c>
      <c r="CL4" t="s">
        <v>4262</v>
      </c>
      <c r="CM4" t="s">
        <v>115</v>
      </c>
      <c r="CN4" t="s">
        <v>3993</v>
      </c>
      <c r="CO4" t="s">
        <v>95</v>
      </c>
      <c r="CP4" t="s">
        <v>355</v>
      </c>
      <c r="CQ4" t="s">
        <v>116</v>
      </c>
      <c r="CR4" t="s">
        <v>84</v>
      </c>
      <c r="CS4" t="s">
        <v>117</v>
      </c>
      <c r="CT4" t="s">
        <v>118</v>
      </c>
      <c r="CU4" t="s">
        <v>3869</v>
      </c>
      <c r="CV4" t="s">
        <v>119</v>
      </c>
      <c r="CW4" t="s">
        <v>2789</v>
      </c>
      <c r="CX4" t="s">
        <v>166</v>
      </c>
      <c r="CY4" t="s">
        <v>549</v>
      </c>
      <c r="CZ4" t="s">
        <v>2452</v>
      </c>
      <c r="DA4">
        <v>0</v>
      </c>
      <c r="DB4" s="10">
        <v>0</v>
      </c>
      <c r="DC4" t="s">
        <v>169</v>
      </c>
      <c r="DD4" t="s">
        <v>907</v>
      </c>
      <c r="DE4">
        <v>10</v>
      </c>
      <c r="DF4">
        <v>25</v>
      </c>
      <c r="DG4" t="s">
        <v>95</v>
      </c>
      <c r="DH4" t="s">
        <v>95</v>
      </c>
      <c r="DI4" t="s">
        <v>907</v>
      </c>
      <c r="DJ4" t="s">
        <v>907</v>
      </c>
      <c r="DK4" t="s">
        <v>907</v>
      </c>
      <c r="DL4" t="s">
        <v>907</v>
      </c>
      <c r="DM4" t="s">
        <v>125</v>
      </c>
      <c r="DN4" t="s">
        <v>2386</v>
      </c>
      <c r="DO4" t="s">
        <v>2790</v>
      </c>
      <c r="DP4">
        <v>6</v>
      </c>
      <c r="DQ4" t="s">
        <v>128</v>
      </c>
      <c r="DR4" t="s">
        <v>907</v>
      </c>
      <c r="DS4" t="s">
        <v>2791</v>
      </c>
      <c r="DT4" t="s">
        <v>369</v>
      </c>
      <c r="DU4" t="s">
        <v>84</v>
      </c>
      <c r="DV4" t="s">
        <v>225</v>
      </c>
      <c r="DW4" t="s">
        <v>533</v>
      </c>
      <c r="DX4" t="s">
        <v>95</v>
      </c>
      <c r="FQ4">
        <v>567424887</v>
      </c>
      <c r="FR4" t="s">
        <v>2792</v>
      </c>
      <c r="FS4" s="1">
        <v>45926.550995370373</v>
      </c>
      <c r="FV4" t="s">
        <v>134</v>
      </c>
      <c r="FW4" t="s">
        <v>135</v>
      </c>
      <c r="FX4" t="s">
        <v>136</v>
      </c>
      <c r="FZ4">
        <v>402</v>
      </c>
    </row>
    <row r="5" spans="1:182" hidden="1" x14ac:dyDescent="0.3">
      <c r="A5" s="1">
        <v>45925.594451469908</v>
      </c>
      <c r="B5" s="1">
        <v>45925.606053807867</v>
      </c>
      <c r="D5" t="s">
        <v>84</v>
      </c>
      <c r="E5" t="s">
        <v>497</v>
      </c>
      <c r="F5" t="s">
        <v>2064</v>
      </c>
      <c r="G5" t="s">
        <v>176</v>
      </c>
      <c r="H5" t="s">
        <v>4122</v>
      </c>
      <c r="I5" t="s">
        <v>2065</v>
      </c>
      <c r="J5" t="s">
        <v>2066</v>
      </c>
      <c r="K5" t="s">
        <v>90</v>
      </c>
      <c r="L5" t="s">
        <v>1992</v>
      </c>
      <c r="M5" t="s">
        <v>2005</v>
      </c>
      <c r="N5" t="s">
        <v>2067</v>
      </c>
      <c r="O5">
        <v>-15.164671800000001</v>
      </c>
      <c r="P5">
        <v>22.997702499999999</v>
      </c>
      <c r="Q5">
        <v>1030.290405273438</v>
      </c>
      <c r="R5">
        <v>4.8609999999999998</v>
      </c>
      <c r="S5" t="s">
        <v>84</v>
      </c>
      <c r="T5" t="s">
        <v>182</v>
      </c>
      <c r="U5">
        <v>6</v>
      </c>
      <c r="V5" t="s">
        <v>95</v>
      </c>
      <c r="W5" t="s">
        <v>907</v>
      </c>
      <c r="X5">
        <v>7</v>
      </c>
      <c r="Y5">
        <v>0.5</v>
      </c>
      <c r="Z5">
        <v>0.5</v>
      </c>
      <c r="AA5" t="s">
        <v>96</v>
      </c>
      <c r="AB5" t="s">
        <v>351</v>
      </c>
      <c r="AC5" t="s">
        <v>98</v>
      </c>
      <c r="AD5" t="s">
        <v>280</v>
      </c>
      <c r="AE5" t="s">
        <v>101</v>
      </c>
      <c r="AF5" t="s">
        <v>907</v>
      </c>
      <c r="AG5">
        <v>200</v>
      </c>
      <c r="AH5" t="s">
        <v>214</v>
      </c>
      <c r="AI5" t="s">
        <v>907</v>
      </c>
      <c r="AJ5" s="5">
        <v>0</v>
      </c>
      <c r="AK5" t="s">
        <v>102</v>
      </c>
      <c r="AL5" t="s">
        <v>907</v>
      </c>
      <c r="AM5" t="s">
        <v>4130</v>
      </c>
      <c r="AN5" t="s">
        <v>907</v>
      </c>
      <c r="AQ5" t="s">
        <v>909</v>
      </c>
      <c r="AR5" t="s">
        <v>95</v>
      </c>
      <c r="AS5">
        <v>0</v>
      </c>
      <c r="AT5">
        <v>0</v>
      </c>
      <c r="AU5">
        <v>0</v>
      </c>
      <c r="AV5">
        <v>0</v>
      </c>
      <c r="AW5">
        <v>0</v>
      </c>
      <c r="AX5">
        <v>0</v>
      </c>
      <c r="AY5">
        <v>0</v>
      </c>
      <c r="AZ5" t="s">
        <v>929</v>
      </c>
      <c r="BA5" t="s">
        <v>95</v>
      </c>
      <c r="BB5" t="s">
        <v>154</v>
      </c>
      <c r="BC5" t="s">
        <v>907</v>
      </c>
      <c r="BD5" t="s">
        <v>107</v>
      </c>
      <c r="BE5" t="s">
        <v>363</v>
      </c>
      <c r="BF5" t="s">
        <v>1900</v>
      </c>
      <c r="BG5" t="s">
        <v>790</v>
      </c>
      <c r="BH5">
        <v>32</v>
      </c>
      <c r="BL5">
        <v>18</v>
      </c>
      <c r="BN5">
        <v>1</v>
      </c>
      <c r="BP5">
        <v>7</v>
      </c>
      <c r="BX5">
        <v>6</v>
      </c>
      <c r="BY5" t="s">
        <v>189</v>
      </c>
      <c r="BZ5">
        <v>2</v>
      </c>
      <c r="CA5">
        <v>0</v>
      </c>
      <c r="CB5" t="s">
        <v>84</v>
      </c>
      <c r="CC5" t="s">
        <v>84</v>
      </c>
      <c r="CD5" t="s">
        <v>2034</v>
      </c>
      <c r="CE5" t="s">
        <v>4250</v>
      </c>
      <c r="CF5" t="s">
        <v>3974</v>
      </c>
      <c r="CG5" t="s">
        <v>907</v>
      </c>
      <c r="CH5">
        <v>0</v>
      </c>
      <c r="CI5" t="s">
        <v>84</v>
      </c>
      <c r="CJ5" t="s">
        <v>160</v>
      </c>
      <c r="CK5" t="s">
        <v>289</v>
      </c>
      <c r="CL5" t="s">
        <v>263</v>
      </c>
      <c r="CM5" t="s">
        <v>162</v>
      </c>
      <c r="CN5" t="s">
        <v>3874</v>
      </c>
      <c r="CO5" t="s">
        <v>95</v>
      </c>
      <c r="CP5" s="13" t="s">
        <v>4256</v>
      </c>
      <c r="CQ5" t="s">
        <v>116</v>
      </c>
      <c r="CR5" t="s">
        <v>84</v>
      </c>
      <c r="CS5" t="s">
        <v>117</v>
      </c>
      <c r="CT5" t="s">
        <v>907</v>
      </c>
      <c r="CU5" t="s">
        <v>438</v>
      </c>
      <c r="CV5" t="s">
        <v>812</v>
      </c>
      <c r="CW5" t="s">
        <v>196</v>
      </c>
      <c r="CX5" t="s">
        <v>290</v>
      </c>
      <c r="CY5" t="s">
        <v>907</v>
      </c>
      <c r="CZ5" t="s">
        <v>907</v>
      </c>
      <c r="DA5" t="s">
        <v>907</v>
      </c>
      <c r="DB5" t="s">
        <v>907</v>
      </c>
      <c r="DC5" t="s">
        <v>907</v>
      </c>
      <c r="DD5" t="s">
        <v>907</v>
      </c>
      <c r="DE5" t="s">
        <v>907</v>
      </c>
      <c r="DF5" t="s">
        <v>907</v>
      </c>
      <c r="DG5" t="s">
        <v>95</v>
      </c>
      <c r="DH5" t="s">
        <v>95</v>
      </c>
      <c r="DI5" t="s">
        <v>907</v>
      </c>
      <c r="DJ5" t="s">
        <v>907</v>
      </c>
      <c r="DK5" t="s">
        <v>907</v>
      </c>
      <c r="DL5" t="s">
        <v>907</v>
      </c>
      <c r="DM5" t="s">
        <v>291</v>
      </c>
      <c r="DN5" t="s">
        <v>907</v>
      </c>
      <c r="DO5" t="s">
        <v>907</v>
      </c>
      <c r="DP5">
        <v>2</v>
      </c>
      <c r="DQ5" t="s">
        <v>128</v>
      </c>
      <c r="DR5" t="s">
        <v>907</v>
      </c>
      <c r="DS5" t="s">
        <v>2068</v>
      </c>
      <c r="DT5" t="s">
        <v>2069</v>
      </c>
      <c r="DU5" t="s">
        <v>84</v>
      </c>
      <c r="DV5" t="s">
        <v>294</v>
      </c>
      <c r="DW5" t="s">
        <v>1120</v>
      </c>
      <c r="DX5" t="s">
        <v>95</v>
      </c>
      <c r="FQ5">
        <v>566860820</v>
      </c>
      <c r="FR5" t="s">
        <v>2070</v>
      </c>
      <c r="FS5" s="1">
        <v>45925.72828703704</v>
      </c>
      <c r="FV5" t="s">
        <v>134</v>
      </c>
      <c r="FW5" t="s">
        <v>135</v>
      </c>
      <c r="FX5" t="s">
        <v>136</v>
      </c>
      <c r="FZ5">
        <v>302</v>
      </c>
    </row>
    <row r="6" spans="1:182" x14ac:dyDescent="0.3">
      <c r="A6" s="1">
        <v>45923.58047760417</v>
      </c>
      <c r="B6" s="1">
        <v>45923.596020185178</v>
      </c>
      <c r="D6" t="s">
        <v>84</v>
      </c>
      <c r="E6" t="s">
        <v>901</v>
      </c>
      <c r="F6" t="s">
        <v>3912</v>
      </c>
      <c r="G6" t="s">
        <v>176</v>
      </c>
      <c r="H6" t="s">
        <v>4122</v>
      </c>
      <c r="I6" t="s">
        <v>1019</v>
      </c>
      <c r="J6" t="s">
        <v>1020</v>
      </c>
      <c r="K6" t="s">
        <v>90</v>
      </c>
      <c r="L6" t="s">
        <v>3913</v>
      </c>
      <c r="M6" t="s">
        <v>1021</v>
      </c>
      <c r="N6" t="s">
        <v>1022</v>
      </c>
      <c r="O6">
        <v>-15.472989999999999</v>
      </c>
      <c r="P6">
        <v>23.169353300000001</v>
      </c>
      <c r="Q6">
        <v>1020.1</v>
      </c>
      <c r="R6">
        <v>4.7</v>
      </c>
      <c r="S6" t="s">
        <v>84</v>
      </c>
      <c r="T6" t="s">
        <v>182</v>
      </c>
      <c r="U6">
        <v>12</v>
      </c>
      <c r="V6" t="s">
        <v>95</v>
      </c>
      <c r="W6" t="s">
        <v>907</v>
      </c>
      <c r="X6">
        <v>30</v>
      </c>
      <c r="Y6">
        <v>6</v>
      </c>
      <c r="Z6">
        <v>6</v>
      </c>
      <c r="AA6" t="s">
        <v>504</v>
      </c>
      <c r="AB6" t="s">
        <v>351</v>
      </c>
      <c r="AC6" t="s">
        <v>98</v>
      </c>
      <c r="AD6" t="s">
        <v>145</v>
      </c>
      <c r="AE6" t="s">
        <v>304</v>
      </c>
      <c r="AF6" t="s">
        <v>907</v>
      </c>
      <c r="AG6">
        <v>0</v>
      </c>
      <c r="AH6" t="s">
        <v>147</v>
      </c>
      <c r="AI6" t="s">
        <v>907</v>
      </c>
      <c r="AJ6" s="5">
        <v>0</v>
      </c>
      <c r="AK6" t="s">
        <v>102</v>
      </c>
      <c r="AL6" t="s">
        <v>907</v>
      </c>
      <c r="AM6" t="s">
        <v>149</v>
      </c>
      <c r="AN6" t="s">
        <v>907</v>
      </c>
      <c r="AO6" t="s">
        <v>267</v>
      </c>
      <c r="AP6" t="s">
        <v>1023</v>
      </c>
      <c r="AQ6" t="s">
        <v>149</v>
      </c>
      <c r="AR6" t="s">
        <v>95</v>
      </c>
      <c r="AS6">
        <v>0</v>
      </c>
      <c r="AT6">
        <v>0</v>
      </c>
      <c r="AU6">
        <v>0</v>
      </c>
      <c r="AV6">
        <v>4</v>
      </c>
      <c r="AW6">
        <v>5</v>
      </c>
      <c r="AX6">
        <v>0</v>
      </c>
      <c r="AY6">
        <v>0</v>
      </c>
      <c r="AZ6" t="s">
        <v>106</v>
      </c>
      <c r="BA6" t="s">
        <v>95</v>
      </c>
      <c r="BB6" t="s">
        <v>308</v>
      </c>
      <c r="BC6" t="s">
        <v>907</v>
      </c>
      <c r="BD6" t="s">
        <v>95</v>
      </c>
      <c r="BE6" t="s">
        <v>363</v>
      </c>
      <c r="BF6" t="s">
        <v>1024</v>
      </c>
      <c r="BG6" t="s">
        <v>790</v>
      </c>
      <c r="BH6">
        <v>33</v>
      </c>
      <c r="BL6">
        <v>19</v>
      </c>
      <c r="BN6">
        <v>1</v>
      </c>
      <c r="BP6">
        <v>0</v>
      </c>
      <c r="BR6">
        <v>0</v>
      </c>
      <c r="BT6">
        <v>4</v>
      </c>
      <c r="BV6">
        <v>4</v>
      </c>
      <c r="BX6">
        <v>5</v>
      </c>
      <c r="BY6" t="s">
        <v>110</v>
      </c>
      <c r="BZ6" t="s">
        <v>907</v>
      </c>
      <c r="CA6" t="s">
        <v>907</v>
      </c>
      <c r="CB6" t="s">
        <v>84</v>
      </c>
      <c r="CC6" t="s">
        <v>84</v>
      </c>
      <c r="CD6" t="s">
        <v>822</v>
      </c>
      <c r="CE6" t="s">
        <v>4250</v>
      </c>
      <c r="CF6" t="s">
        <v>1025</v>
      </c>
      <c r="CG6" t="s">
        <v>907</v>
      </c>
      <c r="CH6">
        <v>0</v>
      </c>
      <c r="CI6" t="s">
        <v>84</v>
      </c>
      <c r="CJ6" t="s">
        <v>262</v>
      </c>
      <c r="CK6" t="s">
        <v>289</v>
      </c>
      <c r="CL6" t="s">
        <v>367</v>
      </c>
      <c r="CM6" t="s">
        <v>115</v>
      </c>
      <c r="CN6" t="s">
        <v>421</v>
      </c>
      <c r="CO6" t="s">
        <v>95</v>
      </c>
      <c r="CP6" t="s">
        <v>907</v>
      </c>
      <c r="CQ6" t="s">
        <v>116</v>
      </c>
      <c r="CR6" t="s">
        <v>84</v>
      </c>
      <c r="CS6" t="s">
        <v>117</v>
      </c>
      <c r="CT6" t="s">
        <v>163</v>
      </c>
      <c r="CU6" t="s">
        <v>3869</v>
      </c>
      <c r="CV6" t="s">
        <v>119</v>
      </c>
      <c r="CW6" t="s">
        <v>696</v>
      </c>
      <c r="CX6" t="s">
        <v>166</v>
      </c>
      <c r="CY6" t="s">
        <v>167</v>
      </c>
      <c r="CZ6" t="s">
        <v>696</v>
      </c>
      <c r="DA6">
        <v>0</v>
      </c>
      <c r="DB6" s="10">
        <v>0</v>
      </c>
      <c r="DC6" t="s">
        <v>169</v>
      </c>
      <c r="DD6" t="s">
        <v>907</v>
      </c>
      <c r="DE6">
        <v>2</v>
      </c>
      <c r="DF6">
        <v>25</v>
      </c>
      <c r="DG6" t="s">
        <v>95</v>
      </c>
      <c r="DH6" t="s">
        <v>95</v>
      </c>
      <c r="DI6" t="s">
        <v>907</v>
      </c>
      <c r="DJ6" t="s">
        <v>907</v>
      </c>
      <c r="DK6" t="s">
        <v>907</v>
      </c>
      <c r="DL6" t="s">
        <v>907</v>
      </c>
      <c r="DM6" t="s">
        <v>291</v>
      </c>
      <c r="DN6" t="s">
        <v>907</v>
      </c>
      <c r="DO6" t="s">
        <v>907</v>
      </c>
      <c r="DP6">
        <v>6</v>
      </c>
      <c r="DQ6" t="s">
        <v>441</v>
      </c>
      <c r="DR6" t="s">
        <v>907</v>
      </c>
      <c r="DS6" t="s">
        <v>917</v>
      </c>
      <c r="DT6" t="s">
        <v>1026</v>
      </c>
      <c r="DU6" t="s">
        <v>84</v>
      </c>
      <c r="DV6" t="s">
        <v>131</v>
      </c>
      <c r="DW6" t="s">
        <v>533</v>
      </c>
      <c r="DX6" t="s">
        <v>95</v>
      </c>
      <c r="FQ6">
        <v>565935518</v>
      </c>
      <c r="FR6" t="s">
        <v>1027</v>
      </c>
      <c r="FS6" s="1">
        <v>45924.666400462957</v>
      </c>
      <c r="FV6" t="s">
        <v>134</v>
      </c>
      <c r="FW6" t="s">
        <v>135</v>
      </c>
      <c r="FX6" t="s">
        <v>136</v>
      </c>
      <c r="FZ6">
        <v>188</v>
      </c>
    </row>
    <row r="7" spans="1:182" hidden="1" x14ac:dyDescent="0.3">
      <c r="A7" s="1">
        <v>45925.722765324077</v>
      </c>
      <c r="B7" s="1">
        <v>45925.847744722218</v>
      </c>
      <c r="D7" t="s">
        <v>84</v>
      </c>
      <c r="E7" t="s">
        <v>85</v>
      </c>
      <c r="F7" t="s">
        <v>2433</v>
      </c>
      <c r="G7" t="s">
        <v>176</v>
      </c>
      <c r="H7" t="s">
        <v>4122</v>
      </c>
      <c r="I7" t="s">
        <v>2434</v>
      </c>
      <c r="J7" t="s">
        <v>2435</v>
      </c>
      <c r="K7" t="s">
        <v>90</v>
      </c>
      <c r="L7" t="s">
        <v>2380</v>
      </c>
      <c r="M7" t="s">
        <v>141</v>
      </c>
      <c r="N7" t="s">
        <v>2436</v>
      </c>
      <c r="O7">
        <v>-15.295354400000001</v>
      </c>
      <c r="P7">
        <v>23.175705600000001</v>
      </c>
      <c r="Q7">
        <v>1073.9208984375</v>
      </c>
      <c r="R7">
        <v>4.9290000000000003</v>
      </c>
      <c r="S7" t="s">
        <v>84</v>
      </c>
      <c r="T7" t="s">
        <v>182</v>
      </c>
      <c r="U7">
        <v>8</v>
      </c>
      <c r="V7" t="s">
        <v>95</v>
      </c>
      <c r="W7" t="s">
        <v>907</v>
      </c>
      <c r="X7">
        <v>22</v>
      </c>
      <c r="Y7">
        <v>70</v>
      </c>
      <c r="Z7">
        <v>4.5</v>
      </c>
      <c r="AA7" t="s">
        <v>504</v>
      </c>
      <c r="AB7" t="s">
        <v>97</v>
      </c>
      <c r="AC7" t="s">
        <v>98</v>
      </c>
      <c r="AD7" t="s">
        <v>99</v>
      </c>
      <c r="AE7" t="s">
        <v>100</v>
      </c>
      <c r="AF7" t="s">
        <v>907</v>
      </c>
      <c r="AG7">
        <v>0</v>
      </c>
      <c r="AH7" t="s">
        <v>147</v>
      </c>
      <c r="AI7" t="s">
        <v>907</v>
      </c>
      <c r="AJ7" s="5">
        <v>0</v>
      </c>
      <c r="AK7" t="s">
        <v>102</v>
      </c>
      <c r="AL7" t="s">
        <v>907</v>
      </c>
      <c r="AM7" t="s">
        <v>543</v>
      </c>
      <c r="AN7" t="s">
        <v>907</v>
      </c>
      <c r="AO7" t="s">
        <v>2437</v>
      </c>
      <c r="AP7">
        <v>0</v>
      </c>
      <c r="AQ7" t="s">
        <v>149</v>
      </c>
      <c r="AR7" t="s">
        <v>95</v>
      </c>
      <c r="AS7">
        <v>0</v>
      </c>
      <c r="AT7">
        <v>25</v>
      </c>
      <c r="AU7">
        <v>0</v>
      </c>
      <c r="AV7">
        <v>0</v>
      </c>
      <c r="AW7">
        <v>0</v>
      </c>
      <c r="AX7">
        <v>0</v>
      </c>
      <c r="AY7">
        <v>0</v>
      </c>
      <c r="AZ7" t="s">
        <v>1003</v>
      </c>
      <c r="BA7" t="s">
        <v>95</v>
      </c>
      <c r="BB7" t="s">
        <v>154</v>
      </c>
      <c r="BC7" t="s">
        <v>907</v>
      </c>
      <c r="BD7" t="s">
        <v>107</v>
      </c>
      <c r="BE7" t="s">
        <v>108</v>
      </c>
      <c r="BF7" t="s">
        <v>309</v>
      </c>
      <c r="BG7" t="s">
        <v>235</v>
      </c>
      <c r="BH7">
        <v>7</v>
      </c>
      <c r="BL7">
        <v>5</v>
      </c>
      <c r="BN7">
        <v>1</v>
      </c>
      <c r="BX7">
        <v>1</v>
      </c>
      <c r="BY7" t="s">
        <v>110</v>
      </c>
      <c r="BZ7" t="s">
        <v>907</v>
      </c>
      <c r="CA7" t="s">
        <v>907</v>
      </c>
      <c r="CB7" t="s">
        <v>84</v>
      </c>
      <c r="CC7" t="s">
        <v>84</v>
      </c>
      <c r="CD7" t="s">
        <v>545</v>
      </c>
      <c r="CE7" t="s">
        <v>4250</v>
      </c>
      <c r="CF7" t="s">
        <v>3994</v>
      </c>
      <c r="CG7" t="s">
        <v>907</v>
      </c>
      <c r="CH7">
        <v>0</v>
      </c>
      <c r="CI7" t="s">
        <v>84</v>
      </c>
      <c r="CJ7" t="s">
        <v>160</v>
      </c>
      <c r="CK7" t="s">
        <v>289</v>
      </c>
      <c r="CL7" t="s">
        <v>4262</v>
      </c>
      <c r="CM7" t="s">
        <v>115</v>
      </c>
      <c r="CN7" t="s">
        <v>3883</v>
      </c>
      <c r="CO7" t="s">
        <v>95</v>
      </c>
      <c r="CP7" t="s">
        <v>907</v>
      </c>
      <c r="CQ7" t="s">
        <v>116</v>
      </c>
      <c r="CR7" t="s">
        <v>84</v>
      </c>
      <c r="CS7" t="s">
        <v>117</v>
      </c>
      <c r="CT7" t="s">
        <v>163</v>
      </c>
      <c r="CU7" t="s">
        <v>3869</v>
      </c>
      <c r="CV7" t="s">
        <v>119</v>
      </c>
      <c r="CW7" t="s">
        <v>559</v>
      </c>
      <c r="CX7" t="s">
        <v>166</v>
      </c>
      <c r="CY7" t="s">
        <v>549</v>
      </c>
      <c r="CZ7" t="s">
        <v>559</v>
      </c>
      <c r="DA7">
        <v>0</v>
      </c>
      <c r="DB7" s="10">
        <v>0</v>
      </c>
      <c r="DC7" t="s">
        <v>169</v>
      </c>
      <c r="DD7" t="s">
        <v>907</v>
      </c>
      <c r="DE7">
        <v>0</v>
      </c>
      <c r="DF7">
        <v>16</v>
      </c>
      <c r="DG7" t="s">
        <v>84</v>
      </c>
      <c r="DH7" t="s">
        <v>95</v>
      </c>
      <c r="DI7" t="s">
        <v>907</v>
      </c>
      <c r="DJ7" t="s">
        <v>907</v>
      </c>
      <c r="DK7" t="s">
        <v>907</v>
      </c>
      <c r="DL7" t="s">
        <v>907</v>
      </c>
      <c r="DM7" t="s">
        <v>125</v>
      </c>
      <c r="DN7" t="s">
        <v>170</v>
      </c>
      <c r="DO7" t="s">
        <v>324</v>
      </c>
      <c r="DP7">
        <v>6</v>
      </c>
      <c r="DQ7" t="s">
        <v>128</v>
      </c>
      <c r="DR7" t="s">
        <v>907</v>
      </c>
      <c r="DS7" t="s">
        <v>203</v>
      </c>
      <c r="DT7" t="s">
        <v>621</v>
      </c>
      <c r="DU7" t="s">
        <v>84</v>
      </c>
      <c r="DV7" t="s">
        <v>225</v>
      </c>
      <c r="DW7" t="s">
        <v>533</v>
      </c>
      <c r="DX7" t="s">
        <v>95</v>
      </c>
      <c r="FQ7">
        <v>566893299</v>
      </c>
      <c r="FR7" t="s">
        <v>2438</v>
      </c>
      <c r="FS7" s="1">
        <v>45925.765138888892</v>
      </c>
      <c r="FV7" t="s">
        <v>134</v>
      </c>
      <c r="FW7" t="s">
        <v>135</v>
      </c>
      <c r="FX7" t="s">
        <v>136</v>
      </c>
      <c r="FZ7">
        <v>337</v>
      </c>
    </row>
    <row r="8" spans="1:182" hidden="1" x14ac:dyDescent="0.3">
      <c r="A8" s="1">
        <v>45924.660010648149</v>
      </c>
      <c r="B8" s="1">
        <v>45924.690528715277</v>
      </c>
      <c r="D8" t="s">
        <v>84</v>
      </c>
      <c r="E8" t="s">
        <v>901</v>
      </c>
      <c r="F8" t="s">
        <v>983</v>
      </c>
      <c r="G8" t="s">
        <v>176</v>
      </c>
      <c r="H8" t="s">
        <v>4122</v>
      </c>
      <c r="I8" t="s">
        <v>856</v>
      </c>
      <c r="J8" t="s">
        <v>984</v>
      </c>
      <c r="K8" t="s">
        <v>90</v>
      </c>
      <c r="L8" t="s">
        <v>985</v>
      </c>
      <c r="M8" t="s">
        <v>722</v>
      </c>
      <c r="N8" t="s">
        <v>986</v>
      </c>
      <c r="O8">
        <v>-15.295467199999999</v>
      </c>
      <c r="P8">
        <v>23.002428299999998</v>
      </c>
      <c r="Q8">
        <v>1040.329345703125</v>
      </c>
      <c r="R8">
        <v>10.61</v>
      </c>
      <c r="S8" t="s">
        <v>84</v>
      </c>
      <c r="T8" t="s">
        <v>182</v>
      </c>
      <c r="U8">
        <v>4</v>
      </c>
      <c r="V8" t="s">
        <v>95</v>
      </c>
      <c r="W8" t="s">
        <v>907</v>
      </c>
      <c r="X8">
        <v>39</v>
      </c>
      <c r="Y8">
        <v>1</v>
      </c>
      <c r="Z8">
        <v>1</v>
      </c>
      <c r="AA8" t="s">
        <v>96</v>
      </c>
      <c r="AB8" t="s">
        <v>351</v>
      </c>
      <c r="AC8" t="s">
        <v>98</v>
      </c>
      <c r="AD8" t="s">
        <v>252</v>
      </c>
      <c r="AE8" t="s">
        <v>101</v>
      </c>
      <c r="AF8" t="s">
        <v>907</v>
      </c>
      <c r="AG8">
        <v>500</v>
      </c>
      <c r="AH8" t="s">
        <v>3873</v>
      </c>
      <c r="AI8" t="s">
        <v>907</v>
      </c>
      <c r="AJ8" t="s">
        <v>907</v>
      </c>
      <c r="AK8" t="s">
        <v>304</v>
      </c>
      <c r="AL8" t="s">
        <v>907</v>
      </c>
      <c r="AM8" t="s">
        <v>907</v>
      </c>
      <c r="AN8" t="s">
        <v>907</v>
      </c>
      <c r="AQ8" t="s">
        <v>907</v>
      </c>
      <c r="AR8" t="s">
        <v>907</v>
      </c>
      <c r="AS8">
        <v>0</v>
      </c>
      <c r="AT8">
        <v>0</v>
      </c>
      <c r="AU8">
        <v>0</v>
      </c>
      <c r="AV8">
        <v>0</v>
      </c>
      <c r="AW8">
        <v>0</v>
      </c>
      <c r="AX8">
        <v>0</v>
      </c>
      <c r="AY8">
        <v>0</v>
      </c>
      <c r="AZ8" t="s">
        <v>106</v>
      </c>
      <c r="BA8" t="s">
        <v>907</v>
      </c>
      <c r="BB8" t="s">
        <v>308</v>
      </c>
      <c r="BC8" t="s">
        <v>907</v>
      </c>
      <c r="BD8" t="s">
        <v>907</v>
      </c>
      <c r="BE8" t="s">
        <v>907</v>
      </c>
      <c r="BF8" t="s">
        <v>907</v>
      </c>
      <c r="BG8" t="s">
        <v>156</v>
      </c>
      <c r="BH8">
        <v>44</v>
      </c>
      <c r="BL8">
        <v>14</v>
      </c>
      <c r="BN8">
        <v>3</v>
      </c>
      <c r="BP8">
        <v>8</v>
      </c>
      <c r="BR8">
        <v>0</v>
      </c>
      <c r="BT8">
        <v>6</v>
      </c>
      <c r="BV8">
        <v>3</v>
      </c>
      <c r="BX8">
        <v>10</v>
      </c>
      <c r="BY8" t="s">
        <v>189</v>
      </c>
      <c r="BZ8">
        <v>3</v>
      </c>
      <c r="CA8">
        <v>8</v>
      </c>
      <c r="CB8" t="s">
        <v>84</v>
      </c>
      <c r="CC8" t="s">
        <v>84</v>
      </c>
      <c r="CD8" t="s">
        <v>987</v>
      </c>
      <c r="CE8" t="s">
        <v>4250</v>
      </c>
      <c r="CF8" t="s">
        <v>988</v>
      </c>
      <c r="CG8" t="s">
        <v>907</v>
      </c>
      <c r="CH8">
        <v>0</v>
      </c>
      <c r="CI8" t="s">
        <v>84</v>
      </c>
      <c r="CJ8" t="s">
        <v>586</v>
      </c>
      <c r="CK8" t="s">
        <v>289</v>
      </c>
      <c r="CL8" t="s">
        <v>263</v>
      </c>
      <c r="CM8" t="s">
        <v>193</v>
      </c>
      <c r="CN8" t="s">
        <v>3874</v>
      </c>
      <c r="CO8" t="s">
        <v>95</v>
      </c>
      <c r="CP8" t="s">
        <v>907</v>
      </c>
      <c r="CQ8" t="s">
        <v>116</v>
      </c>
      <c r="CR8" t="s">
        <v>84</v>
      </c>
      <c r="CS8" t="s">
        <v>117</v>
      </c>
      <c r="CT8" t="s">
        <v>163</v>
      </c>
      <c r="CU8" t="s">
        <v>438</v>
      </c>
      <c r="CV8" t="s">
        <v>907</v>
      </c>
      <c r="CW8" t="s">
        <v>907</v>
      </c>
      <c r="CX8" t="s">
        <v>166</v>
      </c>
      <c r="CY8" t="s">
        <v>167</v>
      </c>
      <c r="CZ8" t="s">
        <v>916</v>
      </c>
      <c r="DA8">
        <v>0</v>
      </c>
      <c r="DB8" s="10">
        <v>0</v>
      </c>
      <c r="DC8" t="s">
        <v>169</v>
      </c>
      <c r="DD8" t="s">
        <v>907</v>
      </c>
      <c r="DE8">
        <v>2</v>
      </c>
      <c r="DF8">
        <v>15</v>
      </c>
      <c r="DG8" t="s">
        <v>95</v>
      </c>
      <c r="DH8" t="s">
        <v>95</v>
      </c>
      <c r="DI8" t="s">
        <v>907</v>
      </c>
      <c r="DJ8" t="s">
        <v>907</v>
      </c>
      <c r="DK8" t="s">
        <v>907</v>
      </c>
      <c r="DL8" t="s">
        <v>907</v>
      </c>
      <c r="DM8" t="s">
        <v>291</v>
      </c>
      <c r="DN8" t="s">
        <v>907</v>
      </c>
      <c r="DO8" t="s">
        <v>907</v>
      </c>
      <c r="DP8">
        <v>1</v>
      </c>
      <c r="DQ8" t="s">
        <v>441</v>
      </c>
      <c r="DR8" t="s">
        <v>907</v>
      </c>
      <c r="DS8" t="s">
        <v>172</v>
      </c>
      <c r="DT8" t="s">
        <v>863</v>
      </c>
      <c r="DU8" t="s">
        <v>84</v>
      </c>
      <c r="DV8" t="s">
        <v>864</v>
      </c>
      <c r="DW8" t="s">
        <v>370</v>
      </c>
      <c r="DX8" t="s">
        <v>95</v>
      </c>
      <c r="FQ8">
        <v>565934955</v>
      </c>
      <c r="FR8" t="s">
        <v>989</v>
      </c>
      <c r="FS8" s="1">
        <v>45924.665937500002</v>
      </c>
      <c r="FV8" t="s">
        <v>134</v>
      </c>
      <c r="FW8" t="s">
        <v>135</v>
      </c>
      <c r="FX8" t="s">
        <v>136</v>
      </c>
      <c r="FZ8">
        <v>184</v>
      </c>
    </row>
    <row r="9" spans="1:182" x14ac:dyDescent="0.3">
      <c r="A9" s="1">
        <v>45926.385554976849</v>
      </c>
      <c r="B9" s="1">
        <v>45926.633925393522</v>
      </c>
      <c r="D9" t="s">
        <v>84</v>
      </c>
      <c r="E9" t="s">
        <v>85</v>
      </c>
      <c r="F9" t="s">
        <v>2721</v>
      </c>
      <c r="G9" t="s">
        <v>176</v>
      </c>
      <c r="H9" t="s">
        <v>4122</v>
      </c>
      <c r="I9" t="s">
        <v>2722</v>
      </c>
      <c r="J9" t="s">
        <v>2723</v>
      </c>
      <c r="K9" t="s">
        <v>90</v>
      </c>
      <c r="L9" t="s">
        <v>2724</v>
      </c>
      <c r="M9" t="s">
        <v>2725</v>
      </c>
      <c r="N9" t="s">
        <v>2726</v>
      </c>
      <c r="O9">
        <v>-15.234429799999999</v>
      </c>
      <c r="P9">
        <v>22.936363</v>
      </c>
      <c r="Q9">
        <v>1021.656494140625</v>
      </c>
      <c r="R9">
        <v>3.9769999999999999</v>
      </c>
      <c r="S9" t="s">
        <v>84</v>
      </c>
      <c r="T9" t="s">
        <v>182</v>
      </c>
      <c r="U9">
        <v>11</v>
      </c>
      <c r="V9" t="s">
        <v>95</v>
      </c>
      <c r="W9" t="s">
        <v>907</v>
      </c>
      <c r="X9">
        <v>30</v>
      </c>
      <c r="Y9">
        <v>100</v>
      </c>
      <c r="Z9">
        <v>5</v>
      </c>
      <c r="AA9" t="s">
        <v>504</v>
      </c>
      <c r="AB9" t="s">
        <v>351</v>
      </c>
      <c r="AC9" t="s">
        <v>98</v>
      </c>
      <c r="AD9" t="s">
        <v>99</v>
      </c>
      <c r="AE9" t="s">
        <v>100</v>
      </c>
      <c r="AF9" t="s">
        <v>907</v>
      </c>
      <c r="AG9">
        <v>0</v>
      </c>
      <c r="AH9" t="s">
        <v>147</v>
      </c>
      <c r="AI9" t="s">
        <v>907</v>
      </c>
      <c r="AJ9" s="5">
        <v>0</v>
      </c>
      <c r="AK9" t="s">
        <v>102</v>
      </c>
      <c r="AL9" t="s">
        <v>907</v>
      </c>
      <c r="AM9" t="s">
        <v>466</v>
      </c>
      <c r="AN9" t="s">
        <v>907</v>
      </c>
      <c r="AO9" t="s">
        <v>2727</v>
      </c>
      <c r="AP9">
        <v>0</v>
      </c>
      <c r="AQ9" t="s">
        <v>466</v>
      </c>
      <c r="AR9" t="s">
        <v>95</v>
      </c>
      <c r="AS9">
        <v>10</v>
      </c>
      <c r="AT9">
        <v>0</v>
      </c>
      <c r="AU9">
        <v>0</v>
      </c>
      <c r="AV9">
        <v>0</v>
      </c>
      <c r="AW9">
        <v>0</v>
      </c>
      <c r="AX9">
        <v>0</v>
      </c>
      <c r="AY9">
        <v>0</v>
      </c>
      <c r="AZ9" t="s">
        <v>1003</v>
      </c>
      <c r="BA9" t="s">
        <v>95</v>
      </c>
      <c r="BB9" t="s">
        <v>3866</v>
      </c>
      <c r="BC9" t="s">
        <v>907</v>
      </c>
      <c r="BD9" t="s">
        <v>107</v>
      </c>
      <c r="BE9" t="s">
        <v>108</v>
      </c>
      <c r="BF9" t="s">
        <v>321</v>
      </c>
      <c r="BG9" t="s">
        <v>235</v>
      </c>
      <c r="BH9">
        <v>30</v>
      </c>
      <c r="BY9" t="s">
        <v>110</v>
      </c>
      <c r="BZ9" t="s">
        <v>907</v>
      </c>
      <c r="CA9" t="s">
        <v>907</v>
      </c>
      <c r="CB9" t="s">
        <v>84</v>
      </c>
      <c r="CC9" t="s">
        <v>84</v>
      </c>
      <c r="CD9" t="s">
        <v>545</v>
      </c>
      <c r="CE9" t="s">
        <v>4249</v>
      </c>
      <c r="CF9" t="s">
        <v>4019</v>
      </c>
      <c r="CG9" t="s">
        <v>907</v>
      </c>
      <c r="CH9">
        <v>0</v>
      </c>
      <c r="CI9" t="s">
        <v>84</v>
      </c>
      <c r="CJ9" t="s">
        <v>262</v>
      </c>
      <c r="CK9" t="s">
        <v>289</v>
      </c>
      <c r="CL9" t="s">
        <v>2728</v>
      </c>
      <c r="CM9" t="s">
        <v>162</v>
      </c>
      <c r="CN9" t="s">
        <v>3883</v>
      </c>
      <c r="CO9" t="s">
        <v>95</v>
      </c>
      <c r="CP9" t="s">
        <v>907</v>
      </c>
      <c r="CQ9" t="s">
        <v>116</v>
      </c>
      <c r="CR9" t="s">
        <v>84</v>
      </c>
      <c r="CS9" t="s">
        <v>117</v>
      </c>
      <c r="CT9" t="s">
        <v>264</v>
      </c>
      <c r="CU9" t="s">
        <v>793</v>
      </c>
      <c r="CV9" t="s">
        <v>119</v>
      </c>
      <c r="CW9" t="s">
        <v>559</v>
      </c>
      <c r="CX9" t="s">
        <v>166</v>
      </c>
      <c r="CY9" t="s">
        <v>549</v>
      </c>
      <c r="CZ9" t="s">
        <v>548</v>
      </c>
      <c r="DA9">
        <v>2</v>
      </c>
      <c r="DB9" s="10">
        <v>12000</v>
      </c>
      <c r="DC9" t="s">
        <v>169</v>
      </c>
      <c r="DD9" t="s">
        <v>907</v>
      </c>
      <c r="DE9">
        <v>5</v>
      </c>
      <c r="DF9">
        <v>25</v>
      </c>
      <c r="DG9" t="s">
        <v>95</v>
      </c>
      <c r="DH9" t="s">
        <v>95</v>
      </c>
      <c r="DI9" t="s">
        <v>907</v>
      </c>
      <c r="DJ9" t="s">
        <v>907</v>
      </c>
      <c r="DK9" t="s">
        <v>907</v>
      </c>
      <c r="DL9" t="s">
        <v>907</v>
      </c>
      <c r="DM9" t="s">
        <v>125</v>
      </c>
      <c r="DN9" t="s">
        <v>200</v>
      </c>
      <c r="DO9" t="s">
        <v>171</v>
      </c>
      <c r="DP9">
        <v>2</v>
      </c>
      <c r="DQ9" t="s">
        <v>128</v>
      </c>
      <c r="DR9" t="s">
        <v>907</v>
      </c>
      <c r="DS9" t="s">
        <v>907</v>
      </c>
      <c r="DT9" t="s">
        <v>2729</v>
      </c>
      <c r="DU9" t="s">
        <v>95</v>
      </c>
      <c r="DV9" t="s">
        <v>907</v>
      </c>
      <c r="DW9" t="s">
        <v>907</v>
      </c>
      <c r="DX9" t="s">
        <v>907</v>
      </c>
      <c r="FQ9">
        <v>567424781</v>
      </c>
      <c r="FR9" t="s">
        <v>2730</v>
      </c>
      <c r="FS9" s="1">
        <v>45926.55091435185</v>
      </c>
      <c r="FV9" t="s">
        <v>134</v>
      </c>
      <c r="FW9" t="s">
        <v>135</v>
      </c>
      <c r="FX9" t="s">
        <v>136</v>
      </c>
      <c r="FZ9">
        <v>395</v>
      </c>
    </row>
    <row r="10" spans="1:182" hidden="1" x14ac:dyDescent="0.3">
      <c r="A10" s="1">
        <v>45929.516146620372</v>
      </c>
      <c r="B10" s="1">
        <v>45929.529219155091</v>
      </c>
      <c r="D10" t="s">
        <v>84</v>
      </c>
      <c r="E10" t="s">
        <v>901</v>
      </c>
      <c r="F10" t="s">
        <v>3434</v>
      </c>
      <c r="G10" t="s">
        <v>176</v>
      </c>
      <c r="H10" t="s">
        <v>4122</v>
      </c>
      <c r="I10" t="s">
        <v>3435</v>
      </c>
      <c r="J10" t="s">
        <v>3436</v>
      </c>
      <c r="K10" t="s">
        <v>90</v>
      </c>
      <c r="L10" t="s">
        <v>4088</v>
      </c>
      <c r="M10" t="s">
        <v>277</v>
      </c>
      <c r="N10" t="s">
        <v>3437</v>
      </c>
      <c r="O10">
        <v>-15.396005000000001</v>
      </c>
      <c r="P10">
        <v>23.040780000000002</v>
      </c>
      <c r="Q10">
        <v>987.9</v>
      </c>
      <c r="R10">
        <v>6</v>
      </c>
      <c r="S10" t="s">
        <v>84</v>
      </c>
      <c r="T10" t="s">
        <v>182</v>
      </c>
      <c r="U10">
        <v>5</v>
      </c>
      <c r="V10" t="s">
        <v>95</v>
      </c>
      <c r="W10" t="s">
        <v>907</v>
      </c>
      <c r="X10">
        <v>4</v>
      </c>
      <c r="Y10">
        <v>1.5</v>
      </c>
      <c r="Z10">
        <v>1.5</v>
      </c>
      <c r="AA10" t="s">
        <v>96</v>
      </c>
      <c r="AB10" t="s">
        <v>351</v>
      </c>
      <c r="AC10" t="s">
        <v>98</v>
      </c>
      <c r="AD10" t="s">
        <v>520</v>
      </c>
      <c r="AE10" t="s">
        <v>101</v>
      </c>
      <c r="AF10" t="s">
        <v>907</v>
      </c>
      <c r="AG10">
        <v>200</v>
      </c>
      <c r="AH10" t="s">
        <v>3873</v>
      </c>
      <c r="AI10" t="s">
        <v>907</v>
      </c>
      <c r="AJ10" t="s">
        <v>907</v>
      </c>
      <c r="AK10" t="s">
        <v>102</v>
      </c>
      <c r="AL10" t="s">
        <v>907</v>
      </c>
      <c r="AM10" t="s">
        <v>4130</v>
      </c>
      <c r="AN10" t="s">
        <v>907</v>
      </c>
      <c r="AQ10" t="s">
        <v>909</v>
      </c>
      <c r="AR10" t="s">
        <v>95</v>
      </c>
      <c r="AS10">
        <v>0</v>
      </c>
      <c r="AT10">
        <v>0</v>
      </c>
      <c r="AU10">
        <v>0</v>
      </c>
      <c r="AV10">
        <v>0</v>
      </c>
      <c r="AW10">
        <v>0</v>
      </c>
      <c r="AX10">
        <v>0</v>
      </c>
      <c r="AY10">
        <v>0</v>
      </c>
      <c r="AZ10" t="s">
        <v>929</v>
      </c>
      <c r="BA10" t="s">
        <v>95</v>
      </c>
      <c r="BB10" t="s">
        <v>308</v>
      </c>
      <c r="BC10" t="s">
        <v>907</v>
      </c>
      <c r="BD10" t="s">
        <v>107</v>
      </c>
      <c r="BE10" t="s">
        <v>258</v>
      </c>
      <c r="BF10" t="s">
        <v>3438</v>
      </c>
      <c r="BG10" t="s">
        <v>156</v>
      </c>
      <c r="BH10">
        <v>16</v>
      </c>
      <c r="BL10">
        <v>9</v>
      </c>
      <c r="BN10">
        <v>1</v>
      </c>
      <c r="BP10">
        <v>3</v>
      </c>
      <c r="BR10">
        <v>0</v>
      </c>
      <c r="BT10">
        <v>1</v>
      </c>
      <c r="BV10">
        <v>0</v>
      </c>
      <c r="BX10">
        <v>2</v>
      </c>
      <c r="BY10" t="s">
        <v>110</v>
      </c>
      <c r="BZ10" t="s">
        <v>907</v>
      </c>
      <c r="CA10" t="s">
        <v>907</v>
      </c>
      <c r="CB10" t="s">
        <v>84</v>
      </c>
      <c r="CC10" t="s">
        <v>84</v>
      </c>
      <c r="CD10" t="s">
        <v>334</v>
      </c>
      <c r="CE10" t="s">
        <v>4250</v>
      </c>
      <c r="CF10" t="s">
        <v>3439</v>
      </c>
      <c r="CG10" t="s">
        <v>907</v>
      </c>
      <c r="CH10">
        <v>0</v>
      </c>
      <c r="CI10" t="s">
        <v>84</v>
      </c>
      <c r="CJ10" t="s">
        <v>160</v>
      </c>
      <c r="CK10" t="s">
        <v>289</v>
      </c>
      <c r="CL10" t="s">
        <v>263</v>
      </c>
      <c r="CM10" t="s">
        <v>547</v>
      </c>
      <c r="CN10" t="s">
        <v>421</v>
      </c>
      <c r="CO10" t="s">
        <v>95</v>
      </c>
      <c r="CP10" t="s">
        <v>907</v>
      </c>
      <c r="CQ10" t="s">
        <v>116</v>
      </c>
      <c r="CR10" t="s">
        <v>84</v>
      </c>
      <c r="CS10" t="s">
        <v>117</v>
      </c>
      <c r="CT10" t="s">
        <v>163</v>
      </c>
      <c r="CU10" t="s">
        <v>3869</v>
      </c>
      <c r="CV10" t="s">
        <v>119</v>
      </c>
      <c r="CW10" t="s">
        <v>439</v>
      </c>
      <c r="CX10" t="s">
        <v>290</v>
      </c>
      <c r="CY10" t="s">
        <v>907</v>
      </c>
      <c r="CZ10" t="s">
        <v>907</v>
      </c>
      <c r="DA10" t="s">
        <v>907</v>
      </c>
      <c r="DB10" t="s">
        <v>907</v>
      </c>
      <c r="DC10" t="s">
        <v>907</v>
      </c>
      <c r="DD10" t="s">
        <v>907</v>
      </c>
      <c r="DE10" t="s">
        <v>907</v>
      </c>
      <c r="DF10" t="s">
        <v>907</v>
      </c>
      <c r="DG10" t="s">
        <v>95</v>
      </c>
      <c r="DH10" t="s">
        <v>95</v>
      </c>
      <c r="DI10" t="s">
        <v>907</v>
      </c>
      <c r="DJ10" t="s">
        <v>907</v>
      </c>
      <c r="DK10" t="s">
        <v>907</v>
      </c>
      <c r="DL10" t="s">
        <v>907</v>
      </c>
      <c r="DM10" t="s">
        <v>291</v>
      </c>
      <c r="DN10" t="s">
        <v>907</v>
      </c>
      <c r="DO10" t="s">
        <v>907</v>
      </c>
      <c r="DP10">
        <v>0</v>
      </c>
      <c r="DQ10" t="s">
        <v>441</v>
      </c>
      <c r="DR10" t="s">
        <v>907</v>
      </c>
      <c r="DS10" t="s">
        <v>898</v>
      </c>
      <c r="DT10" t="s">
        <v>3431</v>
      </c>
      <c r="DU10" t="s">
        <v>95</v>
      </c>
      <c r="DV10" t="s">
        <v>907</v>
      </c>
      <c r="DW10" t="s">
        <v>907</v>
      </c>
      <c r="DX10" t="s">
        <v>907</v>
      </c>
      <c r="FQ10">
        <v>569778189</v>
      </c>
      <c r="FR10" t="s">
        <v>3440</v>
      </c>
      <c r="FS10" s="1">
        <v>45930.257268518522</v>
      </c>
      <c r="FV10" t="s">
        <v>134</v>
      </c>
      <c r="FW10" t="s">
        <v>135</v>
      </c>
      <c r="FX10" t="s">
        <v>136</v>
      </c>
      <c r="FZ10">
        <v>545</v>
      </c>
    </row>
    <row r="11" spans="1:182" hidden="1" x14ac:dyDescent="0.3">
      <c r="A11" s="1">
        <v>45925.464604988418</v>
      </c>
      <c r="B11" s="1">
        <v>45925.479995138892</v>
      </c>
      <c r="D11" t="s">
        <v>84</v>
      </c>
      <c r="E11" t="s">
        <v>3878</v>
      </c>
      <c r="F11" t="s">
        <v>1775</v>
      </c>
      <c r="G11" t="s">
        <v>176</v>
      </c>
      <c r="H11" t="s">
        <v>4122</v>
      </c>
      <c r="I11" t="s">
        <v>1766</v>
      </c>
      <c r="J11" t="s">
        <v>1776</v>
      </c>
      <c r="K11" t="s">
        <v>90</v>
      </c>
      <c r="L11" t="s">
        <v>1768</v>
      </c>
      <c r="M11" t="s">
        <v>1731</v>
      </c>
      <c r="N11" t="s">
        <v>1777</v>
      </c>
      <c r="O11">
        <v>-15.2208433</v>
      </c>
      <c r="P11">
        <v>22.998255</v>
      </c>
      <c r="Q11">
        <v>1024.5999999999999</v>
      </c>
      <c r="R11">
        <v>4.5330000000000004</v>
      </c>
      <c r="S11" t="s">
        <v>84</v>
      </c>
      <c r="T11" t="s">
        <v>94</v>
      </c>
      <c r="U11">
        <v>9</v>
      </c>
      <c r="V11" t="s">
        <v>95</v>
      </c>
      <c r="W11" t="s">
        <v>907</v>
      </c>
      <c r="X11">
        <v>25</v>
      </c>
      <c r="Y11">
        <v>0.3</v>
      </c>
      <c r="Z11">
        <v>0.3</v>
      </c>
      <c r="AA11" t="s">
        <v>96</v>
      </c>
      <c r="AB11" t="s">
        <v>351</v>
      </c>
      <c r="AC11" t="s">
        <v>98</v>
      </c>
      <c r="AD11" t="s">
        <v>280</v>
      </c>
      <c r="AE11" t="s">
        <v>304</v>
      </c>
      <c r="AF11" t="s">
        <v>907</v>
      </c>
      <c r="AG11">
        <v>4000</v>
      </c>
      <c r="AH11" t="s">
        <v>100</v>
      </c>
      <c r="AI11" t="s">
        <v>907</v>
      </c>
      <c r="AJ11" s="5">
        <v>800</v>
      </c>
      <c r="AK11" t="s">
        <v>148</v>
      </c>
      <c r="AL11" t="s">
        <v>907</v>
      </c>
      <c r="AM11" t="s">
        <v>1778</v>
      </c>
      <c r="AN11" t="s">
        <v>1127</v>
      </c>
      <c r="AO11" t="s">
        <v>1779</v>
      </c>
      <c r="AP11" t="s">
        <v>267</v>
      </c>
      <c r="AQ11" t="s">
        <v>956</v>
      </c>
      <c r="AR11" t="s">
        <v>84</v>
      </c>
      <c r="AS11">
        <v>0</v>
      </c>
      <c r="AT11">
        <v>0</v>
      </c>
      <c r="AU11">
        <v>0</v>
      </c>
      <c r="AV11">
        <v>0</v>
      </c>
      <c r="AW11">
        <v>0</v>
      </c>
      <c r="AX11">
        <v>0</v>
      </c>
      <c r="AY11">
        <v>0</v>
      </c>
      <c r="AZ11" t="s">
        <v>1003</v>
      </c>
      <c r="BA11" t="s">
        <v>95</v>
      </c>
      <c r="BB11" t="s">
        <v>154</v>
      </c>
      <c r="BC11" t="s">
        <v>907</v>
      </c>
      <c r="BD11" t="s">
        <v>107</v>
      </c>
      <c r="BE11" t="s">
        <v>258</v>
      </c>
      <c r="BF11" t="s">
        <v>1183</v>
      </c>
      <c r="BG11" t="s">
        <v>156</v>
      </c>
      <c r="BH11">
        <v>15</v>
      </c>
      <c r="BL11">
        <v>10</v>
      </c>
      <c r="BN11">
        <v>2</v>
      </c>
      <c r="BP11">
        <v>0</v>
      </c>
      <c r="BR11">
        <v>0</v>
      </c>
      <c r="BT11">
        <v>3</v>
      </c>
      <c r="BV11">
        <v>0</v>
      </c>
      <c r="BX11">
        <v>0</v>
      </c>
      <c r="BY11" t="s">
        <v>110</v>
      </c>
      <c r="BZ11" t="s">
        <v>907</v>
      </c>
      <c r="CA11" t="s">
        <v>907</v>
      </c>
      <c r="CB11" t="s">
        <v>84</v>
      </c>
      <c r="CC11" t="s">
        <v>84</v>
      </c>
      <c r="CD11" t="s">
        <v>1780</v>
      </c>
      <c r="CE11" t="s">
        <v>4252</v>
      </c>
      <c r="CF11" t="s">
        <v>1781</v>
      </c>
      <c r="CG11" t="s">
        <v>907</v>
      </c>
      <c r="CH11">
        <v>0</v>
      </c>
      <c r="CI11" t="s">
        <v>84</v>
      </c>
      <c r="CJ11" t="s">
        <v>405</v>
      </c>
      <c r="CK11" t="s">
        <v>113</v>
      </c>
      <c r="CL11" t="s">
        <v>456</v>
      </c>
      <c r="CM11" t="s">
        <v>162</v>
      </c>
      <c r="CN11" t="s">
        <v>421</v>
      </c>
      <c r="CO11" t="s">
        <v>95</v>
      </c>
      <c r="CP11" t="s">
        <v>907</v>
      </c>
      <c r="CQ11" t="s">
        <v>116</v>
      </c>
      <c r="CR11" t="s">
        <v>95</v>
      </c>
      <c r="CS11" t="s">
        <v>907</v>
      </c>
      <c r="CT11" t="s">
        <v>907</v>
      </c>
      <c r="CU11" t="s">
        <v>907</v>
      </c>
      <c r="CV11" t="s">
        <v>119</v>
      </c>
      <c r="CW11" t="s">
        <v>483</v>
      </c>
      <c r="CX11" t="s">
        <v>166</v>
      </c>
      <c r="CY11" t="s">
        <v>167</v>
      </c>
      <c r="CZ11" t="s">
        <v>382</v>
      </c>
      <c r="DA11">
        <v>0</v>
      </c>
      <c r="DB11" s="10">
        <v>0</v>
      </c>
      <c r="DC11" t="s">
        <v>169</v>
      </c>
      <c r="DD11" t="s">
        <v>907</v>
      </c>
      <c r="DE11">
        <v>2</v>
      </c>
      <c r="DF11">
        <v>11</v>
      </c>
      <c r="DG11" t="s">
        <v>95</v>
      </c>
      <c r="DH11" t="s">
        <v>95</v>
      </c>
      <c r="DI11" t="s">
        <v>907</v>
      </c>
      <c r="DJ11" t="s">
        <v>907</v>
      </c>
      <c r="DK11" t="s">
        <v>907</v>
      </c>
      <c r="DL11" t="s">
        <v>907</v>
      </c>
      <c r="DM11" t="s">
        <v>291</v>
      </c>
      <c r="DN11" t="s">
        <v>907</v>
      </c>
      <c r="DO11" t="s">
        <v>907</v>
      </c>
      <c r="DP11">
        <v>1</v>
      </c>
      <c r="DQ11" t="s">
        <v>441</v>
      </c>
      <c r="DR11" t="s">
        <v>907</v>
      </c>
      <c r="DS11" t="s">
        <v>917</v>
      </c>
      <c r="DT11" t="s">
        <v>1773</v>
      </c>
      <c r="DU11" t="s">
        <v>84</v>
      </c>
      <c r="DV11" t="s">
        <v>294</v>
      </c>
      <c r="DW11" t="s">
        <v>295</v>
      </c>
      <c r="DX11" t="s">
        <v>84</v>
      </c>
      <c r="FQ11">
        <v>566789940</v>
      </c>
      <c r="FR11" t="s">
        <v>1782</v>
      </c>
      <c r="FS11" s="1">
        <v>45925.665324074071</v>
      </c>
      <c r="FV11" t="s">
        <v>134</v>
      </c>
      <c r="FW11" t="s">
        <v>135</v>
      </c>
      <c r="FX11" t="s">
        <v>136</v>
      </c>
      <c r="FZ11">
        <v>273</v>
      </c>
    </row>
    <row r="12" spans="1:182" hidden="1" x14ac:dyDescent="0.3">
      <c r="A12" s="1">
        <v>45929.465047685182</v>
      </c>
      <c r="B12" s="1">
        <v>45929.47788726852</v>
      </c>
      <c r="D12" t="s">
        <v>84</v>
      </c>
      <c r="E12" t="s">
        <v>901</v>
      </c>
      <c r="F12" t="s">
        <v>3409</v>
      </c>
      <c r="G12" t="s">
        <v>176</v>
      </c>
      <c r="H12" t="s">
        <v>4122</v>
      </c>
      <c r="I12" t="s">
        <v>3410</v>
      </c>
      <c r="J12" t="s">
        <v>3411</v>
      </c>
      <c r="K12" t="s">
        <v>90</v>
      </c>
      <c r="L12" t="s">
        <v>4085</v>
      </c>
      <c r="M12" t="s">
        <v>277</v>
      </c>
      <c r="N12" t="s">
        <v>3412</v>
      </c>
      <c r="O12">
        <v>-15.3958067</v>
      </c>
      <c r="P12">
        <v>23.040831699999998</v>
      </c>
      <c r="Q12">
        <v>1048.3</v>
      </c>
      <c r="R12">
        <v>3.6160000000000001</v>
      </c>
      <c r="S12" t="s">
        <v>84</v>
      </c>
      <c r="T12" t="s">
        <v>182</v>
      </c>
      <c r="U12">
        <v>8</v>
      </c>
      <c r="V12" t="s">
        <v>95</v>
      </c>
      <c r="W12" t="s">
        <v>907</v>
      </c>
      <c r="X12">
        <v>5</v>
      </c>
      <c r="Y12">
        <v>3</v>
      </c>
      <c r="Z12">
        <v>3</v>
      </c>
      <c r="AA12" t="s">
        <v>96</v>
      </c>
      <c r="AB12" t="s">
        <v>351</v>
      </c>
      <c r="AC12" t="s">
        <v>98</v>
      </c>
      <c r="AD12" t="s">
        <v>520</v>
      </c>
      <c r="AE12" t="s">
        <v>431</v>
      </c>
      <c r="AF12" t="s">
        <v>907</v>
      </c>
      <c r="AG12">
        <v>1000</v>
      </c>
      <c r="AH12" t="s">
        <v>3873</v>
      </c>
      <c r="AI12" t="s">
        <v>907</v>
      </c>
      <c r="AJ12" t="s">
        <v>907</v>
      </c>
      <c r="AK12" t="s">
        <v>102</v>
      </c>
      <c r="AL12" t="s">
        <v>907</v>
      </c>
      <c r="AM12" t="s">
        <v>185</v>
      </c>
      <c r="AN12" t="s">
        <v>907</v>
      </c>
      <c r="AO12" t="s">
        <v>3413</v>
      </c>
      <c r="AP12" t="s">
        <v>3414</v>
      </c>
      <c r="AQ12" t="s">
        <v>3415</v>
      </c>
      <c r="AR12" t="s">
        <v>95</v>
      </c>
      <c r="AS12">
        <v>10</v>
      </c>
      <c r="AT12">
        <v>12</v>
      </c>
      <c r="AU12">
        <v>0</v>
      </c>
      <c r="AV12">
        <v>15</v>
      </c>
      <c r="AW12">
        <v>0</v>
      </c>
      <c r="AX12">
        <v>0</v>
      </c>
      <c r="AY12">
        <v>0</v>
      </c>
      <c r="AZ12" t="s">
        <v>929</v>
      </c>
      <c r="BA12" t="s">
        <v>95</v>
      </c>
      <c r="BB12" t="s">
        <v>308</v>
      </c>
      <c r="BC12" t="s">
        <v>907</v>
      </c>
      <c r="BD12" t="s">
        <v>107</v>
      </c>
      <c r="BE12" t="s">
        <v>258</v>
      </c>
      <c r="BF12" t="s">
        <v>3416</v>
      </c>
      <c r="BG12" t="s">
        <v>3417</v>
      </c>
      <c r="BH12">
        <v>49</v>
      </c>
      <c r="BL12">
        <v>10</v>
      </c>
      <c r="BN12">
        <v>2</v>
      </c>
      <c r="BP12">
        <v>10</v>
      </c>
      <c r="BR12">
        <v>5</v>
      </c>
      <c r="BT12">
        <v>5</v>
      </c>
      <c r="BV12">
        <v>7</v>
      </c>
      <c r="BX12">
        <v>10</v>
      </c>
      <c r="BY12" t="s">
        <v>110</v>
      </c>
      <c r="BZ12" t="s">
        <v>907</v>
      </c>
      <c r="CA12" t="s">
        <v>907</v>
      </c>
      <c r="CB12" t="s">
        <v>84</v>
      </c>
      <c r="CC12" t="s">
        <v>84</v>
      </c>
      <c r="CD12" t="s">
        <v>861</v>
      </c>
      <c r="CE12" t="s">
        <v>4251</v>
      </c>
      <c r="CF12" t="s">
        <v>4086</v>
      </c>
      <c r="CG12" t="s">
        <v>907</v>
      </c>
      <c r="CH12">
        <v>0</v>
      </c>
      <c r="CI12" t="s">
        <v>84</v>
      </c>
      <c r="CJ12" t="s">
        <v>586</v>
      </c>
      <c r="CK12" t="s">
        <v>289</v>
      </c>
      <c r="CL12" t="s">
        <v>263</v>
      </c>
      <c r="CM12" t="s">
        <v>193</v>
      </c>
      <c r="CN12" t="s">
        <v>3903</v>
      </c>
      <c r="CO12" t="s">
        <v>95</v>
      </c>
      <c r="CP12" t="s">
        <v>907</v>
      </c>
      <c r="CQ12" t="s">
        <v>116</v>
      </c>
      <c r="CR12" t="s">
        <v>84</v>
      </c>
      <c r="CS12" t="s">
        <v>117</v>
      </c>
      <c r="CT12" t="s">
        <v>163</v>
      </c>
      <c r="CU12" t="s">
        <v>3869</v>
      </c>
      <c r="CV12" t="s">
        <v>119</v>
      </c>
      <c r="CW12" t="s">
        <v>1724</v>
      </c>
      <c r="CX12" t="s">
        <v>166</v>
      </c>
      <c r="CY12" t="s">
        <v>167</v>
      </c>
      <c r="CZ12" t="s">
        <v>1668</v>
      </c>
      <c r="DA12">
        <v>0</v>
      </c>
      <c r="DB12" s="10">
        <v>0</v>
      </c>
      <c r="DC12" t="s">
        <v>169</v>
      </c>
      <c r="DD12" t="s">
        <v>907</v>
      </c>
      <c r="DE12">
        <v>2</v>
      </c>
      <c r="DF12">
        <v>15</v>
      </c>
      <c r="DG12" t="s">
        <v>95</v>
      </c>
      <c r="DH12" t="s">
        <v>95</v>
      </c>
      <c r="DI12" t="s">
        <v>907</v>
      </c>
      <c r="DJ12" t="s">
        <v>907</v>
      </c>
      <c r="DK12" t="s">
        <v>907</v>
      </c>
      <c r="DL12" t="s">
        <v>907</v>
      </c>
      <c r="DM12" t="s">
        <v>291</v>
      </c>
      <c r="DN12" t="s">
        <v>907</v>
      </c>
      <c r="DO12" t="s">
        <v>907</v>
      </c>
      <c r="DP12">
        <v>0</v>
      </c>
      <c r="DQ12" t="s">
        <v>441</v>
      </c>
      <c r="DR12" t="s">
        <v>907</v>
      </c>
      <c r="DS12" t="s">
        <v>917</v>
      </c>
      <c r="DT12" t="s">
        <v>946</v>
      </c>
      <c r="DU12" t="s">
        <v>84</v>
      </c>
      <c r="DV12" t="s">
        <v>131</v>
      </c>
      <c r="DW12" t="s">
        <v>533</v>
      </c>
      <c r="DX12" t="s">
        <v>95</v>
      </c>
      <c r="FQ12">
        <v>569778160</v>
      </c>
      <c r="FR12" t="s">
        <v>3418</v>
      </c>
      <c r="FS12" s="1">
        <v>45930.257245370369</v>
      </c>
      <c r="FV12" t="s">
        <v>134</v>
      </c>
      <c r="FW12" t="s">
        <v>135</v>
      </c>
      <c r="FX12" t="s">
        <v>136</v>
      </c>
      <c r="FZ12">
        <v>542</v>
      </c>
    </row>
    <row r="13" spans="1:182" hidden="1" x14ac:dyDescent="0.3">
      <c r="A13" s="1">
        <v>45925.517394236107</v>
      </c>
      <c r="B13" s="1">
        <v>45925.537067569443</v>
      </c>
      <c r="D13" t="s">
        <v>84</v>
      </c>
      <c r="E13" t="s">
        <v>497</v>
      </c>
      <c r="F13" t="s">
        <v>2014</v>
      </c>
      <c r="G13" t="s">
        <v>176</v>
      </c>
      <c r="H13" t="s">
        <v>4122</v>
      </c>
      <c r="I13" t="s">
        <v>2015</v>
      </c>
      <c r="J13" t="s">
        <v>2016</v>
      </c>
      <c r="K13" t="s">
        <v>90</v>
      </c>
      <c r="L13" t="s">
        <v>2017</v>
      </c>
      <c r="M13" t="s">
        <v>2018</v>
      </c>
      <c r="N13" t="s">
        <v>2019</v>
      </c>
      <c r="O13">
        <v>-15.1646775</v>
      </c>
      <c r="P13">
        <v>22.997733100000001</v>
      </c>
      <c r="Q13">
        <v>1027.065673828125</v>
      </c>
      <c r="R13">
        <v>4.9809999999999999</v>
      </c>
      <c r="S13" t="s">
        <v>84</v>
      </c>
      <c r="T13" t="s">
        <v>182</v>
      </c>
      <c r="U13">
        <v>7</v>
      </c>
      <c r="V13" t="s">
        <v>95</v>
      </c>
      <c r="W13" t="s">
        <v>907</v>
      </c>
      <c r="X13">
        <v>40</v>
      </c>
      <c r="Y13">
        <v>7</v>
      </c>
      <c r="Z13">
        <v>7</v>
      </c>
      <c r="AA13" t="s">
        <v>96</v>
      </c>
      <c r="AB13" t="s">
        <v>97</v>
      </c>
      <c r="AC13" t="s">
        <v>98</v>
      </c>
      <c r="AD13" t="s">
        <v>99</v>
      </c>
      <c r="AE13" t="s">
        <v>100</v>
      </c>
      <c r="AF13" t="s">
        <v>907</v>
      </c>
      <c r="AG13">
        <v>100</v>
      </c>
      <c r="AH13" t="s">
        <v>2020</v>
      </c>
      <c r="AI13" t="s">
        <v>907</v>
      </c>
      <c r="AJ13" s="5">
        <v>500</v>
      </c>
      <c r="AK13" t="s">
        <v>148</v>
      </c>
      <c r="AL13" t="s">
        <v>907</v>
      </c>
      <c r="AM13" t="s">
        <v>466</v>
      </c>
      <c r="AN13" t="s">
        <v>907</v>
      </c>
      <c r="AO13" t="s">
        <v>2021</v>
      </c>
      <c r="AP13" t="s">
        <v>2022</v>
      </c>
      <c r="AQ13" t="s">
        <v>466</v>
      </c>
      <c r="AR13" t="s">
        <v>95</v>
      </c>
      <c r="AS13">
        <v>8</v>
      </c>
      <c r="AT13">
        <v>0</v>
      </c>
      <c r="AU13">
        <v>0</v>
      </c>
      <c r="AV13">
        <v>0</v>
      </c>
      <c r="AW13">
        <v>0</v>
      </c>
      <c r="AX13">
        <v>0</v>
      </c>
      <c r="AY13">
        <v>0</v>
      </c>
      <c r="AZ13" t="s">
        <v>929</v>
      </c>
      <c r="BA13" t="s">
        <v>95</v>
      </c>
      <c r="BB13" t="s">
        <v>154</v>
      </c>
      <c r="BC13" t="s">
        <v>907</v>
      </c>
      <c r="BD13" t="s">
        <v>107</v>
      </c>
      <c r="BE13" t="s">
        <v>258</v>
      </c>
      <c r="BF13" t="s">
        <v>2023</v>
      </c>
      <c r="BG13" t="s">
        <v>235</v>
      </c>
      <c r="BH13">
        <v>25</v>
      </c>
      <c r="BL13">
        <v>16</v>
      </c>
      <c r="BN13">
        <v>1</v>
      </c>
      <c r="BR13">
        <v>0</v>
      </c>
      <c r="BT13">
        <v>4</v>
      </c>
      <c r="BX13">
        <v>4</v>
      </c>
      <c r="BY13" t="s">
        <v>189</v>
      </c>
      <c r="BZ13">
        <v>25</v>
      </c>
      <c r="CA13">
        <v>0</v>
      </c>
      <c r="CB13" t="s">
        <v>84</v>
      </c>
      <c r="CC13" t="s">
        <v>84</v>
      </c>
      <c r="CD13" t="s">
        <v>1997</v>
      </c>
      <c r="CE13" t="s">
        <v>1998</v>
      </c>
      <c r="CF13" t="s">
        <v>2024</v>
      </c>
      <c r="CG13" t="s">
        <v>907</v>
      </c>
      <c r="CH13">
        <v>0</v>
      </c>
      <c r="CI13" t="s">
        <v>95</v>
      </c>
      <c r="CJ13" t="s">
        <v>907</v>
      </c>
      <c r="CK13" t="s">
        <v>289</v>
      </c>
      <c r="CL13" t="s">
        <v>263</v>
      </c>
      <c r="CM13" t="s">
        <v>193</v>
      </c>
      <c r="CN13" t="s">
        <v>421</v>
      </c>
      <c r="CO13" t="s">
        <v>95</v>
      </c>
      <c r="CP13" t="s">
        <v>907</v>
      </c>
      <c r="CQ13" t="s">
        <v>116</v>
      </c>
      <c r="CR13" t="s">
        <v>84</v>
      </c>
      <c r="CS13" t="s">
        <v>117</v>
      </c>
      <c r="CT13" t="s">
        <v>163</v>
      </c>
      <c r="CU13" t="s">
        <v>438</v>
      </c>
      <c r="CV13" t="s">
        <v>119</v>
      </c>
      <c r="CW13" t="s">
        <v>1565</v>
      </c>
      <c r="CX13" t="s">
        <v>166</v>
      </c>
      <c r="CY13" t="s">
        <v>167</v>
      </c>
      <c r="CZ13" t="s">
        <v>165</v>
      </c>
      <c r="DA13">
        <v>0</v>
      </c>
      <c r="DB13" s="10">
        <v>0</v>
      </c>
      <c r="DC13" t="s">
        <v>169</v>
      </c>
      <c r="DD13" t="s">
        <v>907</v>
      </c>
      <c r="DE13">
        <v>1</v>
      </c>
      <c r="DF13">
        <v>25</v>
      </c>
      <c r="DG13" t="s">
        <v>95</v>
      </c>
      <c r="DH13" t="s">
        <v>95</v>
      </c>
      <c r="DI13" t="s">
        <v>907</v>
      </c>
      <c r="DJ13" t="s">
        <v>907</v>
      </c>
      <c r="DK13" t="s">
        <v>907</v>
      </c>
      <c r="DL13" t="s">
        <v>907</v>
      </c>
      <c r="DM13" t="s">
        <v>291</v>
      </c>
      <c r="DN13" t="s">
        <v>907</v>
      </c>
      <c r="DO13" t="s">
        <v>907</v>
      </c>
      <c r="DP13">
        <v>3</v>
      </c>
      <c r="DQ13" t="s">
        <v>128</v>
      </c>
      <c r="DR13" t="s">
        <v>907</v>
      </c>
      <c r="DS13" t="s">
        <v>442</v>
      </c>
      <c r="DT13" t="s">
        <v>130</v>
      </c>
      <c r="DU13" t="s">
        <v>84</v>
      </c>
      <c r="DV13" t="s">
        <v>294</v>
      </c>
      <c r="DW13" t="s">
        <v>1107</v>
      </c>
      <c r="DX13" t="s">
        <v>95</v>
      </c>
      <c r="FQ13">
        <v>566860787</v>
      </c>
      <c r="FR13" t="s">
        <v>2025</v>
      </c>
      <c r="FS13" s="1">
        <v>45925.72824074074</v>
      </c>
      <c r="FV13" t="s">
        <v>134</v>
      </c>
      <c r="FW13" t="s">
        <v>135</v>
      </c>
      <c r="FX13" t="s">
        <v>136</v>
      </c>
      <c r="FZ13">
        <v>298</v>
      </c>
    </row>
    <row r="14" spans="1:182" hidden="1" x14ac:dyDescent="0.3">
      <c r="A14" s="1">
        <v>45929.497680717592</v>
      </c>
      <c r="B14" s="1">
        <v>45929.515507407406</v>
      </c>
      <c r="D14" t="s">
        <v>84</v>
      </c>
      <c r="E14" t="s">
        <v>901</v>
      </c>
      <c r="F14" t="s">
        <v>3426</v>
      </c>
      <c r="G14" t="s">
        <v>176</v>
      </c>
      <c r="H14" t="s">
        <v>4122</v>
      </c>
      <c r="I14" t="s">
        <v>3427</v>
      </c>
      <c r="J14" t="s">
        <v>3428</v>
      </c>
      <c r="K14" t="s">
        <v>90</v>
      </c>
      <c r="L14" t="s">
        <v>4088</v>
      </c>
      <c r="M14" t="s">
        <v>277</v>
      </c>
      <c r="N14" t="s">
        <v>3429</v>
      </c>
      <c r="O14">
        <v>-15.3958517</v>
      </c>
      <c r="P14">
        <v>23.040773300000001</v>
      </c>
      <c r="Q14">
        <v>1010.3</v>
      </c>
      <c r="R14">
        <v>4.5</v>
      </c>
      <c r="S14" t="s">
        <v>84</v>
      </c>
      <c r="T14" t="s">
        <v>182</v>
      </c>
      <c r="U14">
        <v>7</v>
      </c>
      <c r="V14" t="s">
        <v>95</v>
      </c>
      <c r="W14" t="s">
        <v>907</v>
      </c>
      <c r="X14">
        <v>28</v>
      </c>
      <c r="Y14">
        <v>2</v>
      </c>
      <c r="Z14">
        <v>2</v>
      </c>
      <c r="AA14" t="s">
        <v>96</v>
      </c>
      <c r="AB14" t="s">
        <v>351</v>
      </c>
      <c r="AC14" t="s">
        <v>98</v>
      </c>
      <c r="AD14" t="s">
        <v>252</v>
      </c>
      <c r="AE14" t="s">
        <v>101</v>
      </c>
      <c r="AF14" t="s">
        <v>907</v>
      </c>
      <c r="AG14">
        <v>2000</v>
      </c>
      <c r="AH14" t="s">
        <v>3873</v>
      </c>
      <c r="AI14" t="s">
        <v>907</v>
      </c>
      <c r="AJ14" t="s">
        <v>907</v>
      </c>
      <c r="AK14" t="s">
        <v>102</v>
      </c>
      <c r="AL14" t="s">
        <v>907</v>
      </c>
      <c r="AM14" t="s">
        <v>4130</v>
      </c>
      <c r="AN14" t="s">
        <v>907</v>
      </c>
      <c r="AQ14" t="s">
        <v>466</v>
      </c>
      <c r="AR14" t="s">
        <v>95</v>
      </c>
      <c r="AS14">
        <v>0</v>
      </c>
      <c r="AT14">
        <v>0</v>
      </c>
      <c r="AU14">
        <v>0</v>
      </c>
      <c r="AV14">
        <v>0</v>
      </c>
      <c r="AW14">
        <v>0</v>
      </c>
      <c r="AX14">
        <v>0</v>
      </c>
      <c r="AY14">
        <v>0</v>
      </c>
      <c r="AZ14" t="s">
        <v>929</v>
      </c>
      <c r="BA14" t="s">
        <v>95</v>
      </c>
      <c r="BB14" t="s">
        <v>308</v>
      </c>
      <c r="BC14" t="s">
        <v>907</v>
      </c>
      <c r="BD14" t="s">
        <v>107</v>
      </c>
      <c r="BE14" t="s">
        <v>258</v>
      </c>
      <c r="BF14" t="s">
        <v>3430</v>
      </c>
      <c r="BG14" t="s">
        <v>235</v>
      </c>
      <c r="BH14">
        <v>35</v>
      </c>
      <c r="BL14">
        <v>22</v>
      </c>
      <c r="BN14">
        <v>0</v>
      </c>
      <c r="BP14">
        <v>0</v>
      </c>
      <c r="BR14">
        <v>0</v>
      </c>
      <c r="BT14">
        <v>3</v>
      </c>
      <c r="BV14">
        <v>0</v>
      </c>
      <c r="BX14">
        <v>10</v>
      </c>
      <c r="BY14" t="s">
        <v>189</v>
      </c>
      <c r="BZ14">
        <v>2</v>
      </c>
      <c r="CA14">
        <v>17</v>
      </c>
      <c r="CB14" t="s">
        <v>84</v>
      </c>
      <c r="CC14" t="s">
        <v>84</v>
      </c>
      <c r="CD14" t="s">
        <v>334</v>
      </c>
      <c r="CE14" t="s">
        <v>1998</v>
      </c>
      <c r="CF14" t="s">
        <v>1040</v>
      </c>
      <c r="CG14" t="s">
        <v>907</v>
      </c>
      <c r="CH14">
        <v>0</v>
      </c>
      <c r="CI14" t="s">
        <v>84</v>
      </c>
      <c r="CJ14" t="s">
        <v>546</v>
      </c>
      <c r="CK14" t="s">
        <v>289</v>
      </c>
      <c r="CL14" t="s">
        <v>263</v>
      </c>
      <c r="CM14" t="s">
        <v>547</v>
      </c>
      <c r="CN14" t="s">
        <v>194</v>
      </c>
      <c r="CO14" t="s">
        <v>95</v>
      </c>
      <c r="CP14" t="s">
        <v>907</v>
      </c>
      <c r="CQ14" t="s">
        <v>116</v>
      </c>
      <c r="CR14" t="s">
        <v>95</v>
      </c>
      <c r="CS14" t="s">
        <v>907</v>
      </c>
      <c r="CT14" t="s">
        <v>907</v>
      </c>
      <c r="CU14" t="s">
        <v>907</v>
      </c>
      <c r="CV14" t="s">
        <v>290</v>
      </c>
      <c r="CW14" t="s">
        <v>907</v>
      </c>
      <c r="CX14" t="s">
        <v>907</v>
      </c>
      <c r="CY14" t="s">
        <v>907</v>
      </c>
      <c r="CZ14" t="s">
        <v>907</v>
      </c>
      <c r="DA14" t="s">
        <v>907</v>
      </c>
      <c r="DB14" t="s">
        <v>907</v>
      </c>
      <c r="DC14" t="s">
        <v>907</v>
      </c>
      <c r="DD14" t="s">
        <v>907</v>
      </c>
      <c r="DE14" t="s">
        <v>907</v>
      </c>
      <c r="DF14" t="s">
        <v>907</v>
      </c>
      <c r="DG14" t="s">
        <v>95</v>
      </c>
      <c r="DH14" t="s">
        <v>95</v>
      </c>
      <c r="DI14" t="s">
        <v>907</v>
      </c>
      <c r="DJ14" t="s">
        <v>907</v>
      </c>
      <c r="DK14" t="s">
        <v>907</v>
      </c>
      <c r="DL14" t="s">
        <v>907</v>
      </c>
      <c r="DM14" t="s">
        <v>291</v>
      </c>
      <c r="DN14" t="s">
        <v>907</v>
      </c>
      <c r="DO14" t="s">
        <v>907</v>
      </c>
      <c r="DP14">
        <v>0</v>
      </c>
      <c r="DQ14" t="s">
        <v>441</v>
      </c>
      <c r="DR14" t="s">
        <v>907</v>
      </c>
      <c r="DS14" t="s">
        <v>882</v>
      </c>
      <c r="DT14" t="s">
        <v>3431</v>
      </c>
      <c r="DU14" t="s">
        <v>84</v>
      </c>
      <c r="DV14" t="s">
        <v>532</v>
      </c>
      <c r="DW14" t="s">
        <v>3432</v>
      </c>
      <c r="DX14" t="s">
        <v>95</v>
      </c>
      <c r="FQ14">
        <v>569778185</v>
      </c>
      <c r="FR14" t="s">
        <v>3433</v>
      </c>
      <c r="FS14" s="1">
        <v>45930.257268518522</v>
      </c>
      <c r="FV14" t="s">
        <v>134</v>
      </c>
      <c r="FW14" t="s">
        <v>135</v>
      </c>
      <c r="FX14" t="s">
        <v>136</v>
      </c>
      <c r="FZ14">
        <v>544</v>
      </c>
    </row>
    <row r="15" spans="1:182" hidden="1" x14ac:dyDescent="0.3">
      <c r="A15" s="1">
        <v>45929.568377986106</v>
      </c>
      <c r="B15" s="1">
        <v>45929.575776863428</v>
      </c>
      <c r="D15" t="s">
        <v>84</v>
      </c>
      <c r="E15" t="s">
        <v>901</v>
      </c>
      <c r="F15" t="s">
        <v>4095</v>
      </c>
      <c r="G15" t="s">
        <v>176</v>
      </c>
      <c r="H15" t="s">
        <v>4121</v>
      </c>
      <c r="I15" t="s">
        <v>3491</v>
      </c>
      <c r="J15" t="s">
        <v>3492</v>
      </c>
      <c r="K15" t="s">
        <v>90</v>
      </c>
      <c r="L15" t="s">
        <v>4096</v>
      </c>
      <c r="M15" t="s">
        <v>277</v>
      </c>
      <c r="N15" t="s">
        <v>3493</v>
      </c>
      <c r="O15">
        <v>-15.3959259</v>
      </c>
      <c r="P15">
        <v>23.040831600000001</v>
      </c>
      <c r="Q15">
        <v>972.643798828125</v>
      </c>
      <c r="R15">
        <v>35.265999999999998</v>
      </c>
      <c r="S15" t="s">
        <v>95</v>
      </c>
      <c r="T15" t="s">
        <v>907</v>
      </c>
      <c r="U15" t="s">
        <v>907</v>
      </c>
      <c r="V15" t="s">
        <v>95</v>
      </c>
      <c r="W15" t="s">
        <v>907</v>
      </c>
      <c r="X15">
        <v>2</v>
      </c>
      <c r="Y15">
        <v>3</v>
      </c>
      <c r="Z15">
        <v>2</v>
      </c>
      <c r="AA15" t="s">
        <v>96</v>
      </c>
      <c r="AB15" t="s">
        <v>351</v>
      </c>
      <c r="AC15" t="s">
        <v>98</v>
      </c>
      <c r="AD15" t="s">
        <v>252</v>
      </c>
      <c r="AE15" t="s">
        <v>101</v>
      </c>
      <c r="AF15" t="s">
        <v>907</v>
      </c>
      <c r="AG15">
        <v>200</v>
      </c>
      <c r="AH15" t="s">
        <v>3873</v>
      </c>
      <c r="AI15" t="s">
        <v>907</v>
      </c>
      <c r="AJ15" t="s">
        <v>907</v>
      </c>
      <c r="AK15" t="s">
        <v>102</v>
      </c>
      <c r="AL15" t="s">
        <v>907</v>
      </c>
      <c r="AM15" t="s">
        <v>4130</v>
      </c>
      <c r="AN15" t="s">
        <v>907</v>
      </c>
      <c r="AQ15" t="s">
        <v>909</v>
      </c>
      <c r="AR15" t="s">
        <v>95</v>
      </c>
      <c r="AS15">
        <v>0</v>
      </c>
      <c r="AT15">
        <v>0</v>
      </c>
      <c r="AU15">
        <v>0</v>
      </c>
      <c r="AV15">
        <v>0</v>
      </c>
      <c r="AW15">
        <v>0</v>
      </c>
      <c r="AX15">
        <v>0</v>
      </c>
      <c r="AY15">
        <v>0</v>
      </c>
      <c r="AZ15" t="s">
        <v>1003</v>
      </c>
      <c r="BA15" t="s">
        <v>95</v>
      </c>
      <c r="BB15" t="s">
        <v>308</v>
      </c>
      <c r="BC15" t="s">
        <v>907</v>
      </c>
      <c r="BD15" t="s">
        <v>107</v>
      </c>
      <c r="BE15" t="s">
        <v>258</v>
      </c>
      <c r="BF15" t="s">
        <v>3494</v>
      </c>
      <c r="BG15" t="s">
        <v>526</v>
      </c>
      <c r="BH15">
        <v>24</v>
      </c>
      <c r="BL15">
        <v>19</v>
      </c>
      <c r="BN15">
        <v>0</v>
      </c>
      <c r="BP15">
        <v>2</v>
      </c>
      <c r="BR15">
        <v>0</v>
      </c>
      <c r="BT15">
        <v>0</v>
      </c>
      <c r="BV15">
        <v>0</v>
      </c>
      <c r="BX15">
        <v>3</v>
      </c>
      <c r="BY15" t="s">
        <v>110</v>
      </c>
      <c r="BZ15" t="s">
        <v>907</v>
      </c>
      <c r="CA15" t="s">
        <v>907</v>
      </c>
      <c r="CB15" t="s">
        <v>84</v>
      </c>
      <c r="CC15" t="s">
        <v>84</v>
      </c>
      <c r="CD15" t="s">
        <v>3495</v>
      </c>
      <c r="CE15" t="s">
        <v>1998</v>
      </c>
      <c r="CF15" t="s">
        <v>4097</v>
      </c>
      <c r="CG15" t="s">
        <v>907</v>
      </c>
      <c r="CH15">
        <v>0</v>
      </c>
      <c r="CI15" t="s">
        <v>84</v>
      </c>
      <c r="CJ15" t="s">
        <v>586</v>
      </c>
      <c r="CK15" t="s">
        <v>289</v>
      </c>
      <c r="CL15" t="s">
        <v>263</v>
      </c>
      <c r="CM15" t="s">
        <v>193</v>
      </c>
      <c r="CN15" t="s">
        <v>194</v>
      </c>
      <c r="CO15" t="s">
        <v>95</v>
      </c>
      <c r="CP15" t="s">
        <v>907</v>
      </c>
      <c r="CQ15" t="s">
        <v>116</v>
      </c>
      <c r="CR15" t="s">
        <v>95</v>
      </c>
      <c r="CS15" t="s">
        <v>907</v>
      </c>
      <c r="CT15" t="s">
        <v>907</v>
      </c>
      <c r="CU15" t="s">
        <v>907</v>
      </c>
      <c r="CV15" t="s">
        <v>290</v>
      </c>
      <c r="CW15" t="s">
        <v>907</v>
      </c>
      <c r="CX15" t="s">
        <v>907</v>
      </c>
      <c r="CY15" t="s">
        <v>907</v>
      </c>
      <c r="CZ15" t="s">
        <v>907</v>
      </c>
      <c r="DA15" t="s">
        <v>907</v>
      </c>
      <c r="DB15" t="s">
        <v>907</v>
      </c>
      <c r="DC15" t="s">
        <v>907</v>
      </c>
      <c r="DD15" t="s">
        <v>907</v>
      </c>
      <c r="DE15" t="s">
        <v>907</v>
      </c>
      <c r="DF15" t="s">
        <v>907</v>
      </c>
      <c r="DG15" t="s">
        <v>95</v>
      </c>
      <c r="DH15" t="s">
        <v>95</v>
      </c>
      <c r="DI15" t="s">
        <v>907</v>
      </c>
      <c r="DJ15" t="s">
        <v>907</v>
      </c>
      <c r="DK15" t="s">
        <v>907</v>
      </c>
      <c r="DL15" t="s">
        <v>907</v>
      </c>
      <c r="DM15" t="s">
        <v>291</v>
      </c>
      <c r="DN15" t="s">
        <v>907</v>
      </c>
      <c r="DO15" t="s">
        <v>907</v>
      </c>
      <c r="DP15">
        <v>0</v>
      </c>
      <c r="DQ15" t="s">
        <v>202</v>
      </c>
      <c r="DR15" t="s">
        <v>907</v>
      </c>
      <c r="DS15" t="s">
        <v>1330</v>
      </c>
      <c r="DT15" t="s">
        <v>224</v>
      </c>
      <c r="DU15" t="s">
        <v>95</v>
      </c>
      <c r="DV15" t="s">
        <v>907</v>
      </c>
      <c r="DW15" t="s">
        <v>907</v>
      </c>
      <c r="DX15" t="s">
        <v>907</v>
      </c>
      <c r="FQ15">
        <v>569779465</v>
      </c>
      <c r="FR15" t="s">
        <v>3496</v>
      </c>
      <c r="FS15" s="1">
        <v>45930.259016203701</v>
      </c>
      <c r="FV15" t="s">
        <v>134</v>
      </c>
      <c r="FW15" t="s">
        <v>135</v>
      </c>
      <c r="FX15" t="s">
        <v>136</v>
      </c>
      <c r="FZ15">
        <v>553</v>
      </c>
    </row>
    <row r="16" spans="1:182" hidden="1" x14ac:dyDescent="0.3">
      <c r="A16" s="1">
        <v>45925.379587199073</v>
      </c>
      <c r="B16" s="1">
        <v>45925.394191944448</v>
      </c>
      <c r="D16" t="s">
        <v>84</v>
      </c>
      <c r="E16" t="s">
        <v>901</v>
      </c>
      <c r="F16" t="s">
        <v>1593</v>
      </c>
      <c r="G16" t="s">
        <v>176</v>
      </c>
      <c r="H16" t="s">
        <v>4122</v>
      </c>
      <c r="I16" t="s">
        <v>1594</v>
      </c>
      <c r="J16" t="s">
        <v>1595</v>
      </c>
      <c r="K16" t="s">
        <v>90</v>
      </c>
      <c r="L16" t="s">
        <v>3947</v>
      </c>
      <c r="M16" t="s">
        <v>277</v>
      </c>
      <c r="N16" t="s">
        <v>1596</v>
      </c>
      <c r="O16">
        <v>-15.364379700000001</v>
      </c>
      <c r="P16">
        <v>23.165344099999999</v>
      </c>
      <c r="Q16">
        <v>1003.67333984375</v>
      </c>
      <c r="R16">
        <v>145.602</v>
      </c>
      <c r="S16" t="s">
        <v>84</v>
      </c>
      <c r="T16" t="s">
        <v>182</v>
      </c>
      <c r="U16">
        <v>9</v>
      </c>
      <c r="V16" t="s">
        <v>95</v>
      </c>
      <c r="W16" t="s">
        <v>907</v>
      </c>
      <c r="X16">
        <v>30</v>
      </c>
      <c r="Y16">
        <v>7</v>
      </c>
      <c r="Z16">
        <v>2</v>
      </c>
      <c r="AA16" t="s">
        <v>96</v>
      </c>
      <c r="AB16" t="s">
        <v>351</v>
      </c>
      <c r="AC16" t="s">
        <v>98</v>
      </c>
      <c r="AD16" t="s">
        <v>520</v>
      </c>
      <c r="AE16" t="s">
        <v>100</v>
      </c>
      <c r="AF16" t="s">
        <v>907</v>
      </c>
      <c r="AG16" s="3">
        <v>10000</v>
      </c>
      <c r="AH16" t="s">
        <v>908</v>
      </c>
      <c r="AI16" t="s">
        <v>907</v>
      </c>
      <c r="AJ16" s="5">
        <v>0</v>
      </c>
      <c r="AK16" t="s">
        <v>102</v>
      </c>
      <c r="AL16" t="s">
        <v>907</v>
      </c>
      <c r="AM16" t="s">
        <v>1597</v>
      </c>
      <c r="AN16" t="s">
        <v>907</v>
      </c>
      <c r="AO16" t="s">
        <v>267</v>
      </c>
      <c r="AP16" t="s">
        <v>1598</v>
      </c>
      <c r="AQ16" t="s">
        <v>594</v>
      </c>
      <c r="AR16" t="s">
        <v>95</v>
      </c>
      <c r="AS16">
        <v>0</v>
      </c>
      <c r="AT16">
        <v>0</v>
      </c>
      <c r="AU16">
        <v>0</v>
      </c>
      <c r="AV16">
        <v>5</v>
      </c>
      <c r="AW16">
        <v>5</v>
      </c>
      <c r="AX16">
        <v>0</v>
      </c>
      <c r="AY16">
        <v>0</v>
      </c>
      <c r="AZ16" t="s">
        <v>106</v>
      </c>
      <c r="BA16" t="s">
        <v>95</v>
      </c>
      <c r="BB16" t="s">
        <v>308</v>
      </c>
      <c r="BC16" t="s">
        <v>907</v>
      </c>
      <c r="BD16" t="s">
        <v>107</v>
      </c>
      <c r="BE16" t="s">
        <v>258</v>
      </c>
      <c r="BF16" t="s">
        <v>1599</v>
      </c>
      <c r="BG16" t="s">
        <v>156</v>
      </c>
      <c r="BH16">
        <v>15</v>
      </c>
      <c r="BL16">
        <v>10</v>
      </c>
      <c r="BN16">
        <v>0</v>
      </c>
      <c r="BP16">
        <v>0</v>
      </c>
      <c r="BR16">
        <v>0</v>
      </c>
      <c r="BT16">
        <v>4</v>
      </c>
      <c r="BV16">
        <v>0</v>
      </c>
      <c r="BX16">
        <v>1</v>
      </c>
      <c r="BY16" t="s">
        <v>110</v>
      </c>
      <c r="BZ16" t="s">
        <v>907</v>
      </c>
      <c r="CA16" t="s">
        <v>907</v>
      </c>
      <c r="CB16" t="s">
        <v>84</v>
      </c>
      <c r="CC16" t="s">
        <v>84</v>
      </c>
      <c r="CD16" t="s">
        <v>1600</v>
      </c>
      <c r="CE16" t="s">
        <v>1998</v>
      </c>
      <c r="CF16" t="s">
        <v>1601</v>
      </c>
      <c r="CG16" t="s">
        <v>907</v>
      </c>
      <c r="CH16">
        <v>0</v>
      </c>
      <c r="CI16" t="s">
        <v>84</v>
      </c>
      <c r="CJ16" t="s">
        <v>405</v>
      </c>
      <c r="CK16" t="s">
        <v>289</v>
      </c>
      <c r="CL16" t="s">
        <v>958</v>
      </c>
      <c r="CM16" t="s">
        <v>193</v>
      </c>
      <c r="CN16" t="s">
        <v>194</v>
      </c>
      <c r="CO16" t="s">
        <v>95</v>
      </c>
      <c r="CP16" t="s">
        <v>907</v>
      </c>
      <c r="CQ16" t="s">
        <v>116</v>
      </c>
      <c r="CR16" t="s">
        <v>84</v>
      </c>
      <c r="CS16" t="s">
        <v>117</v>
      </c>
      <c r="CT16" t="s">
        <v>163</v>
      </c>
      <c r="CU16" t="s">
        <v>3869</v>
      </c>
      <c r="CV16" t="s">
        <v>119</v>
      </c>
      <c r="CW16" t="s">
        <v>715</v>
      </c>
      <c r="CX16" t="s">
        <v>166</v>
      </c>
      <c r="CY16" t="s">
        <v>167</v>
      </c>
      <c r="CZ16" t="s">
        <v>696</v>
      </c>
      <c r="DA16">
        <v>1</v>
      </c>
      <c r="DB16" s="10">
        <v>7000</v>
      </c>
      <c r="DC16" t="s">
        <v>169</v>
      </c>
      <c r="DD16" t="s">
        <v>907</v>
      </c>
      <c r="DE16">
        <v>1</v>
      </c>
      <c r="DF16">
        <v>12</v>
      </c>
      <c r="DG16" t="s">
        <v>95</v>
      </c>
      <c r="DH16" t="s">
        <v>95</v>
      </c>
      <c r="DI16" t="s">
        <v>907</v>
      </c>
      <c r="DJ16" t="s">
        <v>907</v>
      </c>
      <c r="DK16" t="s">
        <v>907</v>
      </c>
      <c r="DL16" t="s">
        <v>907</v>
      </c>
      <c r="DM16" t="s">
        <v>291</v>
      </c>
      <c r="DN16" t="s">
        <v>907</v>
      </c>
      <c r="DO16" t="s">
        <v>907</v>
      </c>
      <c r="DP16">
        <v>5</v>
      </c>
      <c r="DQ16" t="s">
        <v>202</v>
      </c>
      <c r="DR16" t="s">
        <v>907</v>
      </c>
      <c r="DS16" t="s">
        <v>917</v>
      </c>
      <c r="DT16" t="s">
        <v>863</v>
      </c>
      <c r="DU16" t="s">
        <v>84</v>
      </c>
      <c r="DV16" t="s">
        <v>294</v>
      </c>
      <c r="DW16" t="s">
        <v>295</v>
      </c>
      <c r="DX16" t="s">
        <v>95</v>
      </c>
      <c r="FQ16">
        <v>566738613</v>
      </c>
      <c r="FR16" t="s">
        <v>1602</v>
      </c>
      <c r="FS16" s="1">
        <v>45925.625578703701</v>
      </c>
      <c r="FV16" t="s">
        <v>134</v>
      </c>
      <c r="FW16" t="s">
        <v>135</v>
      </c>
      <c r="FX16" t="s">
        <v>136</v>
      </c>
      <c r="FZ16">
        <v>256</v>
      </c>
    </row>
    <row r="17" spans="1:182" x14ac:dyDescent="0.3">
      <c r="A17" s="1">
        <v>45926.404569236111</v>
      </c>
      <c r="B17" s="1">
        <v>45926.633928506948</v>
      </c>
      <c r="D17" t="s">
        <v>84</v>
      </c>
      <c r="E17" t="s">
        <v>85</v>
      </c>
      <c r="F17" t="s">
        <v>2731</v>
      </c>
      <c r="G17" t="s">
        <v>176</v>
      </c>
      <c r="H17" t="s">
        <v>4122</v>
      </c>
      <c r="I17" t="s">
        <v>2732</v>
      </c>
      <c r="J17" t="s">
        <v>157</v>
      </c>
      <c r="K17" t="s">
        <v>90</v>
      </c>
      <c r="L17" t="s">
        <v>2733</v>
      </c>
      <c r="M17" t="s">
        <v>2734</v>
      </c>
      <c r="N17" t="s">
        <v>2735</v>
      </c>
      <c r="O17">
        <v>-15.234415200000001</v>
      </c>
      <c r="P17">
        <v>22.936354300000001</v>
      </c>
      <c r="Q17">
        <v>1028.508911132812</v>
      </c>
      <c r="R17">
        <v>4.3019999999999996</v>
      </c>
      <c r="S17" t="s">
        <v>84</v>
      </c>
      <c r="T17" t="s">
        <v>182</v>
      </c>
      <c r="U17">
        <v>7</v>
      </c>
      <c r="V17" t="s">
        <v>95</v>
      </c>
      <c r="W17" t="s">
        <v>907</v>
      </c>
      <c r="X17">
        <v>23</v>
      </c>
      <c r="Y17">
        <v>15</v>
      </c>
      <c r="Z17">
        <v>10</v>
      </c>
      <c r="AA17" t="s">
        <v>96</v>
      </c>
      <c r="AB17" t="s">
        <v>351</v>
      </c>
      <c r="AC17" t="s">
        <v>98</v>
      </c>
      <c r="AD17" t="s">
        <v>99</v>
      </c>
      <c r="AE17" t="s">
        <v>100</v>
      </c>
      <c r="AF17" t="s">
        <v>907</v>
      </c>
      <c r="AG17">
        <v>0</v>
      </c>
      <c r="AH17" t="s">
        <v>100</v>
      </c>
      <c r="AI17" t="s">
        <v>907</v>
      </c>
      <c r="AJ17" s="5">
        <v>0</v>
      </c>
      <c r="AK17" t="s">
        <v>102</v>
      </c>
      <c r="AL17" t="s">
        <v>907</v>
      </c>
      <c r="AM17" t="s">
        <v>466</v>
      </c>
      <c r="AN17" t="s">
        <v>907</v>
      </c>
      <c r="AO17" t="s">
        <v>2736</v>
      </c>
      <c r="AP17">
        <v>0</v>
      </c>
      <c r="AQ17" t="s">
        <v>466</v>
      </c>
      <c r="AR17" t="s">
        <v>95</v>
      </c>
      <c r="AS17">
        <v>6</v>
      </c>
      <c r="AT17">
        <v>0</v>
      </c>
      <c r="AU17">
        <v>0</v>
      </c>
      <c r="AV17">
        <v>0</v>
      </c>
      <c r="AW17">
        <v>0</v>
      </c>
      <c r="AX17">
        <v>0</v>
      </c>
      <c r="AY17">
        <v>0</v>
      </c>
      <c r="AZ17" t="s">
        <v>1003</v>
      </c>
      <c r="BA17" t="s">
        <v>95</v>
      </c>
      <c r="BB17" t="s">
        <v>3866</v>
      </c>
      <c r="BC17" t="s">
        <v>907</v>
      </c>
      <c r="BD17" t="s">
        <v>107</v>
      </c>
      <c r="BE17" t="s">
        <v>108</v>
      </c>
      <c r="BF17" t="s">
        <v>585</v>
      </c>
      <c r="BG17" t="s">
        <v>235</v>
      </c>
      <c r="BH17">
        <v>89</v>
      </c>
      <c r="BY17" t="s">
        <v>189</v>
      </c>
      <c r="BZ17">
        <v>3</v>
      </c>
      <c r="CA17">
        <v>15</v>
      </c>
      <c r="CB17" t="s">
        <v>84</v>
      </c>
      <c r="CC17" t="s">
        <v>84</v>
      </c>
      <c r="CD17" t="s">
        <v>545</v>
      </c>
      <c r="CE17" t="s">
        <v>4250</v>
      </c>
      <c r="CF17" t="s">
        <v>4020</v>
      </c>
      <c r="CG17" t="s">
        <v>907</v>
      </c>
      <c r="CH17">
        <v>2</v>
      </c>
      <c r="CI17" t="s">
        <v>84</v>
      </c>
      <c r="CJ17" t="s">
        <v>262</v>
      </c>
      <c r="CK17" t="s">
        <v>289</v>
      </c>
      <c r="CL17" t="s">
        <v>2737</v>
      </c>
      <c r="CM17" t="s">
        <v>115</v>
      </c>
      <c r="CN17" t="s">
        <v>3883</v>
      </c>
      <c r="CO17" t="s">
        <v>95</v>
      </c>
      <c r="CP17" t="s">
        <v>907</v>
      </c>
      <c r="CQ17" t="s">
        <v>116</v>
      </c>
      <c r="CR17" t="s">
        <v>84</v>
      </c>
      <c r="CS17" t="s">
        <v>117</v>
      </c>
      <c r="CT17" t="s">
        <v>163</v>
      </c>
      <c r="CU17" t="s">
        <v>3869</v>
      </c>
      <c r="CV17" t="s">
        <v>119</v>
      </c>
      <c r="CW17" t="s">
        <v>166</v>
      </c>
      <c r="CX17" t="s">
        <v>166</v>
      </c>
      <c r="CY17" t="s">
        <v>549</v>
      </c>
      <c r="CZ17" t="s">
        <v>168</v>
      </c>
      <c r="DA17">
        <v>0</v>
      </c>
      <c r="DB17" s="10">
        <v>0</v>
      </c>
      <c r="DC17" t="s">
        <v>169</v>
      </c>
      <c r="DD17" t="s">
        <v>907</v>
      </c>
      <c r="DE17">
        <v>5</v>
      </c>
      <c r="DF17">
        <v>25</v>
      </c>
      <c r="DG17" t="s">
        <v>95</v>
      </c>
      <c r="DH17" t="s">
        <v>95</v>
      </c>
      <c r="DI17" t="s">
        <v>907</v>
      </c>
      <c r="DJ17" t="s">
        <v>907</v>
      </c>
      <c r="DK17" t="s">
        <v>907</v>
      </c>
      <c r="DL17" t="s">
        <v>907</v>
      </c>
      <c r="DM17" t="s">
        <v>125</v>
      </c>
      <c r="DN17" t="s">
        <v>170</v>
      </c>
      <c r="DO17" t="s">
        <v>171</v>
      </c>
      <c r="DP17">
        <v>5</v>
      </c>
      <c r="DQ17" t="s">
        <v>128</v>
      </c>
      <c r="DR17" t="s">
        <v>907</v>
      </c>
      <c r="DS17" t="s">
        <v>907</v>
      </c>
      <c r="DT17" t="s">
        <v>2738</v>
      </c>
      <c r="DU17" t="s">
        <v>95</v>
      </c>
      <c r="DV17" t="s">
        <v>907</v>
      </c>
      <c r="DW17" t="s">
        <v>907</v>
      </c>
      <c r="DX17" t="s">
        <v>907</v>
      </c>
      <c r="FQ17">
        <v>567424793</v>
      </c>
      <c r="FR17" t="s">
        <v>2739</v>
      </c>
      <c r="FS17" s="1">
        <v>45926.550925925927</v>
      </c>
      <c r="FV17" t="s">
        <v>134</v>
      </c>
      <c r="FW17" t="s">
        <v>135</v>
      </c>
      <c r="FX17" t="s">
        <v>136</v>
      </c>
      <c r="FZ17">
        <v>396</v>
      </c>
    </row>
    <row r="18" spans="1:182" hidden="1" x14ac:dyDescent="0.3">
      <c r="A18" s="1">
        <v>45925.417458101852</v>
      </c>
      <c r="B18" s="1">
        <v>45925.438848229169</v>
      </c>
      <c r="D18" t="s">
        <v>84</v>
      </c>
      <c r="E18" t="s">
        <v>886</v>
      </c>
      <c r="F18" t="s">
        <v>1614</v>
      </c>
      <c r="G18" t="s">
        <v>176</v>
      </c>
      <c r="H18" t="s">
        <v>4122</v>
      </c>
      <c r="I18" t="s">
        <v>1615</v>
      </c>
      <c r="J18" t="s">
        <v>1616</v>
      </c>
      <c r="K18" t="s">
        <v>90</v>
      </c>
      <c r="L18" t="s">
        <v>3949</v>
      </c>
      <c r="M18" t="s">
        <v>349</v>
      </c>
      <c r="N18" t="s">
        <v>1617</v>
      </c>
      <c r="O18">
        <v>-15.364280300000001</v>
      </c>
      <c r="P18">
        <v>23.1653363</v>
      </c>
      <c r="Q18">
        <v>1024.037353515625</v>
      </c>
      <c r="R18">
        <v>6.6870000000000003</v>
      </c>
      <c r="S18" t="s">
        <v>84</v>
      </c>
      <c r="T18" t="s">
        <v>182</v>
      </c>
      <c r="U18">
        <v>8</v>
      </c>
      <c r="V18" t="s">
        <v>95</v>
      </c>
      <c r="W18" t="s">
        <v>907</v>
      </c>
      <c r="X18">
        <v>15</v>
      </c>
      <c r="Y18">
        <v>7</v>
      </c>
      <c r="Z18">
        <v>4</v>
      </c>
      <c r="AA18" t="s">
        <v>96</v>
      </c>
      <c r="AB18" t="s">
        <v>489</v>
      </c>
      <c r="AC18" t="s">
        <v>98</v>
      </c>
      <c r="AD18" t="s">
        <v>520</v>
      </c>
      <c r="AE18" t="s">
        <v>100</v>
      </c>
      <c r="AF18" t="s">
        <v>907</v>
      </c>
      <c r="AG18">
        <v>0</v>
      </c>
      <c r="AH18" t="s">
        <v>147</v>
      </c>
      <c r="AI18" t="s">
        <v>907</v>
      </c>
      <c r="AJ18" s="5">
        <v>20000</v>
      </c>
      <c r="AK18" t="s">
        <v>102</v>
      </c>
      <c r="AL18" t="s">
        <v>907</v>
      </c>
      <c r="AM18" t="s">
        <v>253</v>
      </c>
      <c r="AN18" t="s">
        <v>907</v>
      </c>
      <c r="AO18" t="s">
        <v>1618</v>
      </c>
      <c r="AP18" t="s">
        <v>1619</v>
      </c>
      <c r="AQ18" t="s">
        <v>1620</v>
      </c>
      <c r="AR18" t="s">
        <v>95</v>
      </c>
      <c r="AS18">
        <v>0</v>
      </c>
      <c r="AT18">
        <v>12</v>
      </c>
      <c r="AU18">
        <v>0</v>
      </c>
      <c r="AV18">
        <v>0</v>
      </c>
      <c r="AW18">
        <v>25</v>
      </c>
      <c r="AX18">
        <v>0</v>
      </c>
      <c r="AY18">
        <v>0</v>
      </c>
      <c r="AZ18" t="s">
        <v>106</v>
      </c>
      <c r="BA18" t="s">
        <v>95</v>
      </c>
      <c r="BB18" t="s">
        <v>308</v>
      </c>
      <c r="BC18" t="s">
        <v>907</v>
      </c>
      <c r="BD18" t="s">
        <v>107</v>
      </c>
      <c r="BE18" t="s">
        <v>258</v>
      </c>
      <c r="BF18" t="s">
        <v>481</v>
      </c>
      <c r="BG18" t="s">
        <v>790</v>
      </c>
      <c r="BH18">
        <v>16</v>
      </c>
      <c r="BL18">
        <v>10</v>
      </c>
      <c r="BN18">
        <v>1</v>
      </c>
      <c r="BP18">
        <v>0</v>
      </c>
      <c r="BR18">
        <v>0</v>
      </c>
      <c r="BT18">
        <v>2</v>
      </c>
      <c r="BV18">
        <v>0</v>
      </c>
      <c r="BX18">
        <v>3</v>
      </c>
      <c r="BY18" t="s">
        <v>110</v>
      </c>
      <c r="BZ18" t="s">
        <v>907</v>
      </c>
      <c r="CA18" t="s">
        <v>907</v>
      </c>
      <c r="CB18" t="s">
        <v>84</v>
      </c>
      <c r="CC18" t="s">
        <v>84</v>
      </c>
      <c r="CD18" t="s">
        <v>334</v>
      </c>
      <c r="CE18" t="s">
        <v>4252</v>
      </c>
      <c r="CF18" t="s">
        <v>1621</v>
      </c>
      <c r="CG18" t="s">
        <v>907</v>
      </c>
      <c r="CH18">
        <v>0</v>
      </c>
      <c r="CI18" t="s">
        <v>84</v>
      </c>
      <c r="CJ18" t="s">
        <v>405</v>
      </c>
      <c r="CK18" t="s">
        <v>289</v>
      </c>
      <c r="CL18" t="s">
        <v>895</v>
      </c>
      <c r="CM18" t="s">
        <v>547</v>
      </c>
      <c r="CN18" t="s">
        <v>3874</v>
      </c>
      <c r="CO18" t="s">
        <v>95</v>
      </c>
      <c r="CP18" t="s">
        <v>907</v>
      </c>
      <c r="CQ18" t="s">
        <v>116</v>
      </c>
      <c r="CR18" t="s">
        <v>84</v>
      </c>
      <c r="CS18" t="s">
        <v>117</v>
      </c>
      <c r="CT18" t="s">
        <v>163</v>
      </c>
      <c r="CU18" t="s">
        <v>3869</v>
      </c>
      <c r="CV18" t="s">
        <v>119</v>
      </c>
      <c r="CW18" t="s">
        <v>1622</v>
      </c>
      <c r="CX18" t="s">
        <v>119</v>
      </c>
      <c r="CY18" t="s">
        <v>121</v>
      </c>
      <c r="CZ18" t="s">
        <v>916</v>
      </c>
      <c r="DA18">
        <v>1</v>
      </c>
      <c r="DB18" s="10">
        <v>7000</v>
      </c>
      <c r="DC18" t="s">
        <v>169</v>
      </c>
      <c r="DD18" t="s">
        <v>907</v>
      </c>
      <c r="DE18">
        <v>5</v>
      </c>
      <c r="DF18">
        <v>12</v>
      </c>
      <c r="DG18" t="s">
        <v>95</v>
      </c>
      <c r="DH18" t="s">
        <v>95</v>
      </c>
      <c r="DI18" t="s">
        <v>907</v>
      </c>
      <c r="DJ18" t="s">
        <v>907</v>
      </c>
      <c r="DK18" t="s">
        <v>907</v>
      </c>
      <c r="DL18" t="s">
        <v>907</v>
      </c>
      <c r="DM18" t="s">
        <v>291</v>
      </c>
      <c r="DN18" t="s">
        <v>907</v>
      </c>
      <c r="DO18" t="s">
        <v>907</v>
      </c>
      <c r="DP18">
        <v>5</v>
      </c>
      <c r="DQ18" t="s">
        <v>202</v>
      </c>
      <c r="DR18" t="s">
        <v>907</v>
      </c>
      <c r="DS18" t="s">
        <v>368</v>
      </c>
      <c r="DT18" t="s">
        <v>863</v>
      </c>
      <c r="DU18" t="s">
        <v>84</v>
      </c>
      <c r="DV18" t="s">
        <v>294</v>
      </c>
      <c r="DW18" t="s">
        <v>533</v>
      </c>
      <c r="DX18" t="s">
        <v>95</v>
      </c>
      <c r="FQ18">
        <v>566738805</v>
      </c>
      <c r="FR18" t="s">
        <v>1623</v>
      </c>
      <c r="FS18" s="1">
        <v>45925.625694444447</v>
      </c>
      <c r="FV18" t="s">
        <v>134</v>
      </c>
      <c r="FW18" t="s">
        <v>135</v>
      </c>
      <c r="FX18" t="s">
        <v>136</v>
      </c>
      <c r="FZ18">
        <v>258</v>
      </c>
    </row>
    <row r="19" spans="1:182" hidden="1" x14ac:dyDescent="0.3">
      <c r="A19" s="1">
        <v>45925.439123784723</v>
      </c>
      <c r="B19" s="1">
        <v>45925.448585949067</v>
      </c>
      <c r="D19" t="s">
        <v>84</v>
      </c>
      <c r="E19" t="s">
        <v>901</v>
      </c>
      <c r="F19" t="s">
        <v>1679</v>
      </c>
      <c r="G19" t="s">
        <v>176</v>
      </c>
      <c r="H19" t="s">
        <v>4122</v>
      </c>
      <c r="I19" t="s">
        <v>1680</v>
      </c>
      <c r="J19" t="s">
        <v>1681</v>
      </c>
      <c r="K19" t="s">
        <v>90</v>
      </c>
      <c r="L19" t="s">
        <v>3947</v>
      </c>
      <c r="M19" t="s">
        <v>277</v>
      </c>
      <c r="N19" t="s">
        <v>1682</v>
      </c>
      <c r="O19">
        <v>-15.36436</v>
      </c>
      <c r="P19">
        <v>23.165295</v>
      </c>
      <c r="Q19">
        <v>1002.2</v>
      </c>
      <c r="R19">
        <v>4.55</v>
      </c>
      <c r="S19" t="s">
        <v>84</v>
      </c>
      <c r="T19" t="s">
        <v>182</v>
      </c>
      <c r="U19">
        <v>10</v>
      </c>
      <c r="V19" t="s">
        <v>95</v>
      </c>
      <c r="W19" t="s">
        <v>907</v>
      </c>
      <c r="X19">
        <v>9</v>
      </c>
      <c r="Y19">
        <v>2</v>
      </c>
      <c r="Z19">
        <v>2</v>
      </c>
      <c r="AA19" t="s">
        <v>96</v>
      </c>
      <c r="AB19" t="s">
        <v>489</v>
      </c>
      <c r="AC19" t="s">
        <v>98</v>
      </c>
      <c r="AD19" t="s">
        <v>520</v>
      </c>
      <c r="AE19" t="s">
        <v>100</v>
      </c>
      <c r="AF19" t="s">
        <v>907</v>
      </c>
      <c r="AG19">
        <v>30000</v>
      </c>
      <c r="AH19" t="s">
        <v>147</v>
      </c>
      <c r="AI19" t="s">
        <v>907</v>
      </c>
      <c r="AJ19" s="5">
        <v>0</v>
      </c>
      <c r="AK19" t="s">
        <v>102</v>
      </c>
      <c r="AL19" t="s">
        <v>907</v>
      </c>
      <c r="AM19" t="s">
        <v>149</v>
      </c>
      <c r="AN19" t="s">
        <v>907</v>
      </c>
      <c r="AO19" t="s">
        <v>1683</v>
      </c>
      <c r="AP19" t="s">
        <v>1684</v>
      </c>
      <c r="AQ19" t="s">
        <v>1685</v>
      </c>
      <c r="AR19" t="s">
        <v>84</v>
      </c>
      <c r="AS19">
        <v>15</v>
      </c>
      <c r="AT19">
        <v>100</v>
      </c>
      <c r="AU19">
        <v>0</v>
      </c>
      <c r="AV19">
        <v>20</v>
      </c>
      <c r="AW19">
        <v>120</v>
      </c>
      <c r="AX19">
        <v>0</v>
      </c>
      <c r="AY19">
        <v>0</v>
      </c>
      <c r="AZ19" t="s">
        <v>1003</v>
      </c>
      <c r="BA19" t="s">
        <v>452</v>
      </c>
      <c r="BB19" t="s">
        <v>154</v>
      </c>
      <c r="BC19" t="s">
        <v>907</v>
      </c>
      <c r="BD19" t="s">
        <v>107</v>
      </c>
      <c r="BE19" t="s">
        <v>258</v>
      </c>
      <c r="BF19" t="s">
        <v>913</v>
      </c>
      <c r="BG19" t="s">
        <v>156</v>
      </c>
      <c r="BH19">
        <v>22</v>
      </c>
      <c r="BL19">
        <v>8</v>
      </c>
      <c r="BN19">
        <v>1</v>
      </c>
      <c r="BP19">
        <v>1</v>
      </c>
      <c r="BR19">
        <v>0</v>
      </c>
      <c r="BT19">
        <v>5</v>
      </c>
      <c r="BV19">
        <v>0</v>
      </c>
      <c r="BX19">
        <v>5</v>
      </c>
      <c r="BY19" t="s">
        <v>110</v>
      </c>
      <c r="BZ19" t="s">
        <v>907</v>
      </c>
      <c r="CA19" t="s">
        <v>907</v>
      </c>
      <c r="CB19" t="s">
        <v>84</v>
      </c>
      <c r="CC19" t="s">
        <v>84</v>
      </c>
      <c r="CD19" t="s">
        <v>822</v>
      </c>
      <c r="CE19" t="s">
        <v>4250</v>
      </c>
      <c r="CF19" t="s">
        <v>1686</v>
      </c>
      <c r="CG19" t="s">
        <v>907</v>
      </c>
      <c r="CH19">
        <v>0</v>
      </c>
      <c r="CI19" t="s">
        <v>84</v>
      </c>
      <c r="CJ19" t="s">
        <v>586</v>
      </c>
      <c r="CK19" t="s">
        <v>289</v>
      </c>
      <c r="CL19" t="s">
        <v>879</v>
      </c>
      <c r="CM19" t="s">
        <v>193</v>
      </c>
      <c r="CN19" t="s">
        <v>421</v>
      </c>
      <c r="CO19" t="s">
        <v>95</v>
      </c>
      <c r="CP19" t="s">
        <v>907</v>
      </c>
      <c r="CQ19" t="s">
        <v>116</v>
      </c>
      <c r="CR19" t="s">
        <v>84</v>
      </c>
      <c r="CS19" t="s">
        <v>117</v>
      </c>
      <c r="CT19" t="s">
        <v>163</v>
      </c>
      <c r="CU19" t="s">
        <v>438</v>
      </c>
      <c r="CV19" t="s">
        <v>119</v>
      </c>
      <c r="CW19" t="s">
        <v>696</v>
      </c>
      <c r="CX19" t="s">
        <v>166</v>
      </c>
      <c r="CY19" t="s">
        <v>167</v>
      </c>
      <c r="CZ19" t="s">
        <v>696</v>
      </c>
      <c r="DA19">
        <v>1</v>
      </c>
      <c r="DB19" s="10">
        <v>9000</v>
      </c>
      <c r="DC19" t="s">
        <v>169</v>
      </c>
      <c r="DD19" t="s">
        <v>907</v>
      </c>
      <c r="DE19">
        <v>1</v>
      </c>
      <c r="DF19">
        <v>12</v>
      </c>
      <c r="DG19" t="s">
        <v>95</v>
      </c>
      <c r="DH19" t="s">
        <v>95</v>
      </c>
      <c r="DI19" t="s">
        <v>907</v>
      </c>
      <c r="DJ19" t="s">
        <v>907</v>
      </c>
      <c r="DK19" t="s">
        <v>907</v>
      </c>
      <c r="DL19" t="s">
        <v>907</v>
      </c>
      <c r="DM19" t="s">
        <v>291</v>
      </c>
      <c r="DN19" t="s">
        <v>907</v>
      </c>
      <c r="DO19" t="s">
        <v>907</v>
      </c>
      <c r="DP19">
        <v>5</v>
      </c>
      <c r="DQ19" t="s">
        <v>128</v>
      </c>
      <c r="DR19" t="s">
        <v>907</v>
      </c>
      <c r="DS19" t="s">
        <v>917</v>
      </c>
      <c r="DT19" t="s">
        <v>1026</v>
      </c>
      <c r="DU19" t="s">
        <v>84</v>
      </c>
      <c r="DV19" t="s">
        <v>1687</v>
      </c>
      <c r="DW19" t="s">
        <v>1612</v>
      </c>
      <c r="DX19" t="s">
        <v>95</v>
      </c>
      <c r="FQ19">
        <v>566741415</v>
      </c>
      <c r="FR19" t="s">
        <v>1688</v>
      </c>
      <c r="FS19" s="1">
        <v>45925.627210648148</v>
      </c>
      <c r="FV19" t="s">
        <v>134</v>
      </c>
      <c r="FW19" t="s">
        <v>135</v>
      </c>
      <c r="FX19" t="s">
        <v>136</v>
      </c>
      <c r="FZ19">
        <v>264</v>
      </c>
    </row>
    <row r="20" spans="1:182" hidden="1" x14ac:dyDescent="0.3">
      <c r="A20" s="1">
        <v>45924.688205868057</v>
      </c>
      <c r="B20" s="1">
        <v>45924.699160335651</v>
      </c>
      <c r="D20" t="s">
        <v>84</v>
      </c>
      <c r="E20" t="s">
        <v>771</v>
      </c>
      <c r="F20" t="s">
        <v>772</v>
      </c>
      <c r="G20" t="s">
        <v>176</v>
      </c>
      <c r="H20" t="s">
        <v>4122</v>
      </c>
      <c r="I20" t="s">
        <v>773</v>
      </c>
      <c r="J20" t="s">
        <v>774</v>
      </c>
      <c r="K20" t="s">
        <v>90</v>
      </c>
      <c r="L20" t="s">
        <v>775</v>
      </c>
      <c r="M20" t="s">
        <v>776</v>
      </c>
      <c r="N20" t="s">
        <v>777</v>
      </c>
      <c r="O20">
        <v>-15.2955497</v>
      </c>
      <c r="P20">
        <v>23.0024005</v>
      </c>
      <c r="Q20">
        <v>1000.3</v>
      </c>
      <c r="R20">
        <v>4.3330000000000002</v>
      </c>
      <c r="S20" t="s">
        <v>84</v>
      </c>
      <c r="T20" t="s">
        <v>182</v>
      </c>
      <c r="U20">
        <v>4</v>
      </c>
      <c r="V20" t="s">
        <v>95</v>
      </c>
      <c r="W20" t="s">
        <v>907</v>
      </c>
      <c r="X20">
        <v>25</v>
      </c>
      <c r="Y20">
        <v>1</v>
      </c>
      <c r="Z20">
        <v>1</v>
      </c>
      <c r="AA20" t="s">
        <v>96</v>
      </c>
      <c r="AB20" t="s">
        <v>489</v>
      </c>
      <c r="AC20" t="s">
        <v>98</v>
      </c>
      <c r="AD20" t="s">
        <v>280</v>
      </c>
      <c r="AE20" t="s">
        <v>101</v>
      </c>
      <c r="AF20" t="s">
        <v>907</v>
      </c>
      <c r="AG20">
        <v>50</v>
      </c>
      <c r="AH20" t="s">
        <v>304</v>
      </c>
      <c r="AI20" t="s">
        <v>907</v>
      </c>
      <c r="AJ20" s="5">
        <v>850</v>
      </c>
      <c r="AK20" t="s">
        <v>183</v>
      </c>
      <c r="AL20" t="s">
        <v>907</v>
      </c>
      <c r="AM20" t="s">
        <v>466</v>
      </c>
      <c r="AN20" t="s">
        <v>907</v>
      </c>
      <c r="AQ20" t="s">
        <v>907</v>
      </c>
      <c r="AR20" t="s">
        <v>907</v>
      </c>
      <c r="AS20">
        <v>0</v>
      </c>
      <c r="AT20">
        <v>0</v>
      </c>
      <c r="AU20">
        <v>0</v>
      </c>
      <c r="AV20">
        <v>0</v>
      </c>
      <c r="AW20">
        <v>0</v>
      </c>
      <c r="AX20">
        <v>0</v>
      </c>
      <c r="AY20">
        <v>0</v>
      </c>
      <c r="AZ20" t="s">
        <v>106</v>
      </c>
      <c r="BA20" t="s">
        <v>907</v>
      </c>
      <c r="BB20" t="s">
        <v>3866</v>
      </c>
      <c r="BC20" t="s">
        <v>907</v>
      </c>
      <c r="BD20" t="s">
        <v>107</v>
      </c>
      <c r="BE20" t="s">
        <v>907</v>
      </c>
      <c r="BF20" t="s">
        <v>907</v>
      </c>
      <c r="BG20" t="s">
        <v>156</v>
      </c>
      <c r="BH20">
        <v>60</v>
      </c>
      <c r="BL20">
        <v>16</v>
      </c>
      <c r="BN20">
        <v>5</v>
      </c>
      <c r="BP20">
        <v>10</v>
      </c>
      <c r="BR20">
        <v>4</v>
      </c>
      <c r="BT20">
        <v>6</v>
      </c>
      <c r="BV20">
        <v>8</v>
      </c>
      <c r="BX20">
        <v>17</v>
      </c>
      <c r="BY20" t="s">
        <v>189</v>
      </c>
      <c r="BZ20">
        <v>6</v>
      </c>
      <c r="CA20">
        <v>7</v>
      </c>
      <c r="CB20" t="s">
        <v>84</v>
      </c>
      <c r="CC20" t="s">
        <v>84</v>
      </c>
      <c r="CD20" t="s">
        <v>778</v>
      </c>
      <c r="CE20" t="s">
        <v>4249</v>
      </c>
      <c r="CF20" t="s">
        <v>779</v>
      </c>
      <c r="CG20" t="s">
        <v>907</v>
      </c>
      <c r="CH20">
        <v>0</v>
      </c>
      <c r="CI20" t="s">
        <v>84</v>
      </c>
      <c r="CJ20" t="s">
        <v>546</v>
      </c>
      <c r="CK20" t="s">
        <v>289</v>
      </c>
      <c r="CL20" t="s">
        <v>456</v>
      </c>
      <c r="CM20" t="s">
        <v>193</v>
      </c>
      <c r="CN20" t="s">
        <v>3874</v>
      </c>
      <c r="CO20" t="s">
        <v>95</v>
      </c>
      <c r="CP20" t="s">
        <v>907</v>
      </c>
      <c r="CQ20" t="s">
        <v>116</v>
      </c>
      <c r="CR20" t="s">
        <v>84</v>
      </c>
      <c r="CS20" t="s">
        <v>117</v>
      </c>
      <c r="CT20" t="s">
        <v>163</v>
      </c>
      <c r="CU20" t="s">
        <v>3869</v>
      </c>
      <c r="CV20" t="s">
        <v>907</v>
      </c>
      <c r="CW20" t="s">
        <v>907</v>
      </c>
      <c r="CX20" t="s">
        <v>166</v>
      </c>
      <c r="CY20" t="s">
        <v>167</v>
      </c>
      <c r="CZ20" t="s">
        <v>780</v>
      </c>
      <c r="DA20">
        <v>2</v>
      </c>
      <c r="DB20" s="10">
        <v>10000</v>
      </c>
      <c r="DC20" t="s">
        <v>169</v>
      </c>
      <c r="DD20" t="s">
        <v>907</v>
      </c>
      <c r="DE20">
        <v>1</v>
      </c>
      <c r="DF20">
        <v>15</v>
      </c>
      <c r="DG20" t="s">
        <v>95</v>
      </c>
      <c r="DH20" t="s">
        <v>95</v>
      </c>
      <c r="DI20" t="s">
        <v>907</v>
      </c>
      <c r="DJ20" t="s">
        <v>907</v>
      </c>
      <c r="DK20" t="s">
        <v>907</v>
      </c>
      <c r="DL20" t="s">
        <v>907</v>
      </c>
      <c r="DM20" t="s">
        <v>291</v>
      </c>
      <c r="DN20" t="s">
        <v>907</v>
      </c>
      <c r="DO20" t="s">
        <v>907</v>
      </c>
      <c r="DP20">
        <v>3</v>
      </c>
      <c r="DQ20" t="s">
        <v>128</v>
      </c>
      <c r="DR20" t="s">
        <v>907</v>
      </c>
      <c r="DS20" t="s">
        <v>172</v>
      </c>
      <c r="DT20" t="s">
        <v>781</v>
      </c>
      <c r="DU20" t="s">
        <v>95</v>
      </c>
      <c r="DV20" t="s">
        <v>907</v>
      </c>
      <c r="DW20" t="s">
        <v>907</v>
      </c>
      <c r="DX20" t="s">
        <v>907</v>
      </c>
      <c r="FQ20">
        <v>565913669</v>
      </c>
      <c r="FR20" t="s">
        <v>782</v>
      </c>
      <c r="FS20" s="1">
        <v>45924.648657407408</v>
      </c>
      <c r="FV20" t="s">
        <v>134</v>
      </c>
      <c r="FW20" t="s">
        <v>135</v>
      </c>
      <c r="FX20" t="s">
        <v>136</v>
      </c>
      <c r="FZ20">
        <v>168</v>
      </c>
    </row>
    <row r="21" spans="1:182" x14ac:dyDescent="0.3">
      <c r="A21" s="1">
        <v>45923.492416724534</v>
      </c>
      <c r="B21" s="1">
        <v>45923.535004999998</v>
      </c>
      <c r="D21" t="s">
        <v>84</v>
      </c>
      <c r="E21" t="s">
        <v>85</v>
      </c>
      <c r="F21" t="s">
        <v>137</v>
      </c>
      <c r="G21" t="s">
        <v>87</v>
      </c>
      <c r="H21" t="s">
        <v>4122</v>
      </c>
      <c r="I21" t="s">
        <v>138</v>
      </c>
      <c r="J21" t="s">
        <v>139</v>
      </c>
      <c r="K21" t="s">
        <v>90</v>
      </c>
      <c r="L21" t="s">
        <v>140</v>
      </c>
      <c r="M21" t="s">
        <v>141</v>
      </c>
      <c r="N21" t="s">
        <v>142</v>
      </c>
      <c r="O21">
        <v>-15.4406614</v>
      </c>
      <c r="P21">
        <v>23.216616599999998</v>
      </c>
      <c r="Q21">
        <v>1034.94580078125</v>
      </c>
      <c r="R21">
        <v>4.335</v>
      </c>
      <c r="S21" t="s">
        <v>84</v>
      </c>
      <c r="T21" t="s">
        <v>94</v>
      </c>
      <c r="U21">
        <v>2</v>
      </c>
      <c r="V21" t="s">
        <v>95</v>
      </c>
      <c r="W21" t="s">
        <v>907</v>
      </c>
      <c r="X21">
        <v>29</v>
      </c>
      <c r="Y21">
        <v>20</v>
      </c>
      <c r="Z21">
        <v>1.5</v>
      </c>
      <c r="AA21" t="s">
        <v>96</v>
      </c>
      <c r="AB21" t="s">
        <v>143</v>
      </c>
      <c r="AC21" t="s">
        <v>144</v>
      </c>
      <c r="AD21" t="s">
        <v>145</v>
      </c>
      <c r="AE21" t="s">
        <v>146</v>
      </c>
      <c r="AF21" t="s">
        <v>907</v>
      </c>
      <c r="AG21">
        <v>5000</v>
      </c>
      <c r="AH21" t="s">
        <v>147</v>
      </c>
      <c r="AI21" t="s">
        <v>907</v>
      </c>
      <c r="AJ21" s="5">
        <v>1500</v>
      </c>
      <c r="AK21" t="s">
        <v>148</v>
      </c>
      <c r="AL21" t="s">
        <v>907</v>
      </c>
      <c r="AM21" t="s">
        <v>149</v>
      </c>
      <c r="AN21" t="s">
        <v>907</v>
      </c>
      <c r="AO21" t="s">
        <v>150</v>
      </c>
      <c r="AP21" t="s">
        <v>151</v>
      </c>
      <c r="AQ21" t="s">
        <v>152</v>
      </c>
      <c r="AR21" t="s">
        <v>84</v>
      </c>
      <c r="AS21">
        <v>92</v>
      </c>
      <c r="AT21">
        <v>4</v>
      </c>
      <c r="AU21">
        <v>0</v>
      </c>
      <c r="AV21">
        <v>100</v>
      </c>
      <c r="AW21">
        <v>100</v>
      </c>
      <c r="AX21">
        <v>0</v>
      </c>
      <c r="AY21">
        <v>0</v>
      </c>
      <c r="AZ21" t="s">
        <v>153</v>
      </c>
      <c r="BA21" t="s">
        <v>95</v>
      </c>
      <c r="BB21" t="s">
        <v>154</v>
      </c>
      <c r="BC21" t="s">
        <v>907</v>
      </c>
      <c r="BD21" t="s">
        <v>107</v>
      </c>
      <c r="BE21" t="s">
        <v>108</v>
      </c>
      <c r="BF21" t="s">
        <v>155</v>
      </c>
      <c r="BG21" t="s">
        <v>156</v>
      </c>
      <c r="BH21">
        <v>56</v>
      </c>
      <c r="BL21">
        <v>39</v>
      </c>
      <c r="BN21">
        <v>2</v>
      </c>
      <c r="BT21">
        <v>5</v>
      </c>
      <c r="BV21">
        <v>4</v>
      </c>
      <c r="BX21">
        <v>6</v>
      </c>
      <c r="BY21" t="s">
        <v>110</v>
      </c>
      <c r="BZ21" t="s">
        <v>907</v>
      </c>
      <c r="CA21" t="s">
        <v>907</v>
      </c>
      <c r="CB21" t="s">
        <v>84</v>
      </c>
      <c r="CC21" t="s">
        <v>84</v>
      </c>
      <c r="CD21" t="s">
        <v>158</v>
      </c>
      <c r="CE21" t="s">
        <v>4250</v>
      </c>
      <c r="CF21" t="s">
        <v>159</v>
      </c>
      <c r="CG21" t="s">
        <v>907</v>
      </c>
      <c r="CH21">
        <v>2</v>
      </c>
      <c r="CI21" t="s">
        <v>84</v>
      </c>
      <c r="CJ21" t="s">
        <v>160</v>
      </c>
      <c r="CK21" t="s">
        <v>113</v>
      </c>
      <c r="CL21" t="s">
        <v>161</v>
      </c>
      <c r="CM21" t="s">
        <v>162</v>
      </c>
      <c r="CN21" t="s">
        <v>3870</v>
      </c>
      <c r="CO21" t="s">
        <v>95</v>
      </c>
      <c r="CP21" t="s">
        <v>907</v>
      </c>
      <c r="CQ21" t="s">
        <v>116</v>
      </c>
      <c r="CR21" t="s">
        <v>84</v>
      </c>
      <c r="CS21" t="s">
        <v>117</v>
      </c>
      <c r="CT21" t="s">
        <v>163</v>
      </c>
      <c r="CU21" t="s">
        <v>3869</v>
      </c>
      <c r="CV21" t="s">
        <v>164</v>
      </c>
      <c r="CW21" t="s">
        <v>165</v>
      </c>
      <c r="CX21" t="s">
        <v>166</v>
      </c>
      <c r="CY21" t="s">
        <v>167</v>
      </c>
      <c r="CZ21" t="s">
        <v>168</v>
      </c>
      <c r="DA21">
        <v>5</v>
      </c>
      <c r="DB21" s="10">
        <v>42</v>
      </c>
      <c r="DC21" t="s">
        <v>169</v>
      </c>
      <c r="DD21" t="s">
        <v>907</v>
      </c>
      <c r="DE21">
        <v>3</v>
      </c>
      <c r="DF21">
        <v>24</v>
      </c>
      <c r="DG21" t="s">
        <v>84</v>
      </c>
      <c r="DH21" t="s">
        <v>95</v>
      </c>
      <c r="DI21" t="s">
        <v>907</v>
      </c>
      <c r="DJ21" t="s">
        <v>907</v>
      </c>
      <c r="DK21" t="s">
        <v>907</v>
      </c>
      <c r="DL21" t="s">
        <v>907</v>
      </c>
      <c r="DM21" t="s">
        <v>125</v>
      </c>
      <c r="DN21" t="s">
        <v>170</v>
      </c>
      <c r="DO21" t="s">
        <v>171</v>
      </c>
      <c r="DP21">
        <v>2</v>
      </c>
      <c r="DQ21" t="s">
        <v>128</v>
      </c>
      <c r="DR21" t="s">
        <v>907</v>
      </c>
      <c r="DS21" t="s">
        <v>172</v>
      </c>
      <c r="DT21" t="s">
        <v>173</v>
      </c>
      <c r="DU21" t="s">
        <v>95</v>
      </c>
      <c r="DV21" t="s">
        <v>907</v>
      </c>
      <c r="DW21" t="s">
        <v>907</v>
      </c>
      <c r="DX21" t="s">
        <v>907</v>
      </c>
      <c r="FQ21">
        <v>565100050</v>
      </c>
      <c r="FR21" t="s">
        <v>174</v>
      </c>
      <c r="FS21" s="1">
        <v>45923.675358796303</v>
      </c>
      <c r="FV21" t="s">
        <v>134</v>
      </c>
      <c r="FW21" t="s">
        <v>135</v>
      </c>
      <c r="FX21" t="s">
        <v>136</v>
      </c>
      <c r="FZ21">
        <v>90</v>
      </c>
    </row>
    <row r="22" spans="1:182" x14ac:dyDescent="0.3">
      <c r="A22" s="1">
        <v>45923.429704837959</v>
      </c>
      <c r="B22" s="1">
        <v>45923.534211064813</v>
      </c>
      <c r="D22" t="s">
        <v>84</v>
      </c>
      <c r="E22" t="s">
        <v>85</v>
      </c>
      <c r="F22" t="s">
        <v>227</v>
      </c>
      <c r="G22" t="s">
        <v>176</v>
      </c>
      <c r="H22" t="s">
        <v>4122</v>
      </c>
      <c r="I22" t="s">
        <v>228</v>
      </c>
      <c r="J22" t="s">
        <v>229</v>
      </c>
      <c r="K22" t="s">
        <v>90</v>
      </c>
      <c r="L22" t="s">
        <v>91</v>
      </c>
      <c r="M22" t="s">
        <v>230</v>
      </c>
      <c r="N22" t="s">
        <v>231</v>
      </c>
      <c r="O22">
        <v>-15.46773</v>
      </c>
      <c r="P22">
        <v>23.2200974</v>
      </c>
      <c r="Q22">
        <v>1026.890014648438</v>
      </c>
      <c r="R22">
        <v>4.6120000000000001</v>
      </c>
      <c r="S22" t="s">
        <v>84</v>
      </c>
      <c r="T22" t="s">
        <v>182</v>
      </c>
      <c r="U22">
        <v>7</v>
      </c>
      <c r="V22" t="s">
        <v>212</v>
      </c>
      <c r="W22" t="s">
        <v>232</v>
      </c>
      <c r="X22">
        <v>25</v>
      </c>
      <c r="Y22">
        <v>6</v>
      </c>
      <c r="Z22">
        <v>1</v>
      </c>
      <c r="AA22" t="s">
        <v>96</v>
      </c>
      <c r="AB22" t="s">
        <v>97</v>
      </c>
      <c r="AC22" t="s">
        <v>98</v>
      </c>
      <c r="AD22" t="s">
        <v>99</v>
      </c>
      <c r="AE22" t="s">
        <v>100</v>
      </c>
      <c r="AF22" t="s">
        <v>907</v>
      </c>
      <c r="AG22">
        <v>0</v>
      </c>
      <c r="AH22" t="s">
        <v>147</v>
      </c>
      <c r="AI22" t="s">
        <v>907</v>
      </c>
      <c r="AJ22" s="5">
        <v>5000</v>
      </c>
      <c r="AK22" t="s">
        <v>102</v>
      </c>
      <c r="AL22" t="s">
        <v>907</v>
      </c>
      <c r="AM22" t="s">
        <v>149</v>
      </c>
      <c r="AN22" t="s">
        <v>907</v>
      </c>
      <c r="AO22" t="s">
        <v>233</v>
      </c>
      <c r="AP22" t="s">
        <v>234</v>
      </c>
      <c r="AQ22" t="s">
        <v>149</v>
      </c>
      <c r="AR22" t="s">
        <v>84</v>
      </c>
      <c r="AS22">
        <v>6</v>
      </c>
      <c r="AT22">
        <v>10</v>
      </c>
      <c r="AU22">
        <v>0</v>
      </c>
      <c r="AV22">
        <v>1</v>
      </c>
      <c r="AW22">
        <v>0</v>
      </c>
      <c r="AX22">
        <v>0</v>
      </c>
      <c r="AY22">
        <v>0</v>
      </c>
      <c r="AZ22" t="s">
        <v>106</v>
      </c>
      <c r="BA22" t="s">
        <v>95</v>
      </c>
      <c r="BB22" t="s">
        <v>232</v>
      </c>
      <c r="BC22" t="s">
        <v>95</v>
      </c>
      <c r="BD22" t="s">
        <v>107</v>
      </c>
      <c r="BE22" t="s">
        <v>108</v>
      </c>
      <c r="BF22" t="s">
        <v>3872</v>
      </c>
      <c r="BG22" t="s">
        <v>235</v>
      </c>
      <c r="BH22">
        <v>12</v>
      </c>
      <c r="BL22">
        <v>7</v>
      </c>
      <c r="BN22">
        <v>1</v>
      </c>
      <c r="BV22">
        <v>2</v>
      </c>
      <c r="BX22">
        <v>2</v>
      </c>
      <c r="BY22" t="s">
        <v>189</v>
      </c>
      <c r="BZ22">
        <v>4</v>
      </c>
      <c r="CA22">
        <v>12</v>
      </c>
      <c r="CB22" t="s">
        <v>84</v>
      </c>
      <c r="CC22" t="s">
        <v>84</v>
      </c>
      <c r="CD22" t="s">
        <v>237</v>
      </c>
      <c r="CE22" t="s">
        <v>4250</v>
      </c>
      <c r="CF22" t="s">
        <v>238</v>
      </c>
      <c r="CG22" t="s">
        <v>907</v>
      </c>
      <c r="CH22">
        <v>9</v>
      </c>
      <c r="CI22" t="s">
        <v>95</v>
      </c>
      <c r="CJ22" t="s">
        <v>907</v>
      </c>
      <c r="CK22" t="s">
        <v>113</v>
      </c>
      <c r="CL22" t="s">
        <v>239</v>
      </c>
      <c r="CM22" t="s">
        <v>193</v>
      </c>
      <c r="CN22" t="s">
        <v>3868</v>
      </c>
      <c r="CO22" t="s">
        <v>95</v>
      </c>
      <c r="CP22" t="s">
        <v>907</v>
      </c>
      <c r="CQ22" t="s">
        <v>116</v>
      </c>
      <c r="CR22" t="s">
        <v>84</v>
      </c>
      <c r="CS22" t="s">
        <v>117</v>
      </c>
      <c r="CT22" t="s">
        <v>163</v>
      </c>
      <c r="CU22" t="s">
        <v>3869</v>
      </c>
      <c r="CV22" t="s">
        <v>119</v>
      </c>
      <c r="CW22" t="s">
        <v>240</v>
      </c>
      <c r="CX22" t="s">
        <v>119</v>
      </c>
      <c r="CY22" t="s">
        <v>167</v>
      </c>
      <c r="CZ22" t="s">
        <v>241</v>
      </c>
      <c r="DA22">
        <v>1</v>
      </c>
      <c r="DB22" s="10">
        <v>4000</v>
      </c>
      <c r="DC22" t="s">
        <v>169</v>
      </c>
      <c r="DD22" t="s">
        <v>907</v>
      </c>
      <c r="DE22">
        <v>5</v>
      </c>
      <c r="DF22">
        <v>20</v>
      </c>
      <c r="DG22" t="s">
        <v>95</v>
      </c>
      <c r="DH22" t="s">
        <v>95</v>
      </c>
      <c r="DI22" t="s">
        <v>907</v>
      </c>
      <c r="DJ22" t="s">
        <v>907</v>
      </c>
      <c r="DK22" t="s">
        <v>907</v>
      </c>
      <c r="DL22" t="s">
        <v>907</v>
      </c>
      <c r="DM22" t="s">
        <v>125</v>
      </c>
      <c r="DN22" t="s">
        <v>242</v>
      </c>
      <c r="DO22" t="s">
        <v>201</v>
      </c>
      <c r="DP22">
        <v>5</v>
      </c>
      <c r="DQ22" t="s">
        <v>128</v>
      </c>
      <c r="DR22" t="s">
        <v>907</v>
      </c>
      <c r="DS22" t="s">
        <v>203</v>
      </c>
      <c r="DT22" t="s">
        <v>243</v>
      </c>
      <c r="DU22" t="s">
        <v>84</v>
      </c>
      <c r="DV22" t="s">
        <v>225</v>
      </c>
      <c r="DW22" t="s">
        <v>132</v>
      </c>
      <c r="DX22" t="s">
        <v>95</v>
      </c>
      <c r="FQ22">
        <v>565100106</v>
      </c>
      <c r="FR22" t="s">
        <v>244</v>
      </c>
      <c r="FS22" s="1">
        <v>45923.675381944442</v>
      </c>
      <c r="FV22" t="s">
        <v>134</v>
      </c>
      <c r="FW22" t="s">
        <v>135</v>
      </c>
      <c r="FX22" t="s">
        <v>136</v>
      </c>
      <c r="FZ22">
        <v>93</v>
      </c>
    </row>
    <row r="23" spans="1:182" x14ac:dyDescent="0.3">
      <c r="A23" s="1">
        <v>45925.534378402779</v>
      </c>
      <c r="B23" s="1">
        <v>45925.558784745372</v>
      </c>
      <c r="D23" t="s">
        <v>84</v>
      </c>
      <c r="E23" t="s">
        <v>1226</v>
      </c>
      <c r="F23" t="s">
        <v>2268</v>
      </c>
      <c r="G23" t="s">
        <v>176</v>
      </c>
      <c r="H23" t="s">
        <v>4121</v>
      </c>
      <c r="I23" t="s">
        <v>2269</v>
      </c>
      <c r="J23" t="s">
        <v>2270</v>
      </c>
      <c r="K23" t="s">
        <v>90</v>
      </c>
      <c r="L23" t="s">
        <v>2153</v>
      </c>
      <c r="M23" t="s">
        <v>2154</v>
      </c>
      <c r="N23" t="s">
        <v>2271</v>
      </c>
      <c r="O23">
        <v>-15.233526700000001</v>
      </c>
      <c r="P23">
        <v>22.991821699999999</v>
      </c>
      <c r="Q23">
        <v>1027</v>
      </c>
      <c r="R23">
        <v>4.8330000000000002</v>
      </c>
      <c r="S23" t="s">
        <v>84</v>
      </c>
      <c r="T23" t="s">
        <v>94</v>
      </c>
      <c r="U23">
        <v>4</v>
      </c>
      <c r="V23" t="s">
        <v>95</v>
      </c>
      <c r="W23" t="s">
        <v>907</v>
      </c>
      <c r="X23">
        <v>16</v>
      </c>
      <c r="Y23" s="3">
        <v>6000</v>
      </c>
      <c r="Z23">
        <v>1</v>
      </c>
      <c r="AA23" t="s">
        <v>251</v>
      </c>
      <c r="AB23" t="s">
        <v>351</v>
      </c>
      <c r="AC23" t="s">
        <v>98</v>
      </c>
      <c r="AD23" t="s">
        <v>252</v>
      </c>
      <c r="AE23" t="s">
        <v>123</v>
      </c>
      <c r="AF23" t="s">
        <v>1232</v>
      </c>
      <c r="AG23">
        <v>700</v>
      </c>
      <c r="AH23" t="s">
        <v>2156</v>
      </c>
      <c r="AI23" t="s">
        <v>907</v>
      </c>
      <c r="AJ23" s="5">
        <v>2500</v>
      </c>
      <c r="AK23" t="s">
        <v>102</v>
      </c>
      <c r="AL23" t="s">
        <v>907</v>
      </c>
      <c r="AM23" t="s">
        <v>2272</v>
      </c>
      <c r="AN23" t="s">
        <v>907</v>
      </c>
      <c r="AO23" t="s">
        <v>2114</v>
      </c>
      <c r="AP23" t="s">
        <v>2114</v>
      </c>
      <c r="AQ23" t="s">
        <v>956</v>
      </c>
      <c r="AR23" t="s">
        <v>84</v>
      </c>
      <c r="AS23">
        <v>5</v>
      </c>
      <c r="AT23">
        <v>0</v>
      </c>
      <c r="AU23">
        <v>0</v>
      </c>
      <c r="AV23">
        <v>5</v>
      </c>
      <c r="AW23">
        <v>0</v>
      </c>
      <c r="AX23">
        <v>0</v>
      </c>
      <c r="AY23">
        <v>0</v>
      </c>
      <c r="AZ23" t="s">
        <v>284</v>
      </c>
      <c r="BA23" t="s">
        <v>452</v>
      </c>
      <c r="BB23" t="s">
        <v>154</v>
      </c>
      <c r="BC23" t="s">
        <v>907</v>
      </c>
      <c r="BD23" t="s">
        <v>107</v>
      </c>
      <c r="BE23" t="s">
        <v>2102</v>
      </c>
      <c r="BF23" t="s">
        <v>2144</v>
      </c>
      <c r="BG23" t="s">
        <v>109</v>
      </c>
      <c r="BH23">
        <v>20</v>
      </c>
      <c r="BL23">
        <v>8</v>
      </c>
      <c r="BN23">
        <v>0</v>
      </c>
      <c r="BP23">
        <v>2</v>
      </c>
      <c r="BR23">
        <v>3</v>
      </c>
      <c r="BT23">
        <v>0</v>
      </c>
      <c r="BV23">
        <v>1</v>
      </c>
      <c r="BX23">
        <v>6</v>
      </c>
      <c r="BY23" t="s">
        <v>110</v>
      </c>
      <c r="BZ23" t="s">
        <v>907</v>
      </c>
      <c r="CA23" t="s">
        <v>907</v>
      </c>
      <c r="CB23" t="s">
        <v>84</v>
      </c>
      <c r="CC23" t="s">
        <v>84</v>
      </c>
      <c r="CD23" t="s">
        <v>778</v>
      </c>
      <c r="CE23" t="s">
        <v>4251</v>
      </c>
      <c r="CF23" t="s">
        <v>2273</v>
      </c>
      <c r="CG23" t="s">
        <v>907</v>
      </c>
      <c r="CH23">
        <v>0</v>
      </c>
      <c r="CI23" t="s">
        <v>84</v>
      </c>
      <c r="CJ23" t="s">
        <v>262</v>
      </c>
      <c r="CK23" t="s">
        <v>289</v>
      </c>
      <c r="CL23" t="s">
        <v>367</v>
      </c>
      <c r="CM23" t="s">
        <v>193</v>
      </c>
      <c r="CN23" t="s">
        <v>421</v>
      </c>
      <c r="CO23" t="s">
        <v>95</v>
      </c>
      <c r="CP23" t="s">
        <v>907</v>
      </c>
      <c r="CQ23" t="s">
        <v>116</v>
      </c>
      <c r="CR23" t="s">
        <v>84</v>
      </c>
      <c r="CS23" t="s">
        <v>117</v>
      </c>
      <c r="CT23" t="s">
        <v>118</v>
      </c>
      <c r="CU23" t="s">
        <v>3869</v>
      </c>
      <c r="CV23" t="s">
        <v>812</v>
      </c>
      <c r="CW23" t="s">
        <v>559</v>
      </c>
      <c r="CX23" t="s">
        <v>166</v>
      </c>
      <c r="CY23" t="s">
        <v>167</v>
      </c>
      <c r="CZ23" t="s">
        <v>1591</v>
      </c>
      <c r="DA23">
        <v>2</v>
      </c>
      <c r="DB23" s="10">
        <v>12000</v>
      </c>
      <c r="DC23" t="s">
        <v>169</v>
      </c>
      <c r="DD23" t="s">
        <v>907</v>
      </c>
      <c r="DE23">
        <v>3</v>
      </c>
      <c r="DF23">
        <v>12</v>
      </c>
      <c r="DG23" t="s">
        <v>95</v>
      </c>
      <c r="DH23" t="s">
        <v>95</v>
      </c>
      <c r="DI23" t="s">
        <v>907</v>
      </c>
      <c r="DJ23" t="s">
        <v>907</v>
      </c>
      <c r="DK23" t="s">
        <v>907</v>
      </c>
      <c r="DL23" t="s">
        <v>907</v>
      </c>
      <c r="DM23" t="s">
        <v>291</v>
      </c>
      <c r="DN23" t="s">
        <v>907</v>
      </c>
      <c r="DO23" t="s">
        <v>907</v>
      </c>
      <c r="DP23">
        <v>1</v>
      </c>
      <c r="DQ23" t="s">
        <v>441</v>
      </c>
      <c r="DR23" t="s">
        <v>907</v>
      </c>
      <c r="DS23" t="s">
        <v>1362</v>
      </c>
      <c r="DT23" t="s">
        <v>2205</v>
      </c>
      <c r="DU23" t="s">
        <v>84</v>
      </c>
      <c r="DV23" t="s">
        <v>294</v>
      </c>
      <c r="DW23" t="s">
        <v>423</v>
      </c>
      <c r="DX23" t="s">
        <v>95</v>
      </c>
      <c r="FQ23">
        <v>566875433</v>
      </c>
      <c r="FR23" t="s">
        <v>2274</v>
      </c>
      <c r="FS23" s="1">
        <v>45925.743842592587</v>
      </c>
      <c r="FV23" t="s">
        <v>134</v>
      </c>
      <c r="FW23" t="s">
        <v>135</v>
      </c>
      <c r="FX23" t="s">
        <v>136</v>
      </c>
      <c r="FZ23">
        <v>320</v>
      </c>
    </row>
    <row r="24" spans="1:182" hidden="1" x14ac:dyDescent="0.3">
      <c r="A24" s="1">
        <v>45926.380770752323</v>
      </c>
      <c r="B24" s="1">
        <v>45926.427312233798</v>
      </c>
      <c r="D24" t="s">
        <v>84</v>
      </c>
      <c r="E24" t="s">
        <v>901</v>
      </c>
      <c r="F24" t="s">
        <v>2836</v>
      </c>
      <c r="G24" t="s">
        <v>176</v>
      </c>
      <c r="H24" t="s">
        <v>4122</v>
      </c>
      <c r="I24" t="s">
        <v>2837</v>
      </c>
      <c r="J24" t="s">
        <v>2838</v>
      </c>
      <c r="K24" t="s">
        <v>90</v>
      </c>
      <c r="L24" t="s">
        <v>2839</v>
      </c>
      <c r="M24" t="s">
        <v>1883</v>
      </c>
      <c r="N24" t="s">
        <v>2840</v>
      </c>
      <c r="O24">
        <v>-15.1968283</v>
      </c>
      <c r="P24">
        <v>22.953685</v>
      </c>
      <c r="Q24">
        <v>1027.5</v>
      </c>
      <c r="R24">
        <v>14.34</v>
      </c>
      <c r="S24" t="s">
        <v>84</v>
      </c>
      <c r="T24" t="s">
        <v>182</v>
      </c>
      <c r="U24">
        <v>10</v>
      </c>
      <c r="V24" t="s">
        <v>95</v>
      </c>
      <c r="W24" t="s">
        <v>907</v>
      </c>
      <c r="X24">
        <v>30</v>
      </c>
      <c r="Y24">
        <v>2</v>
      </c>
      <c r="Z24">
        <v>2</v>
      </c>
      <c r="AA24" t="s">
        <v>96</v>
      </c>
      <c r="AB24" t="s">
        <v>351</v>
      </c>
      <c r="AC24" t="s">
        <v>98</v>
      </c>
      <c r="AD24" t="s">
        <v>520</v>
      </c>
      <c r="AE24" t="s">
        <v>100</v>
      </c>
      <c r="AF24" t="s">
        <v>907</v>
      </c>
      <c r="AG24">
        <v>400</v>
      </c>
      <c r="AH24" t="s">
        <v>3873</v>
      </c>
      <c r="AI24" t="s">
        <v>907</v>
      </c>
      <c r="AJ24" t="s">
        <v>907</v>
      </c>
      <c r="AK24" t="s">
        <v>102</v>
      </c>
      <c r="AL24" t="s">
        <v>907</v>
      </c>
      <c r="AM24" t="s">
        <v>451</v>
      </c>
      <c r="AN24" t="s">
        <v>907</v>
      </c>
      <c r="AO24" t="s">
        <v>2841</v>
      </c>
      <c r="AP24" t="s">
        <v>2842</v>
      </c>
      <c r="AQ24" t="s">
        <v>2843</v>
      </c>
      <c r="AR24" t="s">
        <v>95</v>
      </c>
      <c r="AS24">
        <v>0</v>
      </c>
      <c r="AT24">
        <v>0</v>
      </c>
      <c r="AU24">
        <v>0</v>
      </c>
      <c r="AV24">
        <v>16</v>
      </c>
      <c r="AW24">
        <v>0</v>
      </c>
      <c r="AX24">
        <v>0</v>
      </c>
      <c r="AY24">
        <v>0</v>
      </c>
      <c r="AZ24" t="s">
        <v>153</v>
      </c>
      <c r="BA24" t="s">
        <v>452</v>
      </c>
      <c r="BB24" t="s">
        <v>308</v>
      </c>
      <c r="BC24" t="s">
        <v>907</v>
      </c>
      <c r="BD24" t="s">
        <v>107</v>
      </c>
      <c r="BE24" t="s">
        <v>363</v>
      </c>
      <c r="BF24" t="s">
        <v>2802</v>
      </c>
      <c r="BG24" t="s">
        <v>235</v>
      </c>
      <c r="BH24">
        <v>86</v>
      </c>
      <c r="BL24">
        <v>52</v>
      </c>
      <c r="BN24">
        <v>3</v>
      </c>
      <c r="BP24">
        <v>0</v>
      </c>
      <c r="BR24">
        <v>0</v>
      </c>
      <c r="BT24">
        <v>4</v>
      </c>
      <c r="BV24">
        <v>10</v>
      </c>
      <c r="BX24">
        <v>17</v>
      </c>
      <c r="BY24" t="s">
        <v>189</v>
      </c>
      <c r="BZ24">
        <v>2</v>
      </c>
      <c r="CA24">
        <v>63</v>
      </c>
      <c r="CB24" t="s">
        <v>84</v>
      </c>
      <c r="CC24" t="s">
        <v>84</v>
      </c>
      <c r="CD24" t="s">
        <v>2844</v>
      </c>
      <c r="CE24" t="s">
        <v>1998</v>
      </c>
      <c r="CF24" t="s">
        <v>2845</v>
      </c>
      <c r="CG24" t="s">
        <v>907</v>
      </c>
      <c r="CH24">
        <v>0</v>
      </c>
      <c r="CI24" t="s">
        <v>95</v>
      </c>
      <c r="CJ24" t="s">
        <v>907</v>
      </c>
      <c r="CK24" t="s">
        <v>113</v>
      </c>
      <c r="CL24" t="s">
        <v>263</v>
      </c>
      <c r="CM24" t="s">
        <v>193</v>
      </c>
      <c r="CN24" t="s">
        <v>3874</v>
      </c>
      <c r="CO24" t="s">
        <v>95</v>
      </c>
      <c r="CP24" t="s">
        <v>907</v>
      </c>
      <c r="CQ24" t="s">
        <v>116</v>
      </c>
      <c r="CR24" t="s">
        <v>84</v>
      </c>
      <c r="CS24" t="s">
        <v>117</v>
      </c>
      <c r="CT24" t="s">
        <v>907</v>
      </c>
      <c r="CU24" t="s">
        <v>793</v>
      </c>
      <c r="CV24" t="s">
        <v>119</v>
      </c>
      <c r="CW24" t="s">
        <v>483</v>
      </c>
      <c r="CX24" t="s">
        <v>166</v>
      </c>
      <c r="CY24" t="s">
        <v>167</v>
      </c>
      <c r="CZ24" t="s">
        <v>495</v>
      </c>
      <c r="DA24">
        <v>2</v>
      </c>
      <c r="DB24" s="10">
        <v>12000</v>
      </c>
      <c r="DC24" t="s">
        <v>169</v>
      </c>
      <c r="DD24" t="s">
        <v>907</v>
      </c>
      <c r="DE24">
        <v>2</v>
      </c>
      <c r="DF24">
        <v>20</v>
      </c>
      <c r="DG24" t="s">
        <v>84</v>
      </c>
      <c r="DH24" t="s">
        <v>95</v>
      </c>
      <c r="DI24" t="s">
        <v>907</v>
      </c>
      <c r="DJ24" t="s">
        <v>907</v>
      </c>
      <c r="DK24" t="s">
        <v>907</v>
      </c>
      <c r="DL24" t="s">
        <v>907</v>
      </c>
      <c r="DM24" t="s">
        <v>291</v>
      </c>
      <c r="DN24" t="s">
        <v>907</v>
      </c>
      <c r="DO24" t="s">
        <v>907</v>
      </c>
      <c r="DP24">
        <v>0.5</v>
      </c>
      <c r="DQ24" t="s">
        <v>441</v>
      </c>
      <c r="DR24" t="s">
        <v>907</v>
      </c>
      <c r="DS24" t="s">
        <v>1677</v>
      </c>
      <c r="DT24" t="s">
        <v>571</v>
      </c>
      <c r="DU24" t="s">
        <v>84</v>
      </c>
      <c r="DV24" t="s">
        <v>131</v>
      </c>
      <c r="DW24" t="s">
        <v>533</v>
      </c>
      <c r="DX24" t="s">
        <v>95</v>
      </c>
      <c r="FQ24">
        <v>567429743</v>
      </c>
      <c r="FR24" t="s">
        <v>2846</v>
      </c>
      <c r="FS24" s="1">
        <v>45926.556527777779</v>
      </c>
      <c r="FV24" t="s">
        <v>134</v>
      </c>
      <c r="FW24" t="s">
        <v>135</v>
      </c>
      <c r="FX24" t="s">
        <v>136</v>
      </c>
      <c r="FZ24">
        <v>407</v>
      </c>
    </row>
    <row r="25" spans="1:182" hidden="1" x14ac:dyDescent="0.3">
      <c r="A25" s="1">
        <v>45923.412780358798</v>
      </c>
      <c r="B25" s="1">
        <v>45923.534356041673</v>
      </c>
      <c r="D25" t="s">
        <v>84</v>
      </c>
      <c r="E25" t="s">
        <v>85</v>
      </c>
      <c r="F25" t="s">
        <v>207</v>
      </c>
      <c r="G25" t="s">
        <v>176</v>
      </c>
      <c r="H25" t="s">
        <v>4122</v>
      </c>
      <c r="I25" t="s">
        <v>208</v>
      </c>
      <c r="J25" t="s">
        <v>209</v>
      </c>
      <c r="K25" t="s">
        <v>90</v>
      </c>
      <c r="L25" t="s">
        <v>91</v>
      </c>
      <c r="M25" t="s">
        <v>210</v>
      </c>
      <c r="N25" t="s">
        <v>211</v>
      </c>
      <c r="O25">
        <v>-15.467757600000001</v>
      </c>
      <c r="P25">
        <v>23.220144600000001</v>
      </c>
      <c r="Q25">
        <v>1034.47021484375</v>
      </c>
      <c r="R25">
        <v>4.9189999999999996</v>
      </c>
      <c r="S25" t="s">
        <v>84</v>
      </c>
      <c r="T25" t="s">
        <v>182</v>
      </c>
      <c r="U25">
        <v>9</v>
      </c>
      <c r="V25" t="s">
        <v>212</v>
      </c>
      <c r="W25" t="s">
        <v>213</v>
      </c>
      <c r="X25">
        <v>20</v>
      </c>
      <c r="Y25">
        <v>50</v>
      </c>
      <c r="Z25">
        <v>2</v>
      </c>
      <c r="AA25" t="s">
        <v>96</v>
      </c>
      <c r="AB25" t="s">
        <v>97</v>
      </c>
      <c r="AC25" t="s">
        <v>98</v>
      </c>
      <c r="AD25" t="s">
        <v>99</v>
      </c>
      <c r="AE25" t="s">
        <v>100</v>
      </c>
      <c r="AF25" t="s">
        <v>907</v>
      </c>
      <c r="AG25">
        <v>1000</v>
      </c>
      <c r="AH25" t="s">
        <v>214</v>
      </c>
      <c r="AI25" t="s">
        <v>907</v>
      </c>
      <c r="AJ25" s="5">
        <v>500</v>
      </c>
      <c r="AK25" t="s">
        <v>102</v>
      </c>
      <c r="AL25" t="s">
        <v>907</v>
      </c>
      <c r="AM25" t="s">
        <v>215</v>
      </c>
      <c r="AN25" t="s">
        <v>907</v>
      </c>
      <c r="AO25" t="s">
        <v>216</v>
      </c>
      <c r="AP25" t="s">
        <v>217</v>
      </c>
      <c r="AQ25" t="s">
        <v>215</v>
      </c>
      <c r="AR25" t="s">
        <v>95</v>
      </c>
      <c r="AS25">
        <v>6</v>
      </c>
      <c r="AT25">
        <v>48</v>
      </c>
      <c r="AU25">
        <v>0</v>
      </c>
      <c r="AV25">
        <v>0</v>
      </c>
      <c r="AW25">
        <v>22</v>
      </c>
      <c r="AX25">
        <v>0</v>
      </c>
      <c r="AY25">
        <v>0</v>
      </c>
      <c r="AZ25" t="s">
        <v>106</v>
      </c>
      <c r="BA25" t="s">
        <v>95</v>
      </c>
      <c r="BB25" t="s">
        <v>154</v>
      </c>
      <c r="BC25" t="s">
        <v>907</v>
      </c>
      <c r="BD25" t="s">
        <v>107</v>
      </c>
      <c r="BE25" t="s">
        <v>108</v>
      </c>
      <c r="BF25" t="s">
        <v>218</v>
      </c>
      <c r="BG25" t="s">
        <v>156</v>
      </c>
      <c r="BH25">
        <v>33</v>
      </c>
      <c r="BL25">
        <v>52</v>
      </c>
      <c r="BN25">
        <v>9</v>
      </c>
      <c r="BX25">
        <v>2</v>
      </c>
      <c r="BY25" t="s">
        <v>189</v>
      </c>
      <c r="BZ25">
        <v>2</v>
      </c>
      <c r="CA25">
        <v>18</v>
      </c>
      <c r="CB25" t="s">
        <v>84</v>
      </c>
      <c r="CC25" t="s">
        <v>84</v>
      </c>
      <c r="CD25" t="s">
        <v>219</v>
      </c>
      <c r="CE25" t="s">
        <v>4249</v>
      </c>
      <c r="CF25" t="s">
        <v>220</v>
      </c>
      <c r="CG25" t="s">
        <v>907</v>
      </c>
      <c r="CH25">
        <v>4</v>
      </c>
      <c r="CI25" t="s">
        <v>95</v>
      </c>
      <c r="CJ25" t="s">
        <v>907</v>
      </c>
      <c r="CK25" t="s">
        <v>113</v>
      </c>
      <c r="CL25" t="s">
        <v>221</v>
      </c>
      <c r="CM25" t="s">
        <v>193</v>
      </c>
      <c r="CN25" t="s">
        <v>3870</v>
      </c>
      <c r="CO25" t="s">
        <v>95</v>
      </c>
      <c r="CP25" t="s">
        <v>907</v>
      </c>
      <c r="CQ25" t="s">
        <v>116</v>
      </c>
      <c r="CR25" t="s">
        <v>84</v>
      </c>
      <c r="CS25" t="s">
        <v>117</v>
      </c>
      <c r="CT25" t="s">
        <v>907</v>
      </c>
      <c r="CU25" t="s">
        <v>3869</v>
      </c>
      <c r="CV25" t="s">
        <v>119</v>
      </c>
      <c r="CW25" t="s">
        <v>222</v>
      </c>
      <c r="CX25" t="s">
        <v>119</v>
      </c>
      <c r="CY25" t="s">
        <v>121</v>
      </c>
      <c r="CZ25" t="s">
        <v>122</v>
      </c>
      <c r="DA25">
        <v>1</v>
      </c>
      <c r="DB25" s="10">
        <v>6000</v>
      </c>
      <c r="DC25" t="s">
        <v>169</v>
      </c>
      <c r="DD25" t="s">
        <v>907</v>
      </c>
      <c r="DE25">
        <v>3</v>
      </c>
      <c r="DF25">
        <v>15</v>
      </c>
      <c r="DG25" t="s">
        <v>95</v>
      </c>
      <c r="DH25" t="s">
        <v>95</v>
      </c>
      <c r="DI25" t="s">
        <v>907</v>
      </c>
      <c r="DJ25" t="s">
        <v>907</v>
      </c>
      <c r="DK25" t="s">
        <v>907</v>
      </c>
      <c r="DL25" t="s">
        <v>907</v>
      </c>
      <c r="DM25" t="s">
        <v>125</v>
      </c>
      <c r="DN25" t="s">
        <v>170</v>
      </c>
      <c r="DO25" t="s">
        <v>201</v>
      </c>
      <c r="DP25">
        <v>2</v>
      </c>
      <c r="DQ25" t="s">
        <v>128</v>
      </c>
      <c r="DR25" t="s">
        <v>907</v>
      </c>
      <c r="DS25" t="s">
        <v>223</v>
      </c>
      <c r="DT25" t="s">
        <v>224</v>
      </c>
      <c r="DU25" t="s">
        <v>84</v>
      </c>
      <c r="DV25" t="s">
        <v>225</v>
      </c>
      <c r="DW25" t="s">
        <v>132</v>
      </c>
      <c r="DX25" t="s">
        <v>95</v>
      </c>
      <c r="FQ25">
        <v>565100083</v>
      </c>
      <c r="FR25" t="s">
        <v>226</v>
      </c>
      <c r="FS25" s="1">
        <v>45923.675370370373</v>
      </c>
      <c r="FV25" t="s">
        <v>134</v>
      </c>
      <c r="FW25" t="s">
        <v>135</v>
      </c>
      <c r="FX25" t="s">
        <v>136</v>
      </c>
      <c r="FZ25">
        <v>92</v>
      </c>
    </row>
    <row r="26" spans="1:182" x14ac:dyDescent="0.3">
      <c r="A26" s="1">
        <v>45926.377348796297</v>
      </c>
      <c r="B26" s="1">
        <v>45926.427676087973</v>
      </c>
      <c r="D26" t="s">
        <v>84</v>
      </c>
      <c r="E26" t="s">
        <v>798</v>
      </c>
      <c r="F26" t="s">
        <v>4014</v>
      </c>
      <c r="G26" t="s">
        <v>176</v>
      </c>
      <c r="H26" t="s">
        <v>4122</v>
      </c>
      <c r="I26" t="s">
        <v>2688</v>
      </c>
      <c r="J26" t="s">
        <v>2689</v>
      </c>
      <c r="K26" t="s">
        <v>90</v>
      </c>
      <c r="L26" t="s">
        <v>2690</v>
      </c>
      <c r="M26" t="s">
        <v>2678</v>
      </c>
      <c r="N26" t="s">
        <v>2691</v>
      </c>
      <c r="O26">
        <v>-15.1968336</v>
      </c>
      <c r="P26">
        <v>22.953693399999999</v>
      </c>
      <c r="Q26">
        <v>1021.847900390625</v>
      </c>
      <c r="R26">
        <v>4.0439999999999996</v>
      </c>
      <c r="S26" t="s">
        <v>84</v>
      </c>
      <c r="T26" t="s">
        <v>182</v>
      </c>
      <c r="U26">
        <v>7</v>
      </c>
      <c r="V26" t="s">
        <v>95</v>
      </c>
      <c r="W26" t="s">
        <v>907</v>
      </c>
      <c r="X26">
        <v>50</v>
      </c>
      <c r="Y26">
        <v>2.5</v>
      </c>
      <c r="Z26">
        <v>1.5</v>
      </c>
      <c r="AA26" t="s">
        <v>96</v>
      </c>
      <c r="AB26" t="s">
        <v>97</v>
      </c>
      <c r="AC26" t="s">
        <v>144</v>
      </c>
      <c r="AD26" t="s">
        <v>280</v>
      </c>
      <c r="AE26" t="s">
        <v>100</v>
      </c>
      <c r="AF26" t="s">
        <v>907</v>
      </c>
      <c r="AG26">
        <v>1458</v>
      </c>
      <c r="AH26" t="s">
        <v>304</v>
      </c>
      <c r="AI26" t="s">
        <v>907</v>
      </c>
      <c r="AJ26" s="5">
        <v>1166</v>
      </c>
      <c r="AK26" t="s">
        <v>102</v>
      </c>
      <c r="AL26" t="s">
        <v>907</v>
      </c>
      <c r="AM26" t="s">
        <v>2692</v>
      </c>
      <c r="AN26" t="s">
        <v>907</v>
      </c>
      <c r="AO26" t="s">
        <v>2693</v>
      </c>
      <c r="AP26" t="s">
        <v>2694</v>
      </c>
      <c r="AQ26" t="s">
        <v>2695</v>
      </c>
      <c r="AR26" t="s">
        <v>95</v>
      </c>
      <c r="AS26">
        <v>45</v>
      </c>
      <c r="AT26">
        <v>0</v>
      </c>
      <c r="AU26">
        <v>0</v>
      </c>
      <c r="AV26">
        <v>48</v>
      </c>
      <c r="AW26">
        <v>0</v>
      </c>
      <c r="AX26">
        <v>0</v>
      </c>
      <c r="AY26">
        <v>0</v>
      </c>
      <c r="AZ26" t="s">
        <v>1003</v>
      </c>
      <c r="BA26" t="s">
        <v>452</v>
      </c>
      <c r="BB26" t="s">
        <v>308</v>
      </c>
      <c r="BC26" t="s">
        <v>907</v>
      </c>
      <c r="BD26" t="s">
        <v>107</v>
      </c>
      <c r="BE26" t="s">
        <v>258</v>
      </c>
      <c r="BF26" t="s">
        <v>688</v>
      </c>
      <c r="BG26" t="s">
        <v>156</v>
      </c>
      <c r="BH26">
        <v>82</v>
      </c>
      <c r="BL26">
        <v>29</v>
      </c>
      <c r="BN26">
        <v>3</v>
      </c>
      <c r="BP26">
        <v>20</v>
      </c>
      <c r="BR26">
        <v>12</v>
      </c>
      <c r="BT26">
        <v>6</v>
      </c>
      <c r="BV26">
        <v>4</v>
      </c>
      <c r="BX26">
        <v>8</v>
      </c>
      <c r="BY26" t="s">
        <v>189</v>
      </c>
      <c r="BZ26">
        <v>2</v>
      </c>
      <c r="CA26">
        <v>67</v>
      </c>
      <c r="CB26" t="s">
        <v>84</v>
      </c>
      <c r="CC26" t="s">
        <v>84</v>
      </c>
      <c r="CD26" t="s">
        <v>2696</v>
      </c>
      <c r="CE26" t="s">
        <v>4249</v>
      </c>
      <c r="CF26" t="s">
        <v>4013</v>
      </c>
      <c r="CG26" t="s">
        <v>907</v>
      </c>
      <c r="CH26">
        <v>0</v>
      </c>
      <c r="CI26" t="s">
        <v>84</v>
      </c>
      <c r="CJ26" t="s">
        <v>586</v>
      </c>
      <c r="CK26" t="s">
        <v>289</v>
      </c>
      <c r="CL26" t="s">
        <v>2049</v>
      </c>
      <c r="CM26" t="s">
        <v>193</v>
      </c>
      <c r="CN26" t="s">
        <v>3874</v>
      </c>
      <c r="CO26" t="s">
        <v>95</v>
      </c>
      <c r="CP26" t="s">
        <v>907</v>
      </c>
      <c r="CQ26" t="s">
        <v>116</v>
      </c>
      <c r="CR26" t="s">
        <v>84</v>
      </c>
      <c r="CS26" t="s">
        <v>117</v>
      </c>
      <c r="CT26" t="s">
        <v>907</v>
      </c>
      <c r="CU26" t="s">
        <v>793</v>
      </c>
      <c r="CV26" t="s">
        <v>812</v>
      </c>
      <c r="CW26" t="s">
        <v>2683</v>
      </c>
      <c r="CX26" t="s">
        <v>119</v>
      </c>
      <c r="CY26" t="s">
        <v>121</v>
      </c>
      <c r="CZ26" t="s">
        <v>495</v>
      </c>
      <c r="DA26">
        <v>2</v>
      </c>
      <c r="DB26" s="10">
        <v>14000</v>
      </c>
      <c r="DC26" t="s">
        <v>169</v>
      </c>
      <c r="DD26" t="s">
        <v>907</v>
      </c>
      <c r="DE26">
        <v>10</v>
      </c>
      <c r="DF26">
        <v>25</v>
      </c>
      <c r="DG26" t="s">
        <v>95</v>
      </c>
      <c r="DH26" t="s">
        <v>95</v>
      </c>
      <c r="DI26" t="s">
        <v>907</v>
      </c>
      <c r="DJ26" t="s">
        <v>907</v>
      </c>
      <c r="DK26" t="s">
        <v>907</v>
      </c>
      <c r="DL26" t="s">
        <v>907</v>
      </c>
      <c r="DM26" t="s">
        <v>291</v>
      </c>
      <c r="DN26" t="s">
        <v>907</v>
      </c>
      <c r="DO26" t="s">
        <v>907</v>
      </c>
      <c r="DP26">
        <v>5</v>
      </c>
      <c r="DQ26" t="s">
        <v>128</v>
      </c>
      <c r="DR26" t="s">
        <v>907</v>
      </c>
      <c r="DS26" t="s">
        <v>172</v>
      </c>
      <c r="DT26" t="s">
        <v>224</v>
      </c>
      <c r="DU26" t="s">
        <v>84</v>
      </c>
      <c r="DV26" t="s">
        <v>2685</v>
      </c>
      <c r="DW26" t="s">
        <v>423</v>
      </c>
      <c r="DX26" t="s">
        <v>95</v>
      </c>
      <c r="FQ26">
        <v>567388713</v>
      </c>
      <c r="FR26" t="s">
        <v>2697</v>
      </c>
      <c r="FS26" s="1">
        <v>45926.519050925926</v>
      </c>
      <c r="FV26" t="s">
        <v>134</v>
      </c>
      <c r="FW26" t="s">
        <v>135</v>
      </c>
      <c r="FX26" t="s">
        <v>136</v>
      </c>
      <c r="FZ26">
        <v>392</v>
      </c>
    </row>
    <row r="27" spans="1:182" hidden="1" x14ac:dyDescent="0.3">
      <c r="A27" s="1">
        <v>45929.443550555552</v>
      </c>
      <c r="B27" s="1">
        <v>45929.460017627323</v>
      </c>
      <c r="D27" t="s">
        <v>84</v>
      </c>
      <c r="E27" t="s">
        <v>901</v>
      </c>
      <c r="F27" t="s">
        <v>3397</v>
      </c>
      <c r="G27" t="s">
        <v>176</v>
      </c>
      <c r="H27" t="s">
        <v>4122</v>
      </c>
      <c r="I27" t="s">
        <v>3398</v>
      </c>
      <c r="J27" t="s">
        <v>3399</v>
      </c>
      <c r="K27" t="s">
        <v>90</v>
      </c>
      <c r="L27" t="s">
        <v>4084</v>
      </c>
      <c r="M27" t="s">
        <v>3400</v>
      </c>
      <c r="N27" t="s">
        <v>3401</v>
      </c>
      <c r="O27">
        <v>-15.395810000000001</v>
      </c>
      <c r="P27">
        <v>23.040911699999999</v>
      </c>
      <c r="Q27">
        <v>1004.8</v>
      </c>
      <c r="R27">
        <v>4.76</v>
      </c>
      <c r="S27" t="s">
        <v>84</v>
      </c>
      <c r="T27" t="s">
        <v>182</v>
      </c>
      <c r="U27">
        <v>4</v>
      </c>
      <c r="V27" t="s">
        <v>95</v>
      </c>
      <c r="W27" t="s">
        <v>907</v>
      </c>
      <c r="X27">
        <v>40</v>
      </c>
      <c r="Y27">
        <v>7</v>
      </c>
      <c r="Z27">
        <v>3</v>
      </c>
      <c r="AA27" t="s">
        <v>96</v>
      </c>
      <c r="AB27" t="s">
        <v>351</v>
      </c>
      <c r="AC27" t="s">
        <v>98</v>
      </c>
      <c r="AD27" t="s">
        <v>520</v>
      </c>
      <c r="AE27" t="s">
        <v>123</v>
      </c>
      <c r="AF27">
        <v>0</v>
      </c>
      <c r="AG27">
        <v>0</v>
      </c>
      <c r="AH27" t="s">
        <v>3873</v>
      </c>
      <c r="AI27" t="s">
        <v>907</v>
      </c>
      <c r="AJ27" t="s">
        <v>907</v>
      </c>
      <c r="AK27" t="s">
        <v>102</v>
      </c>
      <c r="AL27" t="s">
        <v>907</v>
      </c>
      <c r="AM27" t="s">
        <v>253</v>
      </c>
      <c r="AN27" t="s">
        <v>907</v>
      </c>
      <c r="AO27" t="s">
        <v>3402</v>
      </c>
      <c r="AP27" t="s">
        <v>3403</v>
      </c>
      <c r="AQ27" t="s">
        <v>594</v>
      </c>
      <c r="AR27" t="s">
        <v>95</v>
      </c>
      <c r="AS27">
        <v>0</v>
      </c>
      <c r="AT27">
        <v>62</v>
      </c>
      <c r="AU27">
        <v>0</v>
      </c>
      <c r="AV27">
        <v>31</v>
      </c>
      <c r="AW27">
        <v>0</v>
      </c>
      <c r="AX27">
        <v>0</v>
      </c>
      <c r="AY27">
        <v>0</v>
      </c>
      <c r="AZ27" t="s">
        <v>1003</v>
      </c>
      <c r="BA27" t="s">
        <v>95</v>
      </c>
      <c r="BB27" t="s">
        <v>308</v>
      </c>
      <c r="BC27" t="s">
        <v>907</v>
      </c>
      <c r="BD27" t="s">
        <v>107</v>
      </c>
      <c r="BE27" t="s">
        <v>363</v>
      </c>
      <c r="BF27" t="s">
        <v>3404</v>
      </c>
      <c r="BG27" t="s">
        <v>109</v>
      </c>
      <c r="BH27">
        <v>32</v>
      </c>
      <c r="BL27">
        <v>11</v>
      </c>
      <c r="BN27">
        <v>1</v>
      </c>
      <c r="BP27">
        <v>3</v>
      </c>
      <c r="BR27">
        <v>9</v>
      </c>
      <c r="BT27">
        <v>4</v>
      </c>
      <c r="BV27">
        <v>1</v>
      </c>
      <c r="BX27">
        <v>3</v>
      </c>
      <c r="BY27" t="s">
        <v>110</v>
      </c>
      <c r="BZ27" t="s">
        <v>907</v>
      </c>
      <c r="CA27" t="s">
        <v>907</v>
      </c>
      <c r="CB27" t="s">
        <v>84</v>
      </c>
      <c r="CC27" t="s">
        <v>84</v>
      </c>
      <c r="CD27" t="s">
        <v>3405</v>
      </c>
      <c r="CE27" t="s">
        <v>4252</v>
      </c>
      <c r="CF27" t="s">
        <v>3406</v>
      </c>
      <c r="CG27" t="s">
        <v>907</v>
      </c>
      <c r="CH27">
        <v>0</v>
      </c>
      <c r="CI27" t="s">
        <v>84</v>
      </c>
      <c r="CJ27" t="s">
        <v>546</v>
      </c>
      <c r="CK27" t="s">
        <v>289</v>
      </c>
      <c r="CL27" t="s">
        <v>4262</v>
      </c>
      <c r="CM27" t="s">
        <v>193</v>
      </c>
      <c r="CN27" t="s">
        <v>3874</v>
      </c>
      <c r="CO27" t="s">
        <v>95</v>
      </c>
      <c r="CP27" t="s">
        <v>907</v>
      </c>
      <c r="CQ27" t="s">
        <v>116</v>
      </c>
      <c r="CR27" t="s">
        <v>84</v>
      </c>
      <c r="CS27" t="s">
        <v>117</v>
      </c>
      <c r="CT27" t="s">
        <v>118</v>
      </c>
      <c r="CU27" t="s">
        <v>793</v>
      </c>
      <c r="CV27" t="s">
        <v>119</v>
      </c>
      <c r="CW27" t="s">
        <v>696</v>
      </c>
      <c r="CX27" t="s">
        <v>290</v>
      </c>
      <c r="CY27" t="s">
        <v>907</v>
      </c>
      <c r="CZ27" t="s">
        <v>907</v>
      </c>
      <c r="DA27" t="s">
        <v>907</v>
      </c>
      <c r="DB27" t="s">
        <v>907</v>
      </c>
      <c r="DC27" t="s">
        <v>907</v>
      </c>
      <c r="DD27" t="s">
        <v>907</v>
      </c>
      <c r="DE27" t="s">
        <v>907</v>
      </c>
      <c r="DF27" t="s">
        <v>907</v>
      </c>
      <c r="DG27" t="s">
        <v>95</v>
      </c>
      <c r="DH27" t="s">
        <v>95</v>
      </c>
      <c r="DI27" t="s">
        <v>907</v>
      </c>
      <c r="DJ27" t="s">
        <v>907</v>
      </c>
      <c r="DK27" t="s">
        <v>907</v>
      </c>
      <c r="DL27" t="s">
        <v>907</v>
      </c>
      <c r="DM27" t="s">
        <v>291</v>
      </c>
      <c r="DN27" t="s">
        <v>907</v>
      </c>
      <c r="DO27" t="s">
        <v>907</v>
      </c>
      <c r="DP27">
        <v>0</v>
      </c>
      <c r="DQ27" t="s">
        <v>202</v>
      </c>
      <c r="DR27" t="s">
        <v>907</v>
      </c>
      <c r="DS27" t="s">
        <v>442</v>
      </c>
      <c r="DT27" t="s">
        <v>2662</v>
      </c>
      <c r="DU27" t="s">
        <v>84</v>
      </c>
      <c r="DV27" t="s">
        <v>3407</v>
      </c>
      <c r="DW27" t="s">
        <v>533</v>
      </c>
      <c r="DX27" t="s">
        <v>95</v>
      </c>
      <c r="FQ27">
        <v>569778152</v>
      </c>
      <c r="FR27" t="s">
        <v>3408</v>
      </c>
      <c r="FS27" s="1">
        <v>45930.257233796299</v>
      </c>
      <c r="FV27" t="s">
        <v>134</v>
      </c>
      <c r="FW27" t="s">
        <v>135</v>
      </c>
      <c r="FX27" t="s">
        <v>136</v>
      </c>
      <c r="FZ27">
        <v>541</v>
      </c>
    </row>
    <row r="28" spans="1:182" hidden="1" x14ac:dyDescent="0.3">
      <c r="A28" s="1">
        <v>45926.484203472217</v>
      </c>
      <c r="B28" s="1">
        <v>45926.496092361107</v>
      </c>
      <c r="D28" t="s">
        <v>84</v>
      </c>
      <c r="E28" t="s">
        <v>901</v>
      </c>
      <c r="F28" t="s">
        <v>2827</v>
      </c>
      <c r="G28" t="s">
        <v>176</v>
      </c>
      <c r="H28" t="s">
        <v>4121</v>
      </c>
      <c r="I28" t="s">
        <v>2828</v>
      </c>
      <c r="J28" t="s">
        <v>2829</v>
      </c>
      <c r="K28" t="s">
        <v>90</v>
      </c>
      <c r="L28" t="s">
        <v>2830</v>
      </c>
      <c r="M28" t="s">
        <v>1871</v>
      </c>
      <c r="N28" t="s">
        <v>2831</v>
      </c>
      <c r="O28">
        <v>-15.1968102</v>
      </c>
      <c r="P28">
        <v>22.953661199999999</v>
      </c>
      <c r="Q28">
        <v>1017.845458984375</v>
      </c>
      <c r="R28">
        <v>4.3659999999999997</v>
      </c>
      <c r="S28" t="s">
        <v>84</v>
      </c>
      <c r="T28" t="s">
        <v>182</v>
      </c>
      <c r="U28">
        <v>4</v>
      </c>
      <c r="V28" t="s">
        <v>95</v>
      </c>
      <c r="W28" t="s">
        <v>907</v>
      </c>
      <c r="X28">
        <v>5</v>
      </c>
      <c r="Y28">
        <v>12</v>
      </c>
      <c r="Z28">
        <v>8</v>
      </c>
      <c r="AA28" t="s">
        <v>96</v>
      </c>
      <c r="AB28" t="s">
        <v>97</v>
      </c>
      <c r="AC28" t="s">
        <v>98</v>
      </c>
      <c r="AD28" t="s">
        <v>252</v>
      </c>
      <c r="AE28" t="s">
        <v>101</v>
      </c>
      <c r="AF28" t="s">
        <v>907</v>
      </c>
      <c r="AG28">
        <v>700</v>
      </c>
      <c r="AH28" t="s">
        <v>3873</v>
      </c>
      <c r="AI28" t="s">
        <v>907</v>
      </c>
      <c r="AJ28" t="s">
        <v>907</v>
      </c>
      <c r="AK28" t="s">
        <v>102</v>
      </c>
      <c r="AL28" t="s">
        <v>907</v>
      </c>
      <c r="AM28" t="s">
        <v>4130</v>
      </c>
      <c r="AN28" t="s">
        <v>907</v>
      </c>
      <c r="AQ28" t="s">
        <v>2832</v>
      </c>
      <c r="AR28" t="s">
        <v>84</v>
      </c>
      <c r="AS28">
        <v>0</v>
      </c>
      <c r="AT28">
        <v>0</v>
      </c>
      <c r="AU28">
        <v>0</v>
      </c>
      <c r="AV28">
        <v>0</v>
      </c>
      <c r="AW28">
        <v>0</v>
      </c>
      <c r="AX28">
        <v>0</v>
      </c>
      <c r="AY28">
        <v>0</v>
      </c>
      <c r="AZ28" t="s">
        <v>629</v>
      </c>
      <c r="BA28" t="s">
        <v>95</v>
      </c>
      <c r="BB28" t="s">
        <v>154</v>
      </c>
      <c r="BC28" t="s">
        <v>907</v>
      </c>
      <c r="BD28" t="s">
        <v>107</v>
      </c>
      <c r="BE28" t="s">
        <v>363</v>
      </c>
      <c r="BF28" t="s">
        <v>2833</v>
      </c>
      <c r="BG28" t="s">
        <v>790</v>
      </c>
      <c r="BH28">
        <v>56</v>
      </c>
      <c r="BL28">
        <v>30</v>
      </c>
      <c r="BN28">
        <v>1</v>
      </c>
      <c r="BP28">
        <v>5</v>
      </c>
      <c r="BR28">
        <v>3</v>
      </c>
      <c r="BT28">
        <v>8</v>
      </c>
      <c r="BV28">
        <v>4</v>
      </c>
      <c r="BX28">
        <v>5</v>
      </c>
      <c r="BY28" t="s">
        <v>110</v>
      </c>
      <c r="BZ28" t="s">
        <v>907</v>
      </c>
      <c r="CA28" t="s">
        <v>907</v>
      </c>
      <c r="CB28" t="s">
        <v>84</v>
      </c>
      <c r="CC28" t="s">
        <v>84</v>
      </c>
      <c r="CD28" t="s">
        <v>1610</v>
      </c>
      <c r="CE28" t="s">
        <v>4249</v>
      </c>
      <c r="CF28" t="s">
        <v>2834</v>
      </c>
      <c r="CG28" t="s">
        <v>907</v>
      </c>
      <c r="CH28">
        <v>0</v>
      </c>
      <c r="CI28" t="s">
        <v>84</v>
      </c>
      <c r="CJ28" t="s">
        <v>262</v>
      </c>
      <c r="CK28" t="s">
        <v>289</v>
      </c>
      <c r="CL28" t="s">
        <v>263</v>
      </c>
      <c r="CM28" t="s">
        <v>547</v>
      </c>
      <c r="CN28" t="s">
        <v>421</v>
      </c>
      <c r="CO28" t="s">
        <v>95</v>
      </c>
      <c r="CP28" t="s">
        <v>907</v>
      </c>
      <c r="CQ28" t="s">
        <v>116</v>
      </c>
      <c r="CR28" t="s">
        <v>84</v>
      </c>
      <c r="CS28" t="s">
        <v>117</v>
      </c>
      <c r="CT28" t="s">
        <v>163</v>
      </c>
      <c r="CU28" t="s">
        <v>3869</v>
      </c>
      <c r="CV28" t="s">
        <v>812</v>
      </c>
      <c r="CW28" t="s">
        <v>916</v>
      </c>
      <c r="CX28" t="s">
        <v>290</v>
      </c>
      <c r="CY28" t="s">
        <v>907</v>
      </c>
      <c r="CZ28" t="s">
        <v>907</v>
      </c>
      <c r="DA28" t="s">
        <v>907</v>
      </c>
      <c r="DB28" t="s">
        <v>907</v>
      </c>
      <c r="DC28" t="s">
        <v>907</v>
      </c>
      <c r="DD28" t="s">
        <v>907</v>
      </c>
      <c r="DE28" t="s">
        <v>907</v>
      </c>
      <c r="DF28" t="s">
        <v>907</v>
      </c>
      <c r="DG28" t="s">
        <v>95</v>
      </c>
      <c r="DH28" t="s">
        <v>95</v>
      </c>
      <c r="DI28" t="s">
        <v>907</v>
      </c>
      <c r="DJ28" t="s">
        <v>907</v>
      </c>
      <c r="DK28" t="s">
        <v>907</v>
      </c>
      <c r="DL28" t="s">
        <v>907</v>
      </c>
      <c r="DM28" t="s">
        <v>291</v>
      </c>
      <c r="DN28" t="s">
        <v>907</v>
      </c>
      <c r="DO28" t="s">
        <v>907</v>
      </c>
      <c r="DP28">
        <v>1</v>
      </c>
      <c r="DQ28" t="s">
        <v>202</v>
      </c>
      <c r="DR28" t="s">
        <v>907</v>
      </c>
      <c r="DS28" t="s">
        <v>917</v>
      </c>
      <c r="DT28" t="s">
        <v>946</v>
      </c>
      <c r="DU28" t="s">
        <v>84</v>
      </c>
      <c r="DV28" t="s">
        <v>131</v>
      </c>
      <c r="DW28" t="s">
        <v>533</v>
      </c>
      <c r="DX28" t="s">
        <v>95</v>
      </c>
      <c r="FQ28">
        <v>567429458</v>
      </c>
      <c r="FR28" t="s">
        <v>2835</v>
      </c>
      <c r="FS28" s="1">
        <v>45926.556203703702</v>
      </c>
      <c r="FV28" t="s">
        <v>134</v>
      </c>
      <c r="FW28" t="s">
        <v>135</v>
      </c>
      <c r="FX28" t="s">
        <v>136</v>
      </c>
      <c r="FZ28">
        <v>406</v>
      </c>
    </row>
    <row r="29" spans="1:182" hidden="1" x14ac:dyDescent="0.3">
      <c r="A29" s="1">
        <v>45925.448903750003</v>
      </c>
      <c r="B29" s="1">
        <v>45925.464376111107</v>
      </c>
      <c r="D29" t="s">
        <v>84</v>
      </c>
      <c r="E29" t="s">
        <v>3959</v>
      </c>
      <c r="F29" t="s">
        <v>1765</v>
      </c>
      <c r="G29" t="s">
        <v>176</v>
      </c>
      <c r="H29" t="s">
        <v>4122</v>
      </c>
      <c r="I29" t="s">
        <v>1766</v>
      </c>
      <c r="J29" t="s">
        <v>1767</v>
      </c>
      <c r="K29" t="s">
        <v>90</v>
      </c>
      <c r="L29" t="s">
        <v>1768</v>
      </c>
      <c r="M29" t="s">
        <v>1731</v>
      </c>
      <c r="N29" t="s">
        <v>1769</v>
      </c>
      <c r="O29">
        <v>-15.220805</v>
      </c>
      <c r="P29">
        <v>22.998301699999999</v>
      </c>
      <c r="Q29">
        <v>1033.4000000000001</v>
      </c>
      <c r="R29">
        <v>4.96</v>
      </c>
      <c r="S29" t="s">
        <v>84</v>
      </c>
      <c r="T29" t="s">
        <v>94</v>
      </c>
      <c r="U29">
        <v>4</v>
      </c>
      <c r="V29" t="s">
        <v>95</v>
      </c>
      <c r="W29" t="s">
        <v>907</v>
      </c>
      <c r="X29">
        <v>5</v>
      </c>
      <c r="Y29">
        <v>6</v>
      </c>
      <c r="Z29">
        <v>4</v>
      </c>
      <c r="AA29" t="s">
        <v>504</v>
      </c>
      <c r="AB29" t="s">
        <v>351</v>
      </c>
      <c r="AC29" t="s">
        <v>98</v>
      </c>
      <c r="AD29" t="s">
        <v>252</v>
      </c>
      <c r="AE29" t="s">
        <v>100</v>
      </c>
      <c r="AF29" t="s">
        <v>907</v>
      </c>
      <c r="AG29">
        <v>4000</v>
      </c>
      <c r="AH29" t="s">
        <v>3873</v>
      </c>
      <c r="AI29" t="s">
        <v>907</v>
      </c>
      <c r="AJ29" t="s">
        <v>907</v>
      </c>
      <c r="AK29" t="s">
        <v>102</v>
      </c>
      <c r="AL29" t="s">
        <v>907</v>
      </c>
      <c r="AM29" t="s">
        <v>466</v>
      </c>
      <c r="AN29" t="s">
        <v>907</v>
      </c>
      <c r="AO29" t="s">
        <v>267</v>
      </c>
      <c r="AP29" t="s">
        <v>1770</v>
      </c>
      <c r="AQ29" t="s">
        <v>1094</v>
      </c>
      <c r="AR29" t="s">
        <v>84</v>
      </c>
      <c r="AS29">
        <v>0</v>
      </c>
      <c r="AT29">
        <v>0</v>
      </c>
      <c r="AU29">
        <v>0</v>
      </c>
      <c r="AV29">
        <v>0</v>
      </c>
      <c r="AW29">
        <v>0</v>
      </c>
      <c r="AX29">
        <v>0</v>
      </c>
      <c r="AY29">
        <v>0</v>
      </c>
      <c r="AZ29" t="s">
        <v>1003</v>
      </c>
      <c r="BA29" t="s">
        <v>95</v>
      </c>
      <c r="BB29" t="s">
        <v>154</v>
      </c>
      <c r="BC29" t="s">
        <v>907</v>
      </c>
      <c r="BD29" t="s">
        <v>107</v>
      </c>
      <c r="BE29" t="s">
        <v>258</v>
      </c>
      <c r="BF29" t="s">
        <v>1136</v>
      </c>
      <c r="BG29" t="s">
        <v>235</v>
      </c>
      <c r="BH29">
        <v>59</v>
      </c>
      <c r="BL29">
        <v>30</v>
      </c>
      <c r="BN29">
        <v>4</v>
      </c>
      <c r="BP29">
        <v>0</v>
      </c>
      <c r="BR29">
        <v>0</v>
      </c>
      <c r="BT29">
        <v>10</v>
      </c>
      <c r="BV29">
        <v>12</v>
      </c>
      <c r="BX29">
        <v>3</v>
      </c>
      <c r="BY29" t="s">
        <v>189</v>
      </c>
      <c r="BZ29">
        <v>1</v>
      </c>
      <c r="CA29">
        <v>9</v>
      </c>
      <c r="CB29" t="s">
        <v>84</v>
      </c>
      <c r="CC29" t="s">
        <v>84</v>
      </c>
      <c r="CD29" t="s">
        <v>1167</v>
      </c>
      <c r="CE29" t="s">
        <v>4249</v>
      </c>
      <c r="CF29" t="s">
        <v>1771</v>
      </c>
      <c r="CG29" t="s">
        <v>907</v>
      </c>
      <c r="CH29">
        <v>0</v>
      </c>
      <c r="CI29" t="s">
        <v>84</v>
      </c>
      <c r="CJ29" t="s">
        <v>160</v>
      </c>
      <c r="CK29" t="s">
        <v>113</v>
      </c>
      <c r="CL29" t="s">
        <v>263</v>
      </c>
      <c r="CM29" t="s">
        <v>193</v>
      </c>
      <c r="CN29" t="s">
        <v>3874</v>
      </c>
      <c r="CO29" t="s">
        <v>95</v>
      </c>
      <c r="CP29" t="s">
        <v>907</v>
      </c>
      <c r="CQ29" t="s">
        <v>1772</v>
      </c>
      <c r="CR29" t="s">
        <v>95</v>
      </c>
      <c r="CS29" t="s">
        <v>907</v>
      </c>
      <c r="CT29" t="s">
        <v>907</v>
      </c>
      <c r="CU29" t="s">
        <v>907</v>
      </c>
      <c r="CV29" t="s">
        <v>812</v>
      </c>
      <c r="CW29" t="s">
        <v>1622</v>
      </c>
      <c r="CX29" t="s">
        <v>166</v>
      </c>
      <c r="CY29" t="s">
        <v>167</v>
      </c>
      <c r="CZ29" t="s">
        <v>495</v>
      </c>
      <c r="DA29">
        <v>0</v>
      </c>
      <c r="DB29" s="10">
        <v>0</v>
      </c>
      <c r="DC29" t="s">
        <v>169</v>
      </c>
      <c r="DD29" t="s">
        <v>907</v>
      </c>
      <c r="DE29">
        <v>7</v>
      </c>
      <c r="DF29">
        <v>11</v>
      </c>
      <c r="DG29" t="s">
        <v>95</v>
      </c>
      <c r="DH29" t="s">
        <v>95</v>
      </c>
      <c r="DI29" t="s">
        <v>907</v>
      </c>
      <c r="DJ29" t="s">
        <v>907</v>
      </c>
      <c r="DK29" t="s">
        <v>907</v>
      </c>
      <c r="DL29" t="s">
        <v>907</v>
      </c>
      <c r="DM29" t="s">
        <v>291</v>
      </c>
      <c r="DN29" t="s">
        <v>907</v>
      </c>
      <c r="DO29" t="s">
        <v>907</v>
      </c>
      <c r="DP29">
        <v>2</v>
      </c>
      <c r="DQ29" t="s">
        <v>441</v>
      </c>
      <c r="DR29" t="s">
        <v>907</v>
      </c>
      <c r="DS29" t="s">
        <v>442</v>
      </c>
      <c r="DT29" t="s">
        <v>1773</v>
      </c>
      <c r="DU29" t="s">
        <v>95</v>
      </c>
      <c r="DV29" t="s">
        <v>907</v>
      </c>
      <c r="DW29" t="s">
        <v>907</v>
      </c>
      <c r="DX29" t="s">
        <v>907</v>
      </c>
      <c r="FQ29">
        <v>566789926</v>
      </c>
      <c r="FR29" t="s">
        <v>1774</v>
      </c>
      <c r="FS29" s="1">
        <v>45925.665312500001</v>
      </c>
      <c r="FV29" t="s">
        <v>134</v>
      </c>
      <c r="FW29" t="s">
        <v>135</v>
      </c>
      <c r="FX29" t="s">
        <v>136</v>
      </c>
      <c r="FZ29">
        <v>272</v>
      </c>
    </row>
    <row r="30" spans="1:182" hidden="1" x14ac:dyDescent="0.3">
      <c r="A30" s="1">
        <v>45929.477975231479</v>
      </c>
      <c r="B30" s="1">
        <v>45929.497183564818</v>
      </c>
      <c r="D30" t="s">
        <v>84</v>
      </c>
      <c r="E30" t="s">
        <v>901</v>
      </c>
      <c r="F30" t="s">
        <v>3456</v>
      </c>
      <c r="G30" t="s">
        <v>176</v>
      </c>
      <c r="H30" t="s">
        <v>4122</v>
      </c>
      <c r="I30" t="s">
        <v>3457</v>
      </c>
      <c r="J30" t="s">
        <v>3458</v>
      </c>
      <c r="K30" t="s">
        <v>90</v>
      </c>
      <c r="L30" t="s">
        <v>4089</v>
      </c>
      <c r="M30" t="s">
        <v>277</v>
      </c>
      <c r="N30" t="s">
        <v>3459</v>
      </c>
      <c r="O30">
        <v>-15.320812500000001</v>
      </c>
      <c r="P30">
        <v>23.076589599999998</v>
      </c>
      <c r="Q30">
        <v>0</v>
      </c>
      <c r="R30">
        <v>13300</v>
      </c>
      <c r="S30" t="s">
        <v>84</v>
      </c>
      <c r="T30" t="s">
        <v>182</v>
      </c>
      <c r="U30">
        <v>15</v>
      </c>
      <c r="V30" t="s">
        <v>95</v>
      </c>
      <c r="W30" t="s">
        <v>907</v>
      </c>
      <c r="X30">
        <v>18</v>
      </c>
      <c r="Y30">
        <v>4</v>
      </c>
      <c r="Z30">
        <v>2</v>
      </c>
      <c r="AA30" t="s">
        <v>96</v>
      </c>
      <c r="AB30" t="s">
        <v>351</v>
      </c>
      <c r="AC30" t="s">
        <v>98</v>
      </c>
      <c r="AD30" t="s">
        <v>252</v>
      </c>
      <c r="AE30" t="s">
        <v>101</v>
      </c>
      <c r="AF30" t="s">
        <v>907</v>
      </c>
      <c r="AG30">
        <v>3500</v>
      </c>
      <c r="AH30" t="s">
        <v>3873</v>
      </c>
      <c r="AI30" t="s">
        <v>907</v>
      </c>
      <c r="AJ30" t="s">
        <v>907</v>
      </c>
      <c r="AK30" t="s">
        <v>102</v>
      </c>
      <c r="AL30" t="s">
        <v>907</v>
      </c>
      <c r="AM30" t="s">
        <v>4130</v>
      </c>
      <c r="AN30" t="s">
        <v>907</v>
      </c>
      <c r="AQ30" t="s">
        <v>1587</v>
      </c>
      <c r="AR30" t="s">
        <v>95</v>
      </c>
      <c r="AS30">
        <v>0</v>
      </c>
      <c r="AT30">
        <v>0</v>
      </c>
      <c r="AU30">
        <v>0</v>
      </c>
      <c r="AV30">
        <v>0</v>
      </c>
      <c r="AW30">
        <v>0</v>
      </c>
      <c r="AX30">
        <v>0</v>
      </c>
      <c r="AY30">
        <v>0</v>
      </c>
      <c r="AZ30" t="s">
        <v>929</v>
      </c>
      <c r="BA30" t="s">
        <v>95</v>
      </c>
      <c r="BB30" t="s">
        <v>308</v>
      </c>
      <c r="BC30" t="s">
        <v>907</v>
      </c>
      <c r="BD30" t="s">
        <v>107</v>
      </c>
      <c r="BE30" t="s">
        <v>258</v>
      </c>
      <c r="BF30" t="s">
        <v>3460</v>
      </c>
      <c r="BG30" t="s">
        <v>790</v>
      </c>
      <c r="BH30">
        <v>44</v>
      </c>
      <c r="BL30">
        <v>19</v>
      </c>
      <c r="BN30">
        <v>2</v>
      </c>
      <c r="BP30">
        <v>0</v>
      </c>
      <c r="BR30">
        <v>0</v>
      </c>
      <c r="BT30">
        <v>8</v>
      </c>
      <c r="BV30">
        <v>7</v>
      </c>
      <c r="BX30">
        <v>8</v>
      </c>
      <c r="BY30" t="s">
        <v>189</v>
      </c>
      <c r="BZ30">
        <v>2</v>
      </c>
      <c r="CA30">
        <v>27</v>
      </c>
      <c r="CB30" t="s">
        <v>84</v>
      </c>
      <c r="CC30" t="s">
        <v>84</v>
      </c>
      <c r="CD30" t="s">
        <v>334</v>
      </c>
      <c r="CE30" t="s">
        <v>4250</v>
      </c>
      <c r="CF30" t="s">
        <v>3461</v>
      </c>
      <c r="CG30" t="s">
        <v>907</v>
      </c>
      <c r="CH30">
        <v>0</v>
      </c>
      <c r="CI30" t="s">
        <v>84</v>
      </c>
      <c r="CJ30" t="s">
        <v>160</v>
      </c>
      <c r="CK30" t="s">
        <v>289</v>
      </c>
      <c r="CL30" t="s">
        <v>263</v>
      </c>
      <c r="CM30" t="s">
        <v>193</v>
      </c>
      <c r="CN30" t="s">
        <v>3868</v>
      </c>
      <c r="CO30" t="s">
        <v>95</v>
      </c>
      <c r="CP30" t="s">
        <v>907</v>
      </c>
      <c r="CQ30" t="s">
        <v>116</v>
      </c>
      <c r="CR30" t="s">
        <v>84</v>
      </c>
      <c r="CS30" t="s">
        <v>117</v>
      </c>
      <c r="CT30" t="s">
        <v>907</v>
      </c>
      <c r="CU30" t="s">
        <v>3869</v>
      </c>
      <c r="CV30" t="s">
        <v>812</v>
      </c>
      <c r="CW30" t="s">
        <v>439</v>
      </c>
      <c r="CX30" t="s">
        <v>166</v>
      </c>
      <c r="CY30" t="s">
        <v>167</v>
      </c>
      <c r="CZ30" t="s">
        <v>439</v>
      </c>
      <c r="DA30">
        <v>3</v>
      </c>
      <c r="DB30" s="10">
        <v>30000</v>
      </c>
      <c r="DC30" t="s">
        <v>169</v>
      </c>
      <c r="DD30" t="s">
        <v>907</v>
      </c>
      <c r="DE30">
        <v>2</v>
      </c>
      <c r="DF30">
        <v>15</v>
      </c>
      <c r="DG30" t="s">
        <v>84</v>
      </c>
      <c r="DH30" t="s">
        <v>95</v>
      </c>
      <c r="DI30" t="s">
        <v>907</v>
      </c>
      <c r="DJ30" t="s">
        <v>907</v>
      </c>
      <c r="DK30" t="s">
        <v>907</v>
      </c>
      <c r="DL30" t="s">
        <v>907</v>
      </c>
      <c r="DM30" t="s">
        <v>291</v>
      </c>
      <c r="DN30" t="s">
        <v>907</v>
      </c>
      <c r="DO30" t="s">
        <v>907</v>
      </c>
      <c r="DP30">
        <v>0</v>
      </c>
      <c r="DQ30" t="s">
        <v>441</v>
      </c>
      <c r="DR30" t="s">
        <v>907</v>
      </c>
      <c r="DS30" t="s">
        <v>917</v>
      </c>
      <c r="DT30" t="s">
        <v>3431</v>
      </c>
      <c r="DU30" t="s">
        <v>84</v>
      </c>
      <c r="DV30" t="s">
        <v>884</v>
      </c>
      <c r="DW30" t="s">
        <v>1612</v>
      </c>
      <c r="DX30" t="s">
        <v>95</v>
      </c>
      <c r="FQ30">
        <v>569779408</v>
      </c>
      <c r="FR30" t="s">
        <v>3462</v>
      </c>
      <c r="FS30" s="1">
        <v>45930.258969907409</v>
      </c>
      <c r="FV30" t="s">
        <v>134</v>
      </c>
      <c r="FW30" t="s">
        <v>135</v>
      </c>
      <c r="FX30" t="s">
        <v>136</v>
      </c>
      <c r="FZ30">
        <v>548</v>
      </c>
    </row>
    <row r="31" spans="1:182" hidden="1" x14ac:dyDescent="0.3">
      <c r="A31" s="1">
        <v>45929.529661608787</v>
      </c>
      <c r="B31" s="1">
        <v>45929.548077037027</v>
      </c>
      <c r="D31" t="s">
        <v>84</v>
      </c>
      <c r="E31" t="s">
        <v>901</v>
      </c>
      <c r="F31" t="s">
        <v>3476</v>
      </c>
      <c r="G31" t="s">
        <v>176</v>
      </c>
      <c r="H31" t="s">
        <v>4122</v>
      </c>
      <c r="I31" t="s">
        <v>3477</v>
      </c>
      <c r="J31" t="s">
        <v>3478</v>
      </c>
      <c r="K31" t="s">
        <v>90</v>
      </c>
      <c r="L31" t="s">
        <v>4092</v>
      </c>
      <c r="M31" t="s">
        <v>277</v>
      </c>
      <c r="N31" t="s">
        <v>3479</v>
      </c>
      <c r="O31">
        <v>-15.3958567</v>
      </c>
      <c r="P31">
        <v>23.040779700000002</v>
      </c>
      <c r="Q31">
        <v>1037.95556640625</v>
      </c>
      <c r="R31">
        <v>40.677999999999997</v>
      </c>
      <c r="S31" t="s">
        <v>95</v>
      </c>
      <c r="T31" t="s">
        <v>907</v>
      </c>
      <c r="U31" t="s">
        <v>907</v>
      </c>
      <c r="V31" t="s">
        <v>95</v>
      </c>
      <c r="W31" t="s">
        <v>907</v>
      </c>
      <c r="X31">
        <v>30</v>
      </c>
      <c r="Y31">
        <v>4</v>
      </c>
      <c r="Z31">
        <v>3</v>
      </c>
      <c r="AA31" t="s">
        <v>96</v>
      </c>
      <c r="AB31" t="s">
        <v>489</v>
      </c>
      <c r="AC31" t="s">
        <v>98</v>
      </c>
      <c r="AD31" t="s">
        <v>252</v>
      </c>
      <c r="AE31" t="s">
        <v>100</v>
      </c>
      <c r="AF31" t="s">
        <v>907</v>
      </c>
      <c r="AG31">
        <v>0</v>
      </c>
      <c r="AH31" t="s">
        <v>3873</v>
      </c>
      <c r="AI31" t="s">
        <v>907</v>
      </c>
      <c r="AJ31" t="s">
        <v>907</v>
      </c>
      <c r="AK31" t="s">
        <v>102</v>
      </c>
      <c r="AL31" t="s">
        <v>907</v>
      </c>
      <c r="AM31" t="s">
        <v>4130</v>
      </c>
      <c r="AN31" t="s">
        <v>907</v>
      </c>
      <c r="AQ31" t="s">
        <v>3480</v>
      </c>
      <c r="AR31" t="s">
        <v>95</v>
      </c>
      <c r="AS31">
        <v>0</v>
      </c>
      <c r="AT31">
        <v>0</v>
      </c>
      <c r="AU31">
        <v>0</v>
      </c>
      <c r="AV31">
        <v>0</v>
      </c>
      <c r="AW31">
        <v>0</v>
      </c>
      <c r="AX31">
        <v>0</v>
      </c>
      <c r="AY31">
        <v>0</v>
      </c>
      <c r="AZ31" t="s">
        <v>929</v>
      </c>
      <c r="BA31" t="s">
        <v>95</v>
      </c>
      <c r="BB31" t="s">
        <v>308</v>
      </c>
      <c r="BC31" t="s">
        <v>907</v>
      </c>
      <c r="BD31" t="s">
        <v>107</v>
      </c>
      <c r="BE31" t="s">
        <v>258</v>
      </c>
      <c r="BF31" t="s">
        <v>3481</v>
      </c>
      <c r="BG31" t="s">
        <v>790</v>
      </c>
      <c r="BH31">
        <v>55</v>
      </c>
      <c r="BL31">
        <v>27</v>
      </c>
      <c r="BN31">
        <v>6</v>
      </c>
      <c r="BP31">
        <v>0</v>
      </c>
      <c r="BR31">
        <v>0</v>
      </c>
      <c r="BT31">
        <v>4</v>
      </c>
      <c r="BV31">
        <v>7</v>
      </c>
      <c r="BX31">
        <v>11</v>
      </c>
      <c r="BY31" t="s">
        <v>110</v>
      </c>
      <c r="BZ31" t="s">
        <v>907</v>
      </c>
      <c r="CA31" t="s">
        <v>907</v>
      </c>
      <c r="CB31" t="s">
        <v>84</v>
      </c>
      <c r="CC31" t="s">
        <v>84</v>
      </c>
      <c r="CD31" t="s">
        <v>334</v>
      </c>
      <c r="CE31" t="s">
        <v>4251</v>
      </c>
      <c r="CF31" t="s">
        <v>3482</v>
      </c>
      <c r="CG31" t="s">
        <v>907</v>
      </c>
      <c r="CH31">
        <v>0</v>
      </c>
      <c r="CI31" t="s">
        <v>95</v>
      </c>
      <c r="CJ31" t="s">
        <v>907</v>
      </c>
      <c r="CK31" t="s">
        <v>289</v>
      </c>
      <c r="CL31" t="s">
        <v>263</v>
      </c>
      <c r="CM31" t="s">
        <v>547</v>
      </c>
      <c r="CN31" t="s">
        <v>3868</v>
      </c>
      <c r="CO31" t="s">
        <v>95</v>
      </c>
      <c r="CP31" t="s">
        <v>907</v>
      </c>
      <c r="CQ31" t="s">
        <v>116</v>
      </c>
      <c r="CR31" t="s">
        <v>84</v>
      </c>
      <c r="CS31" t="s">
        <v>117</v>
      </c>
      <c r="CT31" t="s">
        <v>264</v>
      </c>
      <c r="CU31" t="s">
        <v>3869</v>
      </c>
      <c r="CV31" t="s">
        <v>119</v>
      </c>
      <c r="CW31" t="s">
        <v>3483</v>
      </c>
      <c r="CX31" t="s">
        <v>166</v>
      </c>
      <c r="CY31" t="s">
        <v>167</v>
      </c>
      <c r="CZ31" t="s">
        <v>3484</v>
      </c>
      <c r="DA31">
        <v>4</v>
      </c>
      <c r="DB31" s="10">
        <v>30000</v>
      </c>
      <c r="DC31" t="s">
        <v>169</v>
      </c>
      <c r="DD31" t="s">
        <v>907</v>
      </c>
      <c r="DE31">
        <v>2</v>
      </c>
      <c r="DF31">
        <v>15</v>
      </c>
      <c r="DG31" t="s">
        <v>95</v>
      </c>
      <c r="DH31" t="s">
        <v>95</v>
      </c>
      <c r="DI31" t="s">
        <v>907</v>
      </c>
      <c r="DJ31" t="s">
        <v>907</v>
      </c>
      <c r="DK31" t="s">
        <v>907</v>
      </c>
      <c r="DL31" t="s">
        <v>907</v>
      </c>
      <c r="DM31" t="s">
        <v>291</v>
      </c>
      <c r="DN31" t="s">
        <v>907</v>
      </c>
      <c r="DO31" t="s">
        <v>907</v>
      </c>
      <c r="DP31">
        <v>0</v>
      </c>
      <c r="DQ31" t="s">
        <v>441</v>
      </c>
      <c r="DR31" t="s">
        <v>907</v>
      </c>
      <c r="DS31" t="s">
        <v>1362</v>
      </c>
      <c r="DT31" t="s">
        <v>3431</v>
      </c>
      <c r="DU31" t="s">
        <v>95</v>
      </c>
      <c r="DV31" t="s">
        <v>907</v>
      </c>
      <c r="DW31" t="s">
        <v>907</v>
      </c>
      <c r="DX31" t="s">
        <v>907</v>
      </c>
      <c r="FQ31">
        <v>569779447</v>
      </c>
      <c r="FR31" t="s">
        <v>3485</v>
      </c>
      <c r="FS31" s="1">
        <v>45930.259004629632</v>
      </c>
      <c r="FV31" t="s">
        <v>134</v>
      </c>
      <c r="FW31" t="s">
        <v>135</v>
      </c>
      <c r="FX31" t="s">
        <v>136</v>
      </c>
      <c r="FZ31">
        <v>551</v>
      </c>
    </row>
    <row r="32" spans="1:182" hidden="1" x14ac:dyDescent="0.3">
      <c r="A32" s="1">
        <v>45925.491480659723</v>
      </c>
      <c r="B32" s="1">
        <v>45925.508647743052</v>
      </c>
      <c r="D32" t="s">
        <v>84</v>
      </c>
      <c r="E32" t="s">
        <v>901</v>
      </c>
      <c r="F32" t="s">
        <v>1635</v>
      </c>
      <c r="G32" t="s">
        <v>176</v>
      </c>
      <c r="H32" t="s">
        <v>4122</v>
      </c>
      <c r="I32" t="s">
        <v>1636</v>
      </c>
      <c r="J32" t="s">
        <v>1637</v>
      </c>
      <c r="K32" t="s">
        <v>90</v>
      </c>
      <c r="L32" t="s">
        <v>3952</v>
      </c>
      <c r="M32" t="s">
        <v>277</v>
      </c>
      <c r="N32" t="s">
        <v>1638</v>
      </c>
      <c r="O32">
        <v>-15.358223000000001</v>
      </c>
      <c r="P32">
        <v>23.1549744</v>
      </c>
      <c r="Q32">
        <v>1025.697875976562</v>
      </c>
      <c r="R32">
        <v>5.681</v>
      </c>
      <c r="S32" t="s">
        <v>84</v>
      </c>
      <c r="T32" t="s">
        <v>182</v>
      </c>
      <c r="U32">
        <v>7</v>
      </c>
      <c r="V32" t="s">
        <v>95</v>
      </c>
      <c r="W32" t="s">
        <v>907</v>
      </c>
      <c r="X32">
        <v>15</v>
      </c>
      <c r="Y32">
        <v>5</v>
      </c>
      <c r="Z32">
        <v>3</v>
      </c>
      <c r="AA32" t="s">
        <v>96</v>
      </c>
      <c r="AB32" t="s">
        <v>351</v>
      </c>
      <c r="AC32" t="s">
        <v>98</v>
      </c>
      <c r="AD32" t="s">
        <v>520</v>
      </c>
      <c r="AE32" t="s">
        <v>100</v>
      </c>
      <c r="AF32" t="s">
        <v>907</v>
      </c>
      <c r="AG32">
        <v>8000</v>
      </c>
      <c r="AH32" t="s">
        <v>100</v>
      </c>
      <c r="AI32" t="s">
        <v>907</v>
      </c>
      <c r="AJ32" s="5">
        <v>5000</v>
      </c>
      <c r="AK32" t="s">
        <v>102</v>
      </c>
      <c r="AL32" t="s">
        <v>907</v>
      </c>
      <c r="AM32" t="s">
        <v>253</v>
      </c>
      <c r="AN32" t="s">
        <v>907</v>
      </c>
      <c r="AO32" t="s">
        <v>1639</v>
      </c>
      <c r="AP32" t="s">
        <v>1640</v>
      </c>
      <c r="AQ32" t="s">
        <v>1641</v>
      </c>
      <c r="AR32" t="s">
        <v>95</v>
      </c>
      <c r="AS32">
        <v>0</v>
      </c>
      <c r="AT32">
        <v>2</v>
      </c>
      <c r="AU32">
        <v>0</v>
      </c>
      <c r="AV32">
        <v>0</v>
      </c>
      <c r="AW32">
        <v>20</v>
      </c>
      <c r="AX32">
        <v>0</v>
      </c>
      <c r="AY32">
        <v>0</v>
      </c>
      <c r="AZ32" t="s">
        <v>106</v>
      </c>
      <c r="BA32" t="s">
        <v>95</v>
      </c>
      <c r="BB32" t="s">
        <v>308</v>
      </c>
      <c r="BC32" t="s">
        <v>907</v>
      </c>
      <c r="BD32" t="s">
        <v>107</v>
      </c>
      <c r="BE32" t="s">
        <v>258</v>
      </c>
      <c r="BF32" t="s">
        <v>1642</v>
      </c>
      <c r="BG32" t="s">
        <v>156</v>
      </c>
      <c r="BH32">
        <v>11</v>
      </c>
      <c r="BL32">
        <v>5</v>
      </c>
      <c r="BN32">
        <v>0</v>
      </c>
      <c r="BP32">
        <v>0</v>
      </c>
      <c r="BR32">
        <v>0</v>
      </c>
      <c r="BT32">
        <v>6</v>
      </c>
      <c r="BV32">
        <v>0</v>
      </c>
      <c r="BX32">
        <v>1</v>
      </c>
      <c r="BY32" t="s">
        <v>110</v>
      </c>
      <c r="BZ32" t="s">
        <v>907</v>
      </c>
      <c r="CA32" t="s">
        <v>907</v>
      </c>
      <c r="CB32" t="s">
        <v>84</v>
      </c>
      <c r="CC32" t="s">
        <v>84</v>
      </c>
      <c r="CD32" t="s">
        <v>943</v>
      </c>
      <c r="CE32" t="s">
        <v>1998</v>
      </c>
      <c r="CF32" t="s">
        <v>1643</v>
      </c>
      <c r="CG32" t="s">
        <v>907</v>
      </c>
      <c r="CH32">
        <v>0</v>
      </c>
      <c r="CI32" t="s">
        <v>95</v>
      </c>
      <c r="CJ32" t="s">
        <v>907</v>
      </c>
      <c r="CK32" t="s">
        <v>289</v>
      </c>
      <c r="CL32" t="s">
        <v>4262</v>
      </c>
      <c r="CM32" t="s">
        <v>193</v>
      </c>
      <c r="CN32" t="s">
        <v>194</v>
      </c>
      <c r="CO32" t="s">
        <v>95</v>
      </c>
      <c r="CP32" t="s">
        <v>907</v>
      </c>
      <c r="CQ32" t="s">
        <v>116</v>
      </c>
      <c r="CR32" t="s">
        <v>84</v>
      </c>
      <c r="CS32" t="s">
        <v>117</v>
      </c>
      <c r="CT32" t="s">
        <v>163</v>
      </c>
      <c r="CU32" t="s">
        <v>438</v>
      </c>
      <c r="CV32" t="s">
        <v>119</v>
      </c>
      <c r="CW32" t="s">
        <v>1644</v>
      </c>
      <c r="CX32" t="s">
        <v>290</v>
      </c>
      <c r="CY32" t="s">
        <v>907</v>
      </c>
      <c r="CZ32" t="s">
        <v>907</v>
      </c>
      <c r="DA32" t="s">
        <v>907</v>
      </c>
      <c r="DB32" t="s">
        <v>907</v>
      </c>
      <c r="DC32" t="s">
        <v>907</v>
      </c>
      <c r="DD32" t="s">
        <v>907</v>
      </c>
      <c r="DE32" t="s">
        <v>907</v>
      </c>
      <c r="DF32" t="s">
        <v>907</v>
      </c>
      <c r="DG32" t="s">
        <v>95</v>
      </c>
      <c r="DH32" t="s">
        <v>95</v>
      </c>
      <c r="DI32" t="s">
        <v>907</v>
      </c>
      <c r="DJ32" t="s">
        <v>907</v>
      </c>
      <c r="DK32" t="s">
        <v>907</v>
      </c>
      <c r="DL32" t="s">
        <v>907</v>
      </c>
      <c r="DM32" t="s">
        <v>291</v>
      </c>
      <c r="DN32" t="s">
        <v>907</v>
      </c>
      <c r="DO32" t="s">
        <v>907</v>
      </c>
      <c r="DP32">
        <v>4</v>
      </c>
      <c r="DQ32" t="s">
        <v>202</v>
      </c>
      <c r="DR32" t="s">
        <v>907</v>
      </c>
      <c r="DS32" t="s">
        <v>1645</v>
      </c>
      <c r="DT32" t="s">
        <v>863</v>
      </c>
      <c r="DU32" t="s">
        <v>84</v>
      </c>
      <c r="DV32" t="s">
        <v>131</v>
      </c>
      <c r="DW32" t="s">
        <v>533</v>
      </c>
      <c r="DX32" t="s">
        <v>95</v>
      </c>
      <c r="FQ32">
        <v>566738899</v>
      </c>
      <c r="FR32" t="s">
        <v>1646</v>
      </c>
      <c r="FS32" s="1">
        <v>45925.625740740739</v>
      </c>
      <c r="FV32" t="s">
        <v>134</v>
      </c>
      <c r="FW32" t="s">
        <v>135</v>
      </c>
      <c r="FX32" t="s">
        <v>136</v>
      </c>
      <c r="FZ32">
        <v>260</v>
      </c>
    </row>
    <row r="33" spans="1:182" hidden="1" x14ac:dyDescent="0.3">
      <c r="A33" s="1">
        <v>45926.45641146991</v>
      </c>
      <c r="B33" s="1">
        <v>45926.480435393518</v>
      </c>
      <c r="D33" t="s">
        <v>84</v>
      </c>
      <c r="E33" t="s">
        <v>901</v>
      </c>
      <c r="F33" t="s">
        <v>2855</v>
      </c>
      <c r="G33" t="s">
        <v>176</v>
      </c>
      <c r="H33" t="s">
        <v>4122</v>
      </c>
      <c r="I33" t="s">
        <v>2856</v>
      </c>
      <c r="J33" t="s">
        <v>2857</v>
      </c>
      <c r="K33" t="s">
        <v>90</v>
      </c>
      <c r="L33" t="s">
        <v>2858</v>
      </c>
      <c r="M33" t="s">
        <v>1871</v>
      </c>
      <c r="N33" t="s">
        <v>2859</v>
      </c>
      <c r="O33">
        <v>-15.196798299999999</v>
      </c>
      <c r="P33">
        <v>22.953721699999999</v>
      </c>
      <c r="Q33">
        <v>1023.3</v>
      </c>
      <c r="R33">
        <v>4.96</v>
      </c>
      <c r="S33" t="s">
        <v>84</v>
      </c>
      <c r="T33" t="s">
        <v>182</v>
      </c>
      <c r="U33">
        <v>7</v>
      </c>
      <c r="V33" t="s">
        <v>95</v>
      </c>
      <c r="W33" t="s">
        <v>907</v>
      </c>
      <c r="X33">
        <v>40</v>
      </c>
      <c r="Y33">
        <v>3</v>
      </c>
      <c r="Z33">
        <v>3</v>
      </c>
      <c r="AA33" t="s">
        <v>96</v>
      </c>
      <c r="AB33" t="s">
        <v>351</v>
      </c>
      <c r="AC33" t="s">
        <v>98</v>
      </c>
      <c r="AD33" t="s">
        <v>99</v>
      </c>
      <c r="AE33" t="s">
        <v>101</v>
      </c>
      <c r="AF33" t="s">
        <v>907</v>
      </c>
      <c r="AG33">
        <v>400</v>
      </c>
      <c r="AH33" t="s">
        <v>214</v>
      </c>
      <c r="AI33" t="s">
        <v>907</v>
      </c>
      <c r="AJ33" s="5">
        <v>500</v>
      </c>
      <c r="AK33" t="s">
        <v>102</v>
      </c>
      <c r="AL33" t="s">
        <v>907</v>
      </c>
      <c r="AM33" t="s">
        <v>2818</v>
      </c>
      <c r="AN33" t="s">
        <v>907</v>
      </c>
      <c r="AO33" t="s">
        <v>2860</v>
      </c>
      <c r="AP33" t="s">
        <v>2861</v>
      </c>
      <c r="AQ33" t="s">
        <v>956</v>
      </c>
      <c r="AR33" t="s">
        <v>95</v>
      </c>
      <c r="AS33">
        <v>0</v>
      </c>
      <c r="AT33">
        <v>0</v>
      </c>
      <c r="AU33">
        <v>0</v>
      </c>
      <c r="AV33">
        <v>17</v>
      </c>
      <c r="AW33">
        <v>0</v>
      </c>
      <c r="AX33">
        <v>0</v>
      </c>
      <c r="AY33">
        <v>0</v>
      </c>
      <c r="AZ33" t="s">
        <v>153</v>
      </c>
      <c r="BA33" t="s">
        <v>95</v>
      </c>
      <c r="BB33" t="s">
        <v>308</v>
      </c>
      <c r="BC33" t="s">
        <v>907</v>
      </c>
      <c r="BD33" t="s">
        <v>107</v>
      </c>
      <c r="BE33" t="s">
        <v>363</v>
      </c>
      <c r="BF33" t="s">
        <v>913</v>
      </c>
      <c r="BG33" t="s">
        <v>156</v>
      </c>
      <c r="BH33">
        <v>38</v>
      </c>
      <c r="BL33">
        <v>18</v>
      </c>
      <c r="BN33">
        <v>2</v>
      </c>
      <c r="BP33">
        <v>2</v>
      </c>
      <c r="BR33">
        <v>3</v>
      </c>
      <c r="BT33">
        <v>4</v>
      </c>
      <c r="BV33">
        <v>3</v>
      </c>
      <c r="BX33">
        <v>7</v>
      </c>
      <c r="BY33" t="s">
        <v>110</v>
      </c>
      <c r="BZ33" t="s">
        <v>907</v>
      </c>
      <c r="CA33" t="s">
        <v>907</v>
      </c>
      <c r="CB33" t="s">
        <v>84</v>
      </c>
      <c r="CC33" t="s">
        <v>84</v>
      </c>
      <c r="CD33" t="s">
        <v>2823</v>
      </c>
      <c r="CE33" t="s">
        <v>4252</v>
      </c>
      <c r="CF33" t="s">
        <v>2824</v>
      </c>
      <c r="CG33" t="s">
        <v>907</v>
      </c>
      <c r="CH33">
        <v>0</v>
      </c>
      <c r="CI33" t="s">
        <v>84</v>
      </c>
      <c r="CJ33" t="s">
        <v>546</v>
      </c>
      <c r="CK33" t="s">
        <v>289</v>
      </c>
      <c r="CL33" t="s">
        <v>456</v>
      </c>
      <c r="CM33" t="s">
        <v>193</v>
      </c>
      <c r="CN33" t="s">
        <v>3903</v>
      </c>
      <c r="CO33" t="s">
        <v>95</v>
      </c>
      <c r="CP33" t="s">
        <v>907</v>
      </c>
      <c r="CQ33" t="s">
        <v>116</v>
      </c>
      <c r="CR33" t="s">
        <v>84</v>
      </c>
      <c r="CS33" t="s">
        <v>117</v>
      </c>
      <c r="CT33" t="s">
        <v>264</v>
      </c>
      <c r="CU33" t="s">
        <v>3869</v>
      </c>
      <c r="CV33" t="s">
        <v>812</v>
      </c>
      <c r="CW33" t="s">
        <v>707</v>
      </c>
      <c r="CX33" t="s">
        <v>166</v>
      </c>
      <c r="CY33" t="s">
        <v>167</v>
      </c>
      <c r="CZ33" t="s">
        <v>715</v>
      </c>
      <c r="DA33">
        <v>4</v>
      </c>
      <c r="DB33" s="10">
        <v>40000</v>
      </c>
      <c r="DC33" t="s">
        <v>169</v>
      </c>
      <c r="DD33" t="s">
        <v>907</v>
      </c>
      <c r="DE33">
        <v>1</v>
      </c>
      <c r="DF33">
        <v>20</v>
      </c>
      <c r="DG33" t="s">
        <v>84</v>
      </c>
      <c r="DH33" t="s">
        <v>95</v>
      </c>
      <c r="DI33" t="s">
        <v>907</v>
      </c>
      <c r="DJ33" t="s">
        <v>907</v>
      </c>
      <c r="DK33" t="s">
        <v>907</v>
      </c>
      <c r="DL33" t="s">
        <v>907</v>
      </c>
      <c r="DM33" t="s">
        <v>291</v>
      </c>
      <c r="DN33" t="s">
        <v>907</v>
      </c>
      <c r="DO33" t="s">
        <v>907</v>
      </c>
      <c r="DP33">
        <v>1</v>
      </c>
      <c r="DQ33" t="s">
        <v>441</v>
      </c>
      <c r="DR33" t="s">
        <v>907</v>
      </c>
      <c r="DS33" t="s">
        <v>383</v>
      </c>
      <c r="DT33" t="s">
        <v>2862</v>
      </c>
      <c r="DU33" t="s">
        <v>84</v>
      </c>
      <c r="DV33" t="s">
        <v>884</v>
      </c>
      <c r="DW33" t="s">
        <v>533</v>
      </c>
      <c r="DX33" t="s">
        <v>95</v>
      </c>
      <c r="FQ33">
        <v>567429764</v>
      </c>
      <c r="FR33" t="s">
        <v>2863</v>
      </c>
      <c r="FS33" s="1">
        <v>45926.556550925918</v>
      </c>
      <c r="FV33" t="s">
        <v>134</v>
      </c>
      <c r="FW33" t="s">
        <v>135</v>
      </c>
      <c r="FX33" t="s">
        <v>136</v>
      </c>
      <c r="FZ33">
        <v>409</v>
      </c>
    </row>
    <row r="34" spans="1:182" x14ac:dyDescent="0.3">
      <c r="A34" s="1">
        <v>45924.490304618063</v>
      </c>
      <c r="B34" s="1">
        <v>45924.513599155092</v>
      </c>
      <c r="D34" t="s">
        <v>84</v>
      </c>
      <c r="E34" t="s">
        <v>1226</v>
      </c>
      <c r="F34" t="s">
        <v>1307</v>
      </c>
      <c r="G34" t="s">
        <v>176</v>
      </c>
      <c r="H34" t="s">
        <v>4122</v>
      </c>
      <c r="I34" t="s">
        <v>1308</v>
      </c>
      <c r="K34" t="s">
        <v>90</v>
      </c>
      <c r="L34" t="s">
        <v>1294</v>
      </c>
      <c r="M34" t="s">
        <v>1309</v>
      </c>
      <c r="N34" t="s">
        <v>1310</v>
      </c>
      <c r="O34">
        <v>-15.327813300000001</v>
      </c>
      <c r="P34">
        <v>23.039985000000001</v>
      </c>
      <c r="Q34">
        <v>1014.5</v>
      </c>
      <c r="R34">
        <v>4.22</v>
      </c>
      <c r="S34" t="s">
        <v>84</v>
      </c>
      <c r="T34" t="s">
        <v>182</v>
      </c>
      <c r="U34">
        <v>6</v>
      </c>
      <c r="V34" t="s">
        <v>95</v>
      </c>
      <c r="W34" t="s">
        <v>907</v>
      </c>
      <c r="X34">
        <v>15</v>
      </c>
      <c r="Y34">
        <v>22</v>
      </c>
      <c r="Z34">
        <v>2</v>
      </c>
      <c r="AA34" t="s">
        <v>251</v>
      </c>
      <c r="AB34" t="s">
        <v>351</v>
      </c>
      <c r="AC34" t="s">
        <v>98</v>
      </c>
      <c r="AD34" t="s">
        <v>252</v>
      </c>
      <c r="AE34" t="s">
        <v>304</v>
      </c>
      <c r="AF34" t="s">
        <v>907</v>
      </c>
      <c r="AG34" s="3">
        <v>5000</v>
      </c>
      <c r="AH34" t="s">
        <v>966</v>
      </c>
      <c r="AI34" t="s">
        <v>907</v>
      </c>
      <c r="AJ34" s="5">
        <v>2000</v>
      </c>
      <c r="AK34" t="s">
        <v>102</v>
      </c>
      <c r="AL34" t="s">
        <v>907</v>
      </c>
      <c r="AM34" t="s">
        <v>1154</v>
      </c>
      <c r="AN34" t="s">
        <v>907</v>
      </c>
      <c r="AO34" t="s">
        <v>1311</v>
      </c>
      <c r="AP34" t="s">
        <v>1312</v>
      </c>
      <c r="AQ34" t="s">
        <v>1051</v>
      </c>
      <c r="AR34" t="s">
        <v>95</v>
      </c>
      <c r="AS34">
        <v>22</v>
      </c>
      <c r="AT34">
        <v>0</v>
      </c>
      <c r="AU34">
        <v>0</v>
      </c>
      <c r="AV34">
        <v>9</v>
      </c>
      <c r="AW34">
        <v>0</v>
      </c>
      <c r="AX34">
        <v>0</v>
      </c>
      <c r="AY34">
        <v>0</v>
      </c>
      <c r="AZ34" t="s">
        <v>284</v>
      </c>
      <c r="BA34" t="s">
        <v>1313</v>
      </c>
      <c r="BB34" t="s">
        <v>154</v>
      </c>
      <c r="BC34" t="s">
        <v>907</v>
      </c>
      <c r="BD34" t="s">
        <v>107</v>
      </c>
      <c r="BE34" t="s">
        <v>810</v>
      </c>
      <c r="BF34" t="s">
        <v>1314</v>
      </c>
      <c r="BG34" t="s">
        <v>235</v>
      </c>
      <c r="BH34">
        <v>124</v>
      </c>
      <c r="BL34">
        <v>38</v>
      </c>
      <c r="BN34">
        <v>6</v>
      </c>
      <c r="BP34">
        <v>18</v>
      </c>
      <c r="BR34">
        <v>30</v>
      </c>
      <c r="BT34">
        <v>0</v>
      </c>
      <c r="BV34">
        <v>14</v>
      </c>
      <c r="BX34">
        <v>18</v>
      </c>
      <c r="BY34" t="s">
        <v>189</v>
      </c>
      <c r="BZ34">
        <v>5</v>
      </c>
      <c r="CA34">
        <v>39</v>
      </c>
      <c r="CB34" t="s">
        <v>84</v>
      </c>
      <c r="CC34" t="s">
        <v>84</v>
      </c>
      <c r="CD34" t="s">
        <v>778</v>
      </c>
      <c r="CE34" t="s">
        <v>1998</v>
      </c>
      <c r="CF34" t="s">
        <v>3924</v>
      </c>
      <c r="CG34" t="s">
        <v>907</v>
      </c>
      <c r="CH34">
        <v>0</v>
      </c>
      <c r="CI34" t="s">
        <v>84</v>
      </c>
      <c r="CJ34" t="s">
        <v>262</v>
      </c>
      <c r="CK34" t="s">
        <v>289</v>
      </c>
      <c r="CL34" t="s">
        <v>1315</v>
      </c>
      <c r="CM34" t="s">
        <v>193</v>
      </c>
      <c r="CN34" t="s">
        <v>3868</v>
      </c>
      <c r="CO34" t="s">
        <v>95</v>
      </c>
      <c r="CP34" t="s">
        <v>907</v>
      </c>
      <c r="CQ34" t="s">
        <v>116</v>
      </c>
      <c r="CR34" t="s">
        <v>95</v>
      </c>
      <c r="CS34" t="s">
        <v>907</v>
      </c>
      <c r="CT34" t="s">
        <v>907</v>
      </c>
      <c r="CU34" t="s">
        <v>907</v>
      </c>
      <c r="CV34" t="s">
        <v>812</v>
      </c>
      <c r="CW34" t="s">
        <v>907</v>
      </c>
      <c r="CX34" t="s">
        <v>166</v>
      </c>
      <c r="CY34" t="s">
        <v>167</v>
      </c>
      <c r="CZ34" t="s">
        <v>980</v>
      </c>
      <c r="DA34">
        <v>3</v>
      </c>
      <c r="DB34" s="10">
        <v>46000</v>
      </c>
      <c r="DC34" t="s">
        <v>169</v>
      </c>
      <c r="DD34" t="s">
        <v>907</v>
      </c>
      <c r="DE34">
        <v>2</v>
      </c>
      <c r="DF34">
        <v>12</v>
      </c>
      <c r="DG34" t="s">
        <v>95</v>
      </c>
      <c r="DH34" t="s">
        <v>95</v>
      </c>
      <c r="DI34" t="s">
        <v>907</v>
      </c>
      <c r="DJ34" t="s">
        <v>907</v>
      </c>
      <c r="DK34" t="s">
        <v>907</v>
      </c>
      <c r="DL34" t="s">
        <v>907</v>
      </c>
      <c r="DM34" t="s">
        <v>291</v>
      </c>
      <c r="DN34" t="s">
        <v>907</v>
      </c>
      <c r="DO34" t="s">
        <v>907</v>
      </c>
      <c r="DP34">
        <v>5</v>
      </c>
      <c r="DQ34" t="s">
        <v>202</v>
      </c>
      <c r="DR34" t="s">
        <v>907</v>
      </c>
      <c r="DS34" t="s">
        <v>1316</v>
      </c>
      <c r="DT34" t="s">
        <v>1317</v>
      </c>
      <c r="DU34" t="s">
        <v>84</v>
      </c>
      <c r="DV34" t="s">
        <v>1318</v>
      </c>
      <c r="DW34" t="s">
        <v>1305</v>
      </c>
      <c r="DX34" t="s">
        <v>95</v>
      </c>
      <c r="FQ34">
        <v>566012955</v>
      </c>
      <c r="FR34" t="s">
        <v>1319</v>
      </c>
      <c r="FS34" s="1">
        <v>45924.733969907407</v>
      </c>
      <c r="FV34" t="s">
        <v>134</v>
      </c>
      <c r="FW34" t="s">
        <v>135</v>
      </c>
      <c r="FX34" t="s">
        <v>136</v>
      </c>
      <c r="FZ34">
        <v>213</v>
      </c>
    </row>
    <row r="35" spans="1:182" hidden="1" x14ac:dyDescent="0.3">
      <c r="A35" s="1">
        <v>45930.383785763886</v>
      </c>
      <c r="B35" s="1">
        <v>45931.37278633102</v>
      </c>
      <c r="D35" t="s">
        <v>84</v>
      </c>
      <c r="E35" t="s">
        <v>85</v>
      </c>
      <c r="F35" t="s">
        <v>3762</v>
      </c>
      <c r="G35" t="s">
        <v>176</v>
      </c>
      <c r="H35" t="s">
        <v>4122</v>
      </c>
      <c r="I35" t="s">
        <v>3763</v>
      </c>
      <c r="J35" t="s">
        <v>3764</v>
      </c>
      <c r="K35" t="s">
        <v>90</v>
      </c>
      <c r="L35" t="s">
        <v>3765</v>
      </c>
      <c r="M35" t="s">
        <v>3667</v>
      </c>
      <c r="N35" t="s">
        <v>3766</v>
      </c>
      <c r="O35">
        <v>-15.1811454</v>
      </c>
      <c r="P35">
        <v>22.838812999999998</v>
      </c>
      <c r="Q35">
        <v>1033.341064453125</v>
      </c>
      <c r="R35">
        <v>4.6139999999999999</v>
      </c>
      <c r="S35" t="s">
        <v>84</v>
      </c>
      <c r="T35" t="s">
        <v>182</v>
      </c>
      <c r="U35">
        <v>15</v>
      </c>
      <c r="V35" t="s">
        <v>95</v>
      </c>
      <c r="W35" t="s">
        <v>907</v>
      </c>
      <c r="X35">
        <v>6</v>
      </c>
      <c r="Y35">
        <v>45</v>
      </c>
      <c r="Z35">
        <v>3</v>
      </c>
      <c r="AA35" t="s">
        <v>96</v>
      </c>
      <c r="AB35" t="s">
        <v>351</v>
      </c>
      <c r="AC35" t="s">
        <v>98</v>
      </c>
      <c r="AD35" t="s">
        <v>99</v>
      </c>
      <c r="AE35" t="s">
        <v>304</v>
      </c>
      <c r="AF35" t="s">
        <v>907</v>
      </c>
      <c r="AG35">
        <v>0</v>
      </c>
      <c r="AH35" t="s">
        <v>147</v>
      </c>
      <c r="AI35" t="s">
        <v>907</v>
      </c>
      <c r="AJ35" s="5">
        <v>0</v>
      </c>
      <c r="AK35" t="s">
        <v>102</v>
      </c>
      <c r="AL35" t="s">
        <v>907</v>
      </c>
      <c r="AM35" t="s">
        <v>3767</v>
      </c>
      <c r="AN35" t="s">
        <v>907</v>
      </c>
      <c r="AO35" t="s">
        <v>3768</v>
      </c>
      <c r="AP35">
        <v>0</v>
      </c>
      <c r="AQ35" t="s">
        <v>3769</v>
      </c>
      <c r="AR35" t="s">
        <v>95</v>
      </c>
      <c r="AS35">
        <v>0</v>
      </c>
      <c r="AT35">
        <v>0</v>
      </c>
      <c r="AU35">
        <v>0</v>
      </c>
      <c r="AV35">
        <v>0</v>
      </c>
      <c r="AW35">
        <v>0</v>
      </c>
      <c r="AX35">
        <v>0</v>
      </c>
      <c r="AY35">
        <v>0</v>
      </c>
      <c r="AZ35" t="s">
        <v>106</v>
      </c>
      <c r="BA35" t="s">
        <v>95</v>
      </c>
      <c r="BB35" t="s">
        <v>154</v>
      </c>
      <c r="BC35" t="s">
        <v>907</v>
      </c>
      <c r="BD35" t="s">
        <v>107</v>
      </c>
      <c r="BE35" t="s">
        <v>108</v>
      </c>
      <c r="BF35" t="s">
        <v>309</v>
      </c>
      <c r="BG35" t="s">
        <v>235</v>
      </c>
      <c r="BH35">
        <v>80</v>
      </c>
      <c r="BY35" t="s">
        <v>110</v>
      </c>
      <c r="BZ35" t="s">
        <v>907</v>
      </c>
      <c r="CA35" t="s">
        <v>907</v>
      </c>
      <c r="CB35" t="s">
        <v>84</v>
      </c>
      <c r="CC35" t="s">
        <v>84</v>
      </c>
      <c r="CD35" t="s">
        <v>545</v>
      </c>
      <c r="CE35" t="s">
        <v>4250</v>
      </c>
      <c r="CF35" t="s">
        <v>3770</v>
      </c>
      <c r="CG35" t="s">
        <v>907</v>
      </c>
      <c r="CH35">
        <v>0</v>
      </c>
      <c r="CI35" t="s">
        <v>84</v>
      </c>
      <c r="CJ35" t="s">
        <v>262</v>
      </c>
      <c r="CK35" t="s">
        <v>289</v>
      </c>
      <c r="CL35" t="s">
        <v>3771</v>
      </c>
      <c r="CM35" t="s">
        <v>115</v>
      </c>
      <c r="CN35" t="s">
        <v>3883</v>
      </c>
      <c r="CO35" t="s">
        <v>95</v>
      </c>
      <c r="CP35" t="s">
        <v>907</v>
      </c>
      <c r="CQ35" t="s">
        <v>116</v>
      </c>
      <c r="CR35" t="s">
        <v>95</v>
      </c>
      <c r="CS35" t="s">
        <v>907</v>
      </c>
      <c r="CT35" t="s">
        <v>907</v>
      </c>
      <c r="CU35" t="s">
        <v>907</v>
      </c>
      <c r="CV35" t="s">
        <v>119</v>
      </c>
      <c r="CW35" t="s">
        <v>559</v>
      </c>
      <c r="CX35" t="s">
        <v>166</v>
      </c>
      <c r="CY35" t="s">
        <v>549</v>
      </c>
      <c r="CZ35" t="s">
        <v>559</v>
      </c>
      <c r="DA35">
        <v>3</v>
      </c>
      <c r="DB35" s="10">
        <v>13000</v>
      </c>
      <c r="DC35" t="s">
        <v>169</v>
      </c>
      <c r="DD35" t="s">
        <v>907</v>
      </c>
      <c r="DE35">
        <v>1</v>
      </c>
      <c r="DF35">
        <v>35</v>
      </c>
      <c r="DG35" t="s">
        <v>95</v>
      </c>
      <c r="DH35" t="s">
        <v>95</v>
      </c>
      <c r="DI35" t="s">
        <v>907</v>
      </c>
      <c r="DJ35" t="s">
        <v>907</v>
      </c>
      <c r="DK35" t="s">
        <v>907</v>
      </c>
      <c r="DL35" t="s">
        <v>907</v>
      </c>
      <c r="DM35" t="s">
        <v>125</v>
      </c>
      <c r="DN35" t="s">
        <v>200</v>
      </c>
      <c r="DO35" t="s">
        <v>2790</v>
      </c>
      <c r="DP35">
        <v>3</v>
      </c>
      <c r="DQ35" t="s">
        <v>128</v>
      </c>
      <c r="DR35" t="s">
        <v>907</v>
      </c>
      <c r="DS35" t="s">
        <v>3772</v>
      </c>
      <c r="DT35" t="s">
        <v>717</v>
      </c>
      <c r="DU35" t="s">
        <v>95</v>
      </c>
      <c r="DV35" t="s">
        <v>907</v>
      </c>
      <c r="DW35" t="s">
        <v>907</v>
      </c>
      <c r="DX35" t="s">
        <v>907</v>
      </c>
      <c r="FQ35">
        <v>570597384</v>
      </c>
      <c r="FR35" t="s">
        <v>3773</v>
      </c>
      <c r="FS35" s="1">
        <v>45931.289664351847</v>
      </c>
      <c r="FV35" t="s">
        <v>134</v>
      </c>
      <c r="FW35" t="s">
        <v>135</v>
      </c>
      <c r="FX35" t="s">
        <v>136</v>
      </c>
      <c r="FZ35">
        <v>641</v>
      </c>
    </row>
    <row r="36" spans="1:182" hidden="1" x14ac:dyDescent="0.3">
      <c r="A36" s="1">
        <v>45929.529755185184</v>
      </c>
      <c r="B36" s="1">
        <v>45929.548059247689</v>
      </c>
      <c r="D36" t="s">
        <v>84</v>
      </c>
      <c r="E36" t="s">
        <v>901</v>
      </c>
      <c r="F36" t="s">
        <v>3441</v>
      </c>
      <c r="G36" t="s">
        <v>176</v>
      </c>
      <c r="H36" t="s">
        <v>4121</v>
      </c>
      <c r="I36" t="s">
        <v>3442</v>
      </c>
      <c r="J36" t="s">
        <v>3443</v>
      </c>
      <c r="K36" t="s">
        <v>90</v>
      </c>
      <c r="L36" t="s">
        <v>4088</v>
      </c>
      <c r="M36" t="s">
        <v>277</v>
      </c>
      <c r="N36" t="s">
        <v>3444</v>
      </c>
      <c r="O36">
        <v>-15.395845</v>
      </c>
      <c r="P36">
        <v>23.040773300000001</v>
      </c>
      <c r="Q36">
        <v>1000.4</v>
      </c>
      <c r="R36">
        <v>4.8600000000000003</v>
      </c>
      <c r="S36" t="s">
        <v>84</v>
      </c>
      <c r="T36" t="s">
        <v>182</v>
      </c>
      <c r="U36">
        <v>6</v>
      </c>
      <c r="V36" t="s">
        <v>95</v>
      </c>
      <c r="W36" t="s">
        <v>907</v>
      </c>
      <c r="X36">
        <v>5</v>
      </c>
      <c r="Y36">
        <v>2</v>
      </c>
      <c r="Z36">
        <v>2</v>
      </c>
      <c r="AA36" t="s">
        <v>96</v>
      </c>
      <c r="AB36" t="s">
        <v>97</v>
      </c>
      <c r="AC36" t="s">
        <v>98</v>
      </c>
      <c r="AD36" t="s">
        <v>520</v>
      </c>
      <c r="AE36" t="s">
        <v>101</v>
      </c>
      <c r="AF36" t="s">
        <v>907</v>
      </c>
      <c r="AG36">
        <v>800</v>
      </c>
      <c r="AH36" t="s">
        <v>3873</v>
      </c>
      <c r="AI36" t="s">
        <v>907</v>
      </c>
      <c r="AJ36" t="s">
        <v>907</v>
      </c>
      <c r="AK36" t="s">
        <v>102</v>
      </c>
      <c r="AL36" t="s">
        <v>907</v>
      </c>
      <c r="AM36" t="s">
        <v>4130</v>
      </c>
      <c r="AN36" t="s">
        <v>907</v>
      </c>
      <c r="AQ36" t="s">
        <v>451</v>
      </c>
      <c r="AR36" t="s">
        <v>95</v>
      </c>
      <c r="AS36">
        <v>0</v>
      </c>
      <c r="AT36">
        <v>0</v>
      </c>
      <c r="AU36">
        <v>0</v>
      </c>
      <c r="AV36">
        <v>0</v>
      </c>
      <c r="AW36">
        <v>0</v>
      </c>
      <c r="AX36">
        <v>0</v>
      </c>
      <c r="AY36">
        <v>0</v>
      </c>
      <c r="AZ36" t="s">
        <v>929</v>
      </c>
      <c r="BA36" t="s">
        <v>95</v>
      </c>
      <c r="BB36" t="s">
        <v>308</v>
      </c>
      <c r="BC36" t="s">
        <v>907</v>
      </c>
      <c r="BD36" t="s">
        <v>107</v>
      </c>
      <c r="BE36" t="s">
        <v>258</v>
      </c>
      <c r="BF36" t="s">
        <v>3445</v>
      </c>
      <c r="BG36" t="s">
        <v>790</v>
      </c>
      <c r="BH36">
        <v>97</v>
      </c>
      <c r="BL36">
        <v>50</v>
      </c>
      <c r="BN36">
        <v>2</v>
      </c>
      <c r="BP36">
        <v>5</v>
      </c>
      <c r="BR36">
        <v>6</v>
      </c>
      <c r="BT36">
        <v>4</v>
      </c>
      <c r="BV36">
        <v>6</v>
      </c>
      <c r="BX36">
        <v>24</v>
      </c>
      <c r="BY36" t="s">
        <v>110</v>
      </c>
      <c r="BZ36" t="s">
        <v>907</v>
      </c>
      <c r="CA36" t="s">
        <v>907</v>
      </c>
      <c r="CB36" t="s">
        <v>84</v>
      </c>
      <c r="CC36" t="s">
        <v>84</v>
      </c>
      <c r="CD36" t="s">
        <v>334</v>
      </c>
      <c r="CE36" t="s">
        <v>4251</v>
      </c>
      <c r="CF36" t="s">
        <v>3446</v>
      </c>
      <c r="CG36" t="s">
        <v>907</v>
      </c>
      <c r="CH36">
        <v>0</v>
      </c>
      <c r="CI36" t="s">
        <v>84</v>
      </c>
      <c r="CJ36" t="s">
        <v>546</v>
      </c>
      <c r="CK36" t="s">
        <v>289</v>
      </c>
      <c r="CL36" t="s">
        <v>263</v>
      </c>
      <c r="CM36" t="s">
        <v>547</v>
      </c>
      <c r="CN36" t="s">
        <v>3868</v>
      </c>
      <c r="CO36" t="s">
        <v>95</v>
      </c>
      <c r="CP36" t="s">
        <v>907</v>
      </c>
      <c r="CQ36" t="s">
        <v>116</v>
      </c>
      <c r="CR36" t="s">
        <v>84</v>
      </c>
      <c r="CS36" t="s">
        <v>117</v>
      </c>
      <c r="CT36" t="s">
        <v>264</v>
      </c>
      <c r="CU36" t="s">
        <v>438</v>
      </c>
      <c r="CV36" t="s">
        <v>119</v>
      </c>
      <c r="CW36" t="s">
        <v>3447</v>
      </c>
      <c r="CX36" t="s">
        <v>166</v>
      </c>
      <c r="CY36" t="s">
        <v>167</v>
      </c>
      <c r="CZ36" t="s">
        <v>696</v>
      </c>
      <c r="DA36">
        <v>7</v>
      </c>
      <c r="DB36" s="10">
        <v>50000</v>
      </c>
      <c r="DC36" t="s">
        <v>169</v>
      </c>
      <c r="DD36" t="s">
        <v>907</v>
      </c>
      <c r="DE36">
        <v>2</v>
      </c>
      <c r="DF36">
        <v>15</v>
      </c>
      <c r="DG36" t="s">
        <v>95</v>
      </c>
      <c r="DH36" t="s">
        <v>95</v>
      </c>
      <c r="DI36" t="s">
        <v>907</v>
      </c>
      <c r="DJ36" t="s">
        <v>907</v>
      </c>
      <c r="DK36" t="s">
        <v>907</v>
      </c>
      <c r="DL36" t="s">
        <v>907</v>
      </c>
      <c r="DM36" t="s">
        <v>291</v>
      </c>
      <c r="DN36" t="s">
        <v>907</v>
      </c>
      <c r="DO36" t="s">
        <v>907</v>
      </c>
      <c r="DP36">
        <v>0</v>
      </c>
      <c r="DQ36" t="s">
        <v>441</v>
      </c>
      <c r="DR36" t="s">
        <v>907</v>
      </c>
      <c r="DS36" t="s">
        <v>917</v>
      </c>
      <c r="DT36" t="s">
        <v>3431</v>
      </c>
      <c r="DU36" t="s">
        <v>84</v>
      </c>
      <c r="DV36" t="s">
        <v>131</v>
      </c>
      <c r="DW36" t="s">
        <v>3009</v>
      </c>
      <c r="DX36" t="s">
        <v>95</v>
      </c>
      <c r="FQ36">
        <v>569778202</v>
      </c>
      <c r="FR36" t="s">
        <v>3448</v>
      </c>
      <c r="FS36" s="1">
        <v>45930.257291666669</v>
      </c>
      <c r="FV36" t="s">
        <v>134</v>
      </c>
      <c r="FW36" t="s">
        <v>135</v>
      </c>
      <c r="FX36" t="s">
        <v>136</v>
      </c>
      <c r="FZ36">
        <v>546</v>
      </c>
    </row>
    <row r="37" spans="1:182" hidden="1" x14ac:dyDescent="0.3">
      <c r="A37" s="1">
        <v>45926.427663807874</v>
      </c>
      <c r="B37" s="1">
        <v>45926.453974768519</v>
      </c>
      <c r="D37" t="s">
        <v>84</v>
      </c>
      <c r="E37" t="s">
        <v>901</v>
      </c>
      <c r="F37" t="s">
        <v>2847</v>
      </c>
      <c r="G37" t="s">
        <v>176</v>
      </c>
      <c r="H37" t="s">
        <v>4122</v>
      </c>
      <c r="I37" t="s">
        <v>2848</v>
      </c>
      <c r="J37" t="s">
        <v>2849</v>
      </c>
      <c r="K37" t="s">
        <v>90</v>
      </c>
      <c r="L37" t="s">
        <v>2850</v>
      </c>
      <c r="M37" t="s">
        <v>1871</v>
      </c>
      <c r="N37" t="s">
        <v>2851</v>
      </c>
      <c r="O37">
        <v>-15.196798299999999</v>
      </c>
      <c r="P37">
        <v>22.9537333</v>
      </c>
      <c r="Q37">
        <v>1029.0999999999999</v>
      </c>
      <c r="R37">
        <v>4.25</v>
      </c>
      <c r="S37" t="s">
        <v>84</v>
      </c>
      <c r="T37" t="s">
        <v>182</v>
      </c>
      <c r="U37">
        <v>10</v>
      </c>
      <c r="V37" t="s">
        <v>95</v>
      </c>
      <c r="W37" t="s">
        <v>907</v>
      </c>
      <c r="X37">
        <v>6</v>
      </c>
      <c r="Y37">
        <v>0.5</v>
      </c>
      <c r="Z37">
        <v>0.5</v>
      </c>
      <c r="AA37" t="s">
        <v>96</v>
      </c>
      <c r="AB37" t="s">
        <v>351</v>
      </c>
      <c r="AC37" t="s">
        <v>98</v>
      </c>
      <c r="AD37" t="s">
        <v>252</v>
      </c>
      <c r="AE37" t="s">
        <v>101</v>
      </c>
      <c r="AF37" t="s">
        <v>907</v>
      </c>
      <c r="AG37">
        <v>4000</v>
      </c>
      <c r="AH37" t="s">
        <v>925</v>
      </c>
      <c r="AI37" t="s">
        <v>907</v>
      </c>
      <c r="AJ37" s="5">
        <v>500</v>
      </c>
      <c r="AK37" t="s">
        <v>102</v>
      </c>
      <c r="AL37" t="s">
        <v>907</v>
      </c>
      <c r="AM37" t="s">
        <v>4130</v>
      </c>
      <c r="AN37" t="s">
        <v>907</v>
      </c>
      <c r="AQ37" t="s">
        <v>2852</v>
      </c>
      <c r="AR37" t="s">
        <v>95</v>
      </c>
      <c r="AS37">
        <v>0</v>
      </c>
      <c r="AT37">
        <v>0</v>
      </c>
      <c r="AU37">
        <v>0</v>
      </c>
      <c r="AV37">
        <v>0</v>
      </c>
      <c r="AW37">
        <v>0</v>
      </c>
      <c r="AX37">
        <v>0</v>
      </c>
      <c r="AY37">
        <v>0</v>
      </c>
      <c r="AZ37" t="s">
        <v>629</v>
      </c>
      <c r="BA37" t="s">
        <v>95</v>
      </c>
      <c r="BB37" t="s">
        <v>308</v>
      </c>
      <c r="BC37" t="s">
        <v>907</v>
      </c>
      <c r="BD37" t="s">
        <v>107</v>
      </c>
      <c r="BE37" t="s">
        <v>363</v>
      </c>
      <c r="BF37" t="s">
        <v>4026</v>
      </c>
      <c r="BG37" t="s">
        <v>109</v>
      </c>
      <c r="BH37">
        <v>51</v>
      </c>
      <c r="BL37">
        <v>22</v>
      </c>
      <c r="BN37">
        <v>2</v>
      </c>
      <c r="BP37">
        <v>5</v>
      </c>
      <c r="BR37">
        <v>0</v>
      </c>
      <c r="BT37">
        <v>4</v>
      </c>
      <c r="BV37">
        <v>5</v>
      </c>
      <c r="BX37">
        <v>12</v>
      </c>
      <c r="BY37" t="s">
        <v>189</v>
      </c>
      <c r="BZ37">
        <v>4</v>
      </c>
      <c r="CA37">
        <v>33</v>
      </c>
      <c r="CB37" t="s">
        <v>84</v>
      </c>
      <c r="CC37" t="s">
        <v>84</v>
      </c>
      <c r="CD37" t="s">
        <v>334</v>
      </c>
      <c r="CE37" t="s">
        <v>4252</v>
      </c>
      <c r="CF37" t="s">
        <v>2853</v>
      </c>
      <c r="CG37" t="s">
        <v>907</v>
      </c>
      <c r="CH37">
        <v>0</v>
      </c>
      <c r="CI37" t="s">
        <v>84</v>
      </c>
      <c r="CJ37" t="s">
        <v>262</v>
      </c>
      <c r="CK37" t="s">
        <v>289</v>
      </c>
      <c r="CL37" t="s">
        <v>4262</v>
      </c>
      <c r="CM37" t="s">
        <v>162</v>
      </c>
      <c r="CN37" t="s">
        <v>421</v>
      </c>
      <c r="CO37" t="s">
        <v>95</v>
      </c>
      <c r="CP37" t="s">
        <v>907</v>
      </c>
      <c r="CQ37" t="s">
        <v>116</v>
      </c>
      <c r="CR37" t="s">
        <v>84</v>
      </c>
      <c r="CS37" t="s">
        <v>117</v>
      </c>
      <c r="CT37" t="s">
        <v>163</v>
      </c>
      <c r="CU37" t="s">
        <v>3869</v>
      </c>
      <c r="CV37" t="s">
        <v>119</v>
      </c>
      <c r="CW37" t="s">
        <v>483</v>
      </c>
      <c r="CX37" t="s">
        <v>166</v>
      </c>
      <c r="CY37" t="s">
        <v>167</v>
      </c>
      <c r="CZ37" t="s">
        <v>1668</v>
      </c>
      <c r="DA37">
        <v>7</v>
      </c>
      <c r="DB37" s="10">
        <v>70000</v>
      </c>
      <c r="DC37" t="s">
        <v>169</v>
      </c>
      <c r="DD37" t="s">
        <v>907</v>
      </c>
      <c r="DE37">
        <v>2</v>
      </c>
      <c r="DF37">
        <v>20</v>
      </c>
      <c r="DG37" t="s">
        <v>95</v>
      </c>
      <c r="DH37" t="s">
        <v>95</v>
      </c>
      <c r="DI37" t="s">
        <v>907</v>
      </c>
      <c r="DJ37" t="s">
        <v>907</v>
      </c>
      <c r="DK37" t="s">
        <v>907</v>
      </c>
      <c r="DL37" t="s">
        <v>907</v>
      </c>
      <c r="DM37" t="s">
        <v>291</v>
      </c>
      <c r="DN37" t="s">
        <v>907</v>
      </c>
      <c r="DO37" t="s">
        <v>907</v>
      </c>
      <c r="DP37">
        <v>1</v>
      </c>
      <c r="DQ37" t="s">
        <v>441</v>
      </c>
      <c r="DR37" t="s">
        <v>907</v>
      </c>
      <c r="DS37" t="s">
        <v>996</v>
      </c>
      <c r="DT37" t="s">
        <v>552</v>
      </c>
      <c r="DU37" t="s">
        <v>84</v>
      </c>
      <c r="DV37" t="s">
        <v>884</v>
      </c>
      <c r="DW37" t="s">
        <v>933</v>
      </c>
      <c r="DX37" t="s">
        <v>95</v>
      </c>
      <c r="FQ37">
        <v>567429753</v>
      </c>
      <c r="FR37" t="s">
        <v>2854</v>
      </c>
      <c r="FS37" s="1">
        <v>45926.556539351863</v>
      </c>
      <c r="FV37" t="s">
        <v>134</v>
      </c>
      <c r="FW37" t="s">
        <v>135</v>
      </c>
      <c r="FX37" t="s">
        <v>136</v>
      </c>
      <c r="FZ37">
        <v>408</v>
      </c>
    </row>
    <row r="38" spans="1:182" hidden="1" x14ac:dyDescent="0.3">
      <c r="A38" s="1">
        <v>45926.427585219913</v>
      </c>
      <c r="B38" s="1">
        <v>45926.453944155102</v>
      </c>
      <c r="D38" t="s">
        <v>84</v>
      </c>
      <c r="E38" t="s">
        <v>901</v>
      </c>
      <c r="F38" t="s">
        <v>2805</v>
      </c>
      <c r="G38" t="s">
        <v>176</v>
      </c>
      <c r="H38" t="s">
        <v>4121</v>
      </c>
      <c r="I38" t="s">
        <v>2806</v>
      </c>
      <c r="J38" t="s">
        <v>2807</v>
      </c>
      <c r="K38" t="s">
        <v>90</v>
      </c>
      <c r="L38" t="s">
        <v>2808</v>
      </c>
      <c r="M38" t="s">
        <v>1883</v>
      </c>
      <c r="N38" t="s">
        <v>2809</v>
      </c>
      <c r="O38">
        <v>-15.196881299999999</v>
      </c>
      <c r="P38">
        <v>22.953631999999999</v>
      </c>
      <c r="Q38">
        <v>1021.14501953125</v>
      </c>
      <c r="R38">
        <v>4.9370000000000003</v>
      </c>
      <c r="S38" t="s">
        <v>84</v>
      </c>
      <c r="T38" t="s">
        <v>182</v>
      </c>
      <c r="U38">
        <v>5</v>
      </c>
      <c r="V38" t="s">
        <v>95</v>
      </c>
      <c r="W38" t="s">
        <v>907</v>
      </c>
      <c r="X38">
        <v>6</v>
      </c>
      <c r="Y38">
        <v>0.8</v>
      </c>
      <c r="Z38">
        <v>0.8</v>
      </c>
      <c r="AA38" t="s">
        <v>96</v>
      </c>
      <c r="AB38" t="s">
        <v>97</v>
      </c>
      <c r="AC38" t="s">
        <v>98</v>
      </c>
      <c r="AD38" t="s">
        <v>252</v>
      </c>
      <c r="AE38" t="s">
        <v>101</v>
      </c>
      <c r="AF38" t="s">
        <v>907</v>
      </c>
      <c r="AG38">
        <v>3000</v>
      </c>
      <c r="AH38" t="s">
        <v>214</v>
      </c>
      <c r="AI38" t="s">
        <v>907</v>
      </c>
      <c r="AJ38" s="5">
        <v>500</v>
      </c>
      <c r="AK38" t="s">
        <v>102</v>
      </c>
      <c r="AL38" t="s">
        <v>907</v>
      </c>
      <c r="AM38" t="s">
        <v>4130</v>
      </c>
      <c r="AN38" t="s">
        <v>907</v>
      </c>
      <c r="AQ38" t="s">
        <v>909</v>
      </c>
      <c r="AR38" t="s">
        <v>95</v>
      </c>
      <c r="AS38">
        <v>0</v>
      </c>
      <c r="AT38">
        <v>0</v>
      </c>
      <c r="AU38">
        <v>0</v>
      </c>
      <c r="AV38">
        <v>0</v>
      </c>
      <c r="AW38">
        <v>0</v>
      </c>
      <c r="AX38">
        <v>0</v>
      </c>
      <c r="AY38">
        <v>0</v>
      </c>
      <c r="AZ38" t="s">
        <v>629</v>
      </c>
      <c r="BA38" t="s">
        <v>95</v>
      </c>
      <c r="BB38" t="s">
        <v>308</v>
      </c>
      <c r="BC38" t="s">
        <v>907</v>
      </c>
      <c r="BD38" t="s">
        <v>107</v>
      </c>
      <c r="BE38" t="s">
        <v>363</v>
      </c>
      <c r="BF38" t="s">
        <v>4025</v>
      </c>
      <c r="BG38" t="s">
        <v>156</v>
      </c>
      <c r="BH38">
        <v>92</v>
      </c>
      <c r="BL38">
        <v>44</v>
      </c>
      <c r="BN38">
        <v>2</v>
      </c>
      <c r="BP38">
        <v>10</v>
      </c>
      <c r="BR38">
        <v>0</v>
      </c>
      <c r="BT38">
        <v>4</v>
      </c>
      <c r="BV38">
        <v>6</v>
      </c>
      <c r="BX38">
        <v>26</v>
      </c>
      <c r="BY38" t="s">
        <v>110</v>
      </c>
      <c r="BZ38" t="s">
        <v>907</v>
      </c>
      <c r="CA38" t="s">
        <v>907</v>
      </c>
      <c r="CB38" t="s">
        <v>84</v>
      </c>
      <c r="CC38" t="s">
        <v>84</v>
      </c>
      <c r="CD38" t="s">
        <v>2810</v>
      </c>
      <c r="CE38" t="s">
        <v>4252</v>
      </c>
      <c r="CF38" t="s">
        <v>1781</v>
      </c>
      <c r="CG38" t="s">
        <v>907</v>
      </c>
      <c r="CH38">
        <v>0</v>
      </c>
      <c r="CI38" t="s">
        <v>84</v>
      </c>
      <c r="CJ38" t="s">
        <v>262</v>
      </c>
      <c r="CK38" t="s">
        <v>113</v>
      </c>
      <c r="CL38" t="s">
        <v>4262</v>
      </c>
      <c r="CM38" t="s">
        <v>162</v>
      </c>
      <c r="CN38" t="s">
        <v>3868</v>
      </c>
      <c r="CO38" t="s">
        <v>95</v>
      </c>
      <c r="CP38" t="s">
        <v>907</v>
      </c>
      <c r="CQ38" t="s">
        <v>116</v>
      </c>
      <c r="CR38" t="s">
        <v>84</v>
      </c>
      <c r="CS38" t="s">
        <v>117</v>
      </c>
      <c r="CT38" t="s">
        <v>163</v>
      </c>
      <c r="CU38" t="s">
        <v>3869</v>
      </c>
      <c r="CV38" t="s">
        <v>119</v>
      </c>
      <c r="CW38" t="s">
        <v>483</v>
      </c>
      <c r="CX38" t="s">
        <v>166</v>
      </c>
      <c r="CY38" t="s">
        <v>167</v>
      </c>
      <c r="CZ38" t="s">
        <v>1657</v>
      </c>
      <c r="DA38">
        <v>10</v>
      </c>
      <c r="DB38" s="10">
        <v>100000</v>
      </c>
      <c r="DC38" t="s">
        <v>169</v>
      </c>
      <c r="DD38" t="s">
        <v>907</v>
      </c>
      <c r="DE38">
        <v>2</v>
      </c>
      <c r="DF38">
        <v>20</v>
      </c>
      <c r="DG38" t="s">
        <v>95</v>
      </c>
      <c r="DH38" t="s">
        <v>95</v>
      </c>
      <c r="DI38" t="s">
        <v>907</v>
      </c>
      <c r="DJ38" t="s">
        <v>907</v>
      </c>
      <c r="DK38" t="s">
        <v>907</v>
      </c>
      <c r="DL38" t="s">
        <v>907</v>
      </c>
      <c r="DM38" t="s">
        <v>291</v>
      </c>
      <c r="DN38" t="s">
        <v>907</v>
      </c>
      <c r="DO38" t="s">
        <v>907</v>
      </c>
      <c r="DP38">
        <v>1</v>
      </c>
      <c r="DQ38" t="s">
        <v>441</v>
      </c>
      <c r="DR38" t="s">
        <v>907</v>
      </c>
      <c r="DS38" t="s">
        <v>996</v>
      </c>
      <c r="DT38" t="s">
        <v>552</v>
      </c>
      <c r="DU38" t="s">
        <v>84</v>
      </c>
      <c r="DV38" t="s">
        <v>884</v>
      </c>
      <c r="DW38" t="s">
        <v>533</v>
      </c>
      <c r="DX38" t="s">
        <v>95</v>
      </c>
      <c r="FQ38">
        <v>567429438</v>
      </c>
      <c r="FR38" t="s">
        <v>2811</v>
      </c>
      <c r="FS38" s="1">
        <v>45926.556180555563</v>
      </c>
      <c r="FV38" t="s">
        <v>134</v>
      </c>
      <c r="FW38" t="s">
        <v>135</v>
      </c>
      <c r="FX38" t="s">
        <v>136</v>
      </c>
      <c r="FZ38">
        <v>404</v>
      </c>
    </row>
    <row r="39" spans="1:182" hidden="1" x14ac:dyDescent="0.3">
      <c r="A39" s="1">
        <v>45924.636728113423</v>
      </c>
      <c r="B39" s="1">
        <v>45924.651849456022</v>
      </c>
      <c r="D39" t="s">
        <v>84</v>
      </c>
      <c r="E39" t="s">
        <v>535</v>
      </c>
      <c r="F39" t="s">
        <v>590</v>
      </c>
      <c r="G39" t="s">
        <v>176</v>
      </c>
      <c r="H39" t="s">
        <v>4122</v>
      </c>
      <c r="I39" t="s">
        <v>591</v>
      </c>
      <c r="J39" t="s">
        <v>592</v>
      </c>
      <c r="K39" t="s">
        <v>90</v>
      </c>
      <c r="L39" t="s">
        <v>539</v>
      </c>
      <c r="M39" t="s">
        <v>540</v>
      </c>
      <c r="N39" t="s">
        <v>593</v>
      </c>
      <c r="O39">
        <v>-15.345722</v>
      </c>
      <c r="P39">
        <v>23.1289409</v>
      </c>
      <c r="Q39">
        <v>1027.17822265625</v>
      </c>
      <c r="R39">
        <v>4.657</v>
      </c>
      <c r="S39" t="s">
        <v>84</v>
      </c>
      <c r="T39" t="s">
        <v>182</v>
      </c>
      <c r="U39">
        <v>7</v>
      </c>
      <c r="V39" t="s">
        <v>95</v>
      </c>
      <c r="W39" t="s">
        <v>907</v>
      </c>
      <c r="X39">
        <v>30</v>
      </c>
      <c r="Y39">
        <v>50</v>
      </c>
      <c r="Z39">
        <v>12</v>
      </c>
      <c r="AA39" t="s">
        <v>96</v>
      </c>
      <c r="AB39" t="s">
        <v>143</v>
      </c>
      <c r="AC39" t="s">
        <v>144</v>
      </c>
      <c r="AD39" t="s">
        <v>145</v>
      </c>
      <c r="AE39" t="s">
        <v>100</v>
      </c>
      <c r="AF39" t="s">
        <v>907</v>
      </c>
      <c r="AG39">
        <v>0</v>
      </c>
      <c r="AH39" t="s">
        <v>100</v>
      </c>
      <c r="AI39" t="s">
        <v>907</v>
      </c>
      <c r="AJ39" s="5">
        <v>0</v>
      </c>
      <c r="AK39" t="s">
        <v>102</v>
      </c>
      <c r="AL39" t="s">
        <v>907</v>
      </c>
      <c r="AM39" t="s">
        <v>594</v>
      </c>
      <c r="AN39" t="s">
        <v>907</v>
      </c>
      <c r="AO39" t="s">
        <v>595</v>
      </c>
      <c r="AP39" t="s">
        <v>596</v>
      </c>
      <c r="AQ39" t="s">
        <v>149</v>
      </c>
      <c r="AR39" t="s">
        <v>95</v>
      </c>
      <c r="AS39">
        <v>22</v>
      </c>
      <c r="AT39">
        <v>12</v>
      </c>
      <c r="AU39">
        <v>0</v>
      </c>
      <c r="AV39">
        <v>62</v>
      </c>
      <c r="AW39">
        <v>62</v>
      </c>
      <c r="AX39">
        <v>0</v>
      </c>
      <c r="AY39">
        <v>0</v>
      </c>
      <c r="AZ39" t="s">
        <v>284</v>
      </c>
      <c r="BA39" t="s">
        <v>95</v>
      </c>
      <c r="BB39" t="s">
        <v>154</v>
      </c>
      <c r="BC39" t="s">
        <v>907</v>
      </c>
      <c r="BD39" t="s">
        <v>107</v>
      </c>
      <c r="BE39" t="s">
        <v>108</v>
      </c>
      <c r="BF39" t="s">
        <v>597</v>
      </c>
      <c r="BG39" t="s">
        <v>235</v>
      </c>
      <c r="BH39">
        <v>16</v>
      </c>
      <c r="BY39" t="s">
        <v>110</v>
      </c>
      <c r="BZ39" t="s">
        <v>907</v>
      </c>
      <c r="CA39" t="s">
        <v>907</v>
      </c>
      <c r="CB39" t="s">
        <v>84</v>
      </c>
      <c r="CC39" t="s">
        <v>84</v>
      </c>
      <c r="CD39" t="s">
        <v>598</v>
      </c>
      <c r="CE39" t="s">
        <v>4250</v>
      </c>
      <c r="CF39" t="s">
        <v>599</v>
      </c>
      <c r="CG39" t="s">
        <v>907</v>
      </c>
      <c r="CH39">
        <v>0</v>
      </c>
      <c r="CI39" t="s">
        <v>84</v>
      </c>
      <c r="CJ39" t="s">
        <v>262</v>
      </c>
      <c r="CK39" t="s">
        <v>289</v>
      </c>
      <c r="CL39" t="s">
        <v>600</v>
      </c>
      <c r="CM39" t="s">
        <v>115</v>
      </c>
      <c r="CN39" t="s">
        <v>3889</v>
      </c>
      <c r="CO39" t="s">
        <v>95</v>
      </c>
      <c r="CP39" t="s">
        <v>907</v>
      </c>
      <c r="CQ39" t="s">
        <v>116</v>
      </c>
      <c r="CR39" t="s">
        <v>84</v>
      </c>
      <c r="CS39" t="s">
        <v>117</v>
      </c>
      <c r="CT39" t="s">
        <v>163</v>
      </c>
      <c r="CU39" t="s">
        <v>3869</v>
      </c>
      <c r="CV39" t="s">
        <v>119</v>
      </c>
      <c r="CW39" t="s">
        <v>569</v>
      </c>
      <c r="CX39" t="s">
        <v>166</v>
      </c>
      <c r="CY39" t="s">
        <v>549</v>
      </c>
      <c r="CZ39" t="s">
        <v>265</v>
      </c>
      <c r="DA39">
        <v>1</v>
      </c>
      <c r="DB39" s="10">
        <v>7000</v>
      </c>
      <c r="DC39" t="s">
        <v>169</v>
      </c>
      <c r="DD39" t="s">
        <v>907</v>
      </c>
      <c r="DE39">
        <v>1</v>
      </c>
      <c r="DF39">
        <v>7</v>
      </c>
      <c r="DG39" t="s">
        <v>84</v>
      </c>
      <c r="DH39" t="s">
        <v>95</v>
      </c>
      <c r="DI39" t="s">
        <v>907</v>
      </c>
      <c r="DJ39" t="s">
        <v>907</v>
      </c>
      <c r="DK39" t="s">
        <v>907</v>
      </c>
      <c r="DL39" t="s">
        <v>907</v>
      </c>
      <c r="DM39" t="s">
        <v>125</v>
      </c>
      <c r="DN39" t="s">
        <v>341</v>
      </c>
      <c r="DO39" t="s">
        <v>171</v>
      </c>
      <c r="DP39">
        <v>5</v>
      </c>
      <c r="DQ39" t="s">
        <v>128</v>
      </c>
      <c r="DR39" t="s">
        <v>907</v>
      </c>
      <c r="DS39" t="s">
        <v>551</v>
      </c>
      <c r="DT39" t="s">
        <v>552</v>
      </c>
      <c r="DU39" t="s">
        <v>95</v>
      </c>
      <c r="DV39" t="s">
        <v>907</v>
      </c>
      <c r="DW39" t="s">
        <v>907</v>
      </c>
      <c r="DX39" t="s">
        <v>907</v>
      </c>
      <c r="FQ39">
        <v>565908898</v>
      </c>
      <c r="FR39" t="s">
        <v>601</v>
      </c>
      <c r="FS39" s="1">
        <v>45924.644756944443</v>
      </c>
      <c r="FV39" t="s">
        <v>134</v>
      </c>
      <c r="FW39" t="s">
        <v>135</v>
      </c>
      <c r="FX39" t="s">
        <v>136</v>
      </c>
      <c r="FZ39">
        <v>151</v>
      </c>
    </row>
    <row r="40" spans="1:182" hidden="1" x14ac:dyDescent="0.3">
      <c r="A40" s="1">
        <v>45926.400441168982</v>
      </c>
      <c r="B40" s="1">
        <v>45926.414194895828</v>
      </c>
      <c r="D40" t="s">
        <v>84</v>
      </c>
      <c r="E40" t="s">
        <v>3878</v>
      </c>
      <c r="F40" t="s">
        <v>2952</v>
      </c>
      <c r="G40" t="s">
        <v>176</v>
      </c>
      <c r="H40" t="s">
        <v>4122</v>
      </c>
      <c r="I40" t="s">
        <v>2953</v>
      </c>
      <c r="J40" t="s">
        <v>2954</v>
      </c>
      <c r="K40" t="s">
        <v>90</v>
      </c>
      <c r="L40" t="s">
        <v>2955</v>
      </c>
      <c r="M40" t="s">
        <v>2868</v>
      </c>
      <c r="N40" t="s">
        <v>2956</v>
      </c>
      <c r="O40">
        <v>-15.214234599999999</v>
      </c>
      <c r="P40">
        <v>22.935260100000001</v>
      </c>
      <c r="Q40">
        <v>1126.8</v>
      </c>
      <c r="R40">
        <v>4.95</v>
      </c>
      <c r="S40" t="s">
        <v>84</v>
      </c>
      <c r="T40" t="s">
        <v>94</v>
      </c>
      <c r="U40">
        <v>9</v>
      </c>
      <c r="V40" t="s">
        <v>95</v>
      </c>
      <c r="W40" t="s">
        <v>907</v>
      </c>
      <c r="X40">
        <v>20</v>
      </c>
      <c r="Y40">
        <v>2</v>
      </c>
      <c r="Z40">
        <v>1</v>
      </c>
      <c r="AA40" t="s">
        <v>96</v>
      </c>
      <c r="AB40" t="s">
        <v>351</v>
      </c>
      <c r="AC40" t="s">
        <v>98</v>
      </c>
      <c r="AD40" t="s">
        <v>99</v>
      </c>
      <c r="AE40" t="s">
        <v>304</v>
      </c>
      <c r="AF40" t="s">
        <v>907</v>
      </c>
      <c r="AG40">
        <v>15000</v>
      </c>
      <c r="AH40" t="s">
        <v>101</v>
      </c>
      <c r="AI40" t="s">
        <v>907</v>
      </c>
      <c r="AJ40" s="5">
        <v>10000</v>
      </c>
      <c r="AK40" t="s">
        <v>102</v>
      </c>
      <c r="AL40" t="s">
        <v>907</v>
      </c>
      <c r="AM40" t="s">
        <v>4130</v>
      </c>
      <c r="AN40" t="s">
        <v>907</v>
      </c>
      <c r="AQ40" t="s">
        <v>466</v>
      </c>
      <c r="AR40" t="s">
        <v>95</v>
      </c>
      <c r="AS40">
        <v>0</v>
      </c>
      <c r="AT40">
        <v>0</v>
      </c>
      <c r="AU40">
        <v>0</v>
      </c>
      <c r="AV40">
        <v>0</v>
      </c>
      <c r="AW40">
        <v>0</v>
      </c>
      <c r="AX40">
        <v>0</v>
      </c>
      <c r="AY40">
        <v>0</v>
      </c>
      <c r="AZ40" t="s">
        <v>1003</v>
      </c>
      <c r="BA40" t="s">
        <v>95</v>
      </c>
      <c r="BB40" t="s">
        <v>154</v>
      </c>
      <c r="BC40" t="s">
        <v>907</v>
      </c>
      <c r="BD40" t="s">
        <v>107</v>
      </c>
      <c r="BE40" t="s">
        <v>258</v>
      </c>
      <c r="BF40" t="s">
        <v>309</v>
      </c>
      <c r="BG40" t="s">
        <v>235</v>
      </c>
      <c r="BH40">
        <v>38</v>
      </c>
      <c r="BL40">
        <v>16</v>
      </c>
      <c r="BN40">
        <v>2</v>
      </c>
      <c r="BT40">
        <v>2</v>
      </c>
      <c r="BV40">
        <v>9</v>
      </c>
      <c r="BX40">
        <v>7</v>
      </c>
      <c r="BY40" t="s">
        <v>110</v>
      </c>
      <c r="BZ40" t="s">
        <v>907</v>
      </c>
      <c r="CA40" t="s">
        <v>907</v>
      </c>
      <c r="CB40" t="s">
        <v>84</v>
      </c>
      <c r="CC40" t="s">
        <v>84</v>
      </c>
      <c r="CD40" t="s">
        <v>1167</v>
      </c>
      <c r="CE40" t="s">
        <v>4252</v>
      </c>
      <c r="CF40" t="s">
        <v>2957</v>
      </c>
      <c r="CG40" t="s">
        <v>907</v>
      </c>
      <c r="CH40">
        <v>1</v>
      </c>
      <c r="CI40" t="s">
        <v>84</v>
      </c>
      <c r="CJ40" t="s">
        <v>336</v>
      </c>
      <c r="CK40" t="s">
        <v>113</v>
      </c>
      <c r="CL40" t="s">
        <v>456</v>
      </c>
      <c r="CM40" t="s">
        <v>162</v>
      </c>
      <c r="CN40" t="s">
        <v>3874</v>
      </c>
      <c r="CO40" t="s">
        <v>95</v>
      </c>
      <c r="CP40" t="s">
        <v>907</v>
      </c>
      <c r="CQ40" t="s">
        <v>116</v>
      </c>
      <c r="CR40" t="s">
        <v>95</v>
      </c>
      <c r="CS40" t="s">
        <v>907</v>
      </c>
      <c r="CT40" t="s">
        <v>907</v>
      </c>
      <c r="CU40" t="s">
        <v>907</v>
      </c>
      <c r="CV40" t="s">
        <v>812</v>
      </c>
      <c r="CW40" t="s">
        <v>907</v>
      </c>
      <c r="CX40" t="s">
        <v>166</v>
      </c>
      <c r="CY40" t="s">
        <v>167</v>
      </c>
      <c r="CZ40" t="s">
        <v>495</v>
      </c>
      <c r="DA40">
        <v>4</v>
      </c>
      <c r="DB40" s="10">
        <v>20000</v>
      </c>
      <c r="DC40" t="s">
        <v>169</v>
      </c>
      <c r="DD40" t="s">
        <v>907</v>
      </c>
      <c r="DE40">
        <v>2</v>
      </c>
      <c r="DF40">
        <v>25</v>
      </c>
      <c r="DG40" t="s">
        <v>84</v>
      </c>
      <c r="DH40" t="s">
        <v>95</v>
      </c>
      <c r="DI40" t="s">
        <v>907</v>
      </c>
      <c r="DJ40" t="s">
        <v>907</v>
      </c>
      <c r="DK40" t="s">
        <v>907</v>
      </c>
      <c r="DL40" t="s">
        <v>907</v>
      </c>
      <c r="DM40" t="s">
        <v>291</v>
      </c>
      <c r="DN40" t="s">
        <v>907</v>
      </c>
      <c r="DO40" t="s">
        <v>907</v>
      </c>
      <c r="DP40">
        <v>2</v>
      </c>
      <c r="DQ40" t="s">
        <v>441</v>
      </c>
      <c r="DR40" t="s">
        <v>907</v>
      </c>
      <c r="DS40" t="s">
        <v>442</v>
      </c>
      <c r="DT40" t="s">
        <v>2958</v>
      </c>
      <c r="DU40" t="s">
        <v>84</v>
      </c>
      <c r="DV40" t="s">
        <v>294</v>
      </c>
      <c r="DW40" t="s">
        <v>2959</v>
      </c>
      <c r="DX40" t="s">
        <v>95</v>
      </c>
      <c r="FQ40">
        <v>567443436</v>
      </c>
      <c r="FR40" t="s">
        <v>2960</v>
      </c>
      <c r="FS40" s="1">
        <v>45926.568287037036</v>
      </c>
      <c r="FV40" t="s">
        <v>134</v>
      </c>
      <c r="FW40" t="s">
        <v>135</v>
      </c>
      <c r="FX40" t="s">
        <v>136</v>
      </c>
      <c r="FZ40">
        <v>421</v>
      </c>
    </row>
    <row r="41" spans="1:182" hidden="1" x14ac:dyDescent="0.3">
      <c r="A41" s="1">
        <v>45930.49995391204</v>
      </c>
      <c r="B41" s="1">
        <v>45930.508578217603</v>
      </c>
      <c r="D41" t="s">
        <v>84</v>
      </c>
      <c r="E41" t="s">
        <v>245</v>
      </c>
      <c r="F41" t="s">
        <v>3608</v>
      </c>
      <c r="G41" t="s">
        <v>176</v>
      </c>
      <c r="H41" t="s">
        <v>4121</v>
      </c>
      <c r="I41" t="s">
        <v>3609</v>
      </c>
      <c r="J41" t="s">
        <v>3610</v>
      </c>
      <c r="K41" t="s">
        <v>90</v>
      </c>
      <c r="L41" t="s">
        <v>3611</v>
      </c>
      <c r="M41" t="s">
        <v>3612</v>
      </c>
      <c r="N41" t="s">
        <v>3613</v>
      </c>
      <c r="O41">
        <v>-15.2168417</v>
      </c>
      <c r="P41">
        <v>22.922646700000001</v>
      </c>
      <c r="Q41">
        <v>1012.3</v>
      </c>
      <c r="R41">
        <v>3.1</v>
      </c>
      <c r="S41" t="s">
        <v>84</v>
      </c>
      <c r="T41" t="s">
        <v>182</v>
      </c>
      <c r="U41">
        <v>7</v>
      </c>
      <c r="V41" t="s">
        <v>95</v>
      </c>
      <c r="W41" t="s">
        <v>907</v>
      </c>
      <c r="X41">
        <v>5</v>
      </c>
      <c r="Y41">
        <v>2</v>
      </c>
      <c r="Z41">
        <v>0</v>
      </c>
      <c r="AA41" t="s">
        <v>96</v>
      </c>
      <c r="AB41" t="s">
        <v>97</v>
      </c>
      <c r="AC41" t="s">
        <v>98</v>
      </c>
      <c r="AD41" t="s">
        <v>99</v>
      </c>
      <c r="AE41" t="s">
        <v>101</v>
      </c>
      <c r="AF41" t="s">
        <v>907</v>
      </c>
      <c r="AG41">
        <v>1000</v>
      </c>
      <c r="AH41" t="s">
        <v>3873</v>
      </c>
      <c r="AI41" t="s">
        <v>907</v>
      </c>
      <c r="AJ41" t="s">
        <v>907</v>
      </c>
      <c r="AK41" t="s">
        <v>304</v>
      </c>
      <c r="AL41" t="s">
        <v>907</v>
      </c>
      <c r="AM41" t="s">
        <v>907</v>
      </c>
      <c r="AN41" t="s">
        <v>907</v>
      </c>
      <c r="AQ41" t="s">
        <v>907</v>
      </c>
      <c r="AR41" t="s">
        <v>907</v>
      </c>
      <c r="AS41">
        <v>0</v>
      </c>
      <c r="AT41">
        <v>0</v>
      </c>
      <c r="AU41">
        <v>0</v>
      </c>
      <c r="AV41">
        <v>0</v>
      </c>
      <c r="AW41">
        <v>0</v>
      </c>
      <c r="AX41">
        <v>0</v>
      </c>
      <c r="AY41">
        <v>0</v>
      </c>
      <c r="AZ41" t="s">
        <v>106</v>
      </c>
      <c r="BA41" t="s">
        <v>907</v>
      </c>
      <c r="BB41" t="s">
        <v>232</v>
      </c>
      <c r="BC41" t="s">
        <v>95</v>
      </c>
      <c r="BD41" t="s">
        <v>907</v>
      </c>
      <c r="BE41" t="s">
        <v>907</v>
      </c>
      <c r="BF41" t="s">
        <v>907</v>
      </c>
      <c r="BG41" t="s">
        <v>2033</v>
      </c>
      <c r="BH41">
        <v>10</v>
      </c>
      <c r="BL41">
        <v>7</v>
      </c>
      <c r="BN41">
        <v>0</v>
      </c>
      <c r="BP41">
        <v>0</v>
      </c>
      <c r="BR41">
        <v>0</v>
      </c>
      <c r="BT41">
        <v>0</v>
      </c>
      <c r="BV41">
        <v>0</v>
      </c>
      <c r="BX41">
        <v>3</v>
      </c>
      <c r="BY41" t="s">
        <v>110</v>
      </c>
      <c r="BZ41" t="s">
        <v>907</v>
      </c>
      <c r="CA41" t="s">
        <v>907</v>
      </c>
      <c r="CB41" t="s">
        <v>84</v>
      </c>
      <c r="CC41" t="s">
        <v>84</v>
      </c>
      <c r="CD41" t="s">
        <v>3614</v>
      </c>
      <c r="CE41" t="s">
        <v>1998</v>
      </c>
      <c r="CF41" t="s">
        <v>4102</v>
      </c>
      <c r="CG41" t="s">
        <v>907</v>
      </c>
      <c r="CH41">
        <v>3</v>
      </c>
      <c r="CI41" t="s">
        <v>95</v>
      </c>
      <c r="CJ41" t="s">
        <v>907</v>
      </c>
      <c r="CK41" t="s">
        <v>289</v>
      </c>
      <c r="CL41" t="s">
        <v>3615</v>
      </c>
      <c r="CM41" t="s">
        <v>193</v>
      </c>
      <c r="CN41" t="s">
        <v>421</v>
      </c>
      <c r="CO41" t="s">
        <v>95</v>
      </c>
      <c r="CP41" t="s">
        <v>907</v>
      </c>
      <c r="CQ41" t="s">
        <v>3616</v>
      </c>
      <c r="CR41" t="s">
        <v>84</v>
      </c>
      <c r="CS41" t="s">
        <v>117</v>
      </c>
      <c r="CT41" t="s">
        <v>264</v>
      </c>
      <c r="CU41" t="s">
        <v>3869</v>
      </c>
      <c r="CV41" t="s">
        <v>907</v>
      </c>
      <c r="CW41" t="s">
        <v>907</v>
      </c>
      <c r="CX41" t="s">
        <v>290</v>
      </c>
      <c r="CY41" t="s">
        <v>907</v>
      </c>
      <c r="CZ41" t="s">
        <v>907</v>
      </c>
      <c r="DA41" t="s">
        <v>907</v>
      </c>
      <c r="DB41" t="s">
        <v>907</v>
      </c>
      <c r="DC41" t="s">
        <v>907</v>
      </c>
      <c r="DD41" t="s">
        <v>907</v>
      </c>
      <c r="DE41" t="s">
        <v>907</v>
      </c>
      <c r="DF41" t="s">
        <v>907</v>
      </c>
      <c r="DG41" t="s">
        <v>95</v>
      </c>
      <c r="DH41" t="s">
        <v>95</v>
      </c>
      <c r="DI41" t="s">
        <v>907</v>
      </c>
      <c r="DJ41" t="s">
        <v>907</v>
      </c>
      <c r="DK41" t="s">
        <v>907</v>
      </c>
      <c r="DL41" t="s">
        <v>907</v>
      </c>
      <c r="DM41" t="s">
        <v>291</v>
      </c>
      <c r="DN41" t="s">
        <v>907</v>
      </c>
      <c r="DO41" t="s">
        <v>907</v>
      </c>
      <c r="DP41">
        <v>5</v>
      </c>
      <c r="DQ41" t="s">
        <v>441</v>
      </c>
      <c r="DR41" t="s">
        <v>907</v>
      </c>
      <c r="DS41" t="s">
        <v>368</v>
      </c>
      <c r="DT41" t="s">
        <v>932</v>
      </c>
      <c r="DU41" t="s">
        <v>95</v>
      </c>
      <c r="DV41" t="s">
        <v>907</v>
      </c>
      <c r="DW41" t="s">
        <v>907</v>
      </c>
      <c r="DX41" t="s">
        <v>907</v>
      </c>
      <c r="FQ41">
        <v>569950731</v>
      </c>
      <c r="FR41" t="s">
        <v>3617</v>
      </c>
      <c r="FS41" s="1">
        <v>45930.425497685188</v>
      </c>
      <c r="FV41" t="s">
        <v>134</v>
      </c>
      <c r="FW41" t="s">
        <v>135</v>
      </c>
      <c r="FX41" t="s">
        <v>136</v>
      </c>
      <c r="FZ41">
        <v>565</v>
      </c>
    </row>
    <row r="42" spans="1:182" hidden="1" x14ac:dyDescent="0.3">
      <c r="A42" s="1">
        <v>45926.382426689823</v>
      </c>
      <c r="B42" s="1">
        <v>45926.400342395827</v>
      </c>
      <c r="D42" t="s">
        <v>84</v>
      </c>
      <c r="E42" t="s">
        <v>3878</v>
      </c>
      <c r="F42" t="s">
        <v>2946</v>
      </c>
      <c r="G42" t="s">
        <v>176</v>
      </c>
      <c r="H42" t="s">
        <v>4122</v>
      </c>
      <c r="I42" t="s">
        <v>2947</v>
      </c>
      <c r="J42" t="s">
        <v>2948</v>
      </c>
      <c r="K42" t="s">
        <v>90</v>
      </c>
      <c r="L42" t="s">
        <v>2867</v>
      </c>
      <c r="M42" t="s">
        <v>2949</v>
      </c>
      <c r="N42" t="s">
        <v>2950</v>
      </c>
      <c r="O42">
        <v>-15.214394800000001</v>
      </c>
      <c r="P42">
        <v>22.935125200000002</v>
      </c>
      <c r="Q42">
        <v>1036</v>
      </c>
      <c r="R42">
        <v>4.8159999999999998</v>
      </c>
      <c r="S42" t="s">
        <v>84</v>
      </c>
      <c r="T42" t="s">
        <v>94</v>
      </c>
      <c r="U42">
        <v>7</v>
      </c>
      <c r="V42" t="s">
        <v>95</v>
      </c>
      <c r="W42" t="s">
        <v>907</v>
      </c>
      <c r="X42">
        <v>20</v>
      </c>
      <c r="Y42">
        <v>3</v>
      </c>
      <c r="Z42">
        <v>3</v>
      </c>
      <c r="AA42" t="s">
        <v>96</v>
      </c>
      <c r="AB42" t="s">
        <v>351</v>
      </c>
      <c r="AC42" t="s">
        <v>144</v>
      </c>
      <c r="AD42" t="s">
        <v>252</v>
      </c>
      <c r="AE42" t="s">
        <v>304</v>
      </c>
      <c r="AF42" t="s">
        <v>907</v>
      </c>
      <c r="AG42">
        <v>20000</v>
      </c>
      <c r="AH42" t="s">
        <v>431</v>
      </c>
      <c r="AI42" t="s">
        <v>907</v>
      </c>
      <c r="AJ42" s="5">
        <v>1600</v>
      </c>
      <c r="AK42" t="s">
        <v>102</v>
      </c>
      <c r="AL42" t="s">
        <v>907</v>
      </c>
      <c r="AM42" t="s">
        <v>4130</v>
      </c>
      <c r="AN42" t="s">
        <v>907</v>
      </c>
      <c r="AQ42" t="s">
        <v>466</v>
      </c>
      <c r="AR42" t="s">
        <v>95</v>
      </c>
      <c r="AS42">
        <v>0</v>
      </c>
      <c r="AT42">
        <v>0</v>
      </c>
      <c r="AU42">
        <v>0</v>
      </c>
      <c r="AV42">
        <v>0</v>
      </c>
      <c r="AW42">
        <v>0</v>
      </c>
      <c r="AX42">
        <v>0</v>
      </c>
      <c r="AY42">
        <v>0</v>
      </c>
      <c r="AZ42" t="s">
        <v>1003</v>
      </c>
      <c r="BA42" t="s">
        <v>1313</v>
      </c>
      <c r="BB42" t="s">
        <v>154</v>
      </c>
      <c r="BC42" t="s">
        <v>907</v>
      </c>
      <c r="BD42" t="s">
        <v>107</v>
      </c>
      <c r="BE42" t="s">
        <v>258</v>
      </c>
      <c r="BF42" t="s">
        <v>1136</v>
      </c>
      <c r="BG42" t="s">
        <v>235</v>
      </c>
      <c r="BH42">
        <v>130</v>
      </c>
      <c r="BL42">
        <v>80</v>
      </c>
      <c r="BN42">
        <v>5</v>
      </c>
      <c r="BP42">
        <v>12</v>
      </c>
      <c r="BR42">
        <v>0</v>
      </c>
      <c r="BT42">
        <v>6</v>
      </c>
      <c r="BV42">
        <v>0</v>
      </c>
      <c r="BX42">
        <v>27</v>
      </c>
      <c r="BY42" t="s">
        <v>189</v>
      </c>
      <c r="BZ42">
        <v>4</v>
      </c>
      <c r="CA42">
        <v>35</v>
      </c>
      <c r="CB42" t="s">
        <v>84</v>
      </c>
      <c r="CC42" t="s">
        <v>95</v>
      </c>
      <c r="CD42" t="s">
        <v>1167</v>
      </c>
      <c r="CE42" t="s">
        <v>4252</v>
      </c>
      <c r="CF42" t="s">
        <v>988</v>
      </c>
      <c r="CG42" t="s">
        <v>907</v>
      </c>
      <c r="CH42">
        <v>1</v>
      </c>
      <c r="CI42" t="s">
        <v>95</v>
      </c>
      <c r="CJ42" t="s">
        <v>907</v>
      </c>
      <c r="CK42" t="s">
        <v>1005</v>
      </c>
      <c r="CL42" t="s">
        <v>263</v>
      </c>
      <c r="CM42" t="s">
        <v>162</v>
      </c>
      <c r="CN42" t="s">
        <v>3874</v>
      </c>
      <c r="CO42" t="s">
        <v>95</v>
      </c>
      <c r="CP42" t="s">
        <v>907</v>
      </c>
      <c r="CQ42" t="s">
        <v>116</v>
      </c>
      <c r="CR42" t="s">
        <v>95</v>
      </c>
      <c r="CS42" t="s">
        <v>907</v>
      </c>
      <c r="CT42" t="s">
        <v>907</v>
      </c>
      <c r="CU42" t="s">
        <v>907</v>
      </c>
      <c r="CV42" t="s">
        <v>812</v>
      </c>
      <c r="CW42" t="s">
        <v>907</v>
      </c>
      <c r="CX42" t="s">
        <v>166</v>
      </c>
      <c r="CY42" t="s">
        <v>167</v>
      </c>
      <c r="CZ42" t="s">
        <v>2232</v>
      </c>
      <c r="DA42">
        <v>13</v>
      </c>
      <c r="DB42" s="10">
        <v>72000</v>
      </c>
      <c r="DC42" t="s">
        <v>169</v>
      </c>
      <c r="DD42" t="s">
        <v>907</v>
      </c>
      <c r="DE42">
        <v>2</v>
      </c>
      <c r="DF42">
        <v>25</v>
      </c>
      <c r="DG42" t="s">
        <v>84</v>
      </c>
      <c r="DH42" t="s">
        <v>95</v>
      </c>
      <c r="DI42" t="s">
        <v>907</v>
      </c>
      <c r="DJ42" t="s">
        <v>907</v>
      </c>
      <c r="DK42" t="s">
        <v>907</v>
      </c>
      <c r="DL42" t="s">
        <v>907</v>
      </c>
      <c r="DM42" t="s">
        <v>291</v>
      </c>
      <c r="DN42" t="s">
        <v>907</v>
      </c>
      <c r="DO42" t="s">
        <v>907</v>
      </c>
      <c r="DP42">
        <v>3</v>
      </c>
      <c r="DQ42" t="s">
        <v>441</v>
      </c>
      <c r="DR42" t="s">
        <v>907</v>
      </c>
      <c r="DS42" t="s">
        <v>442</v>
      </c>
      <c r="DT42" t="s">
        <v>369</v>
      </c>
      <c r="DU42" t="s">
        <v>95</v>
      </c>
      <c r="DV42" t="s">
        <v>907</v>
      </c>
      <c r="DW42" t="s">
        <v>907</v>
      </c>
      <c r="DX42" t="s">
        <v>907</v>
      </c>
      <c r="FQ42">
        <v>567443425</v>
      </c>
      <c r="FR42" t="s">
        <v>2951</v>
      </c>
      <c r="FS42" s="1">
        <v>45926.56827546296</v>
      </c>
      <c r="FV42" t="s">
        <v>134</v>
      </c>
      <c r="FW42" t="s">
        <v>135</v>
      </c>
      <c r="FX42" t="s">
        <v>136</v>
      </c>
      <c r="FZ42">
        <v>420</v>
      </c>
    </row>
    <row r="43" spans="1:182" hidden="1" x14ac:dyDescent="0.3">
      <c r="A43" s="1">
        <v>45924.491961527783</v>
      </c>
      <c r="B43" s="1">
        <v>45924.499118564818</v>
      </c>
      <c r="D43" t="s">
        <v>84</v>
      </c>
      <c r="E43" t="s">
        <v>535</v>
      </c>
      <c r="F43" t="s">
        <v>691</v>
      </c>
      <c r="G43" t="s">
        <v>176</v>
      </c>
      <c r="H43" t="s">
        <v>4121</v>
      </c>
      <c r="I43">
        <v>0</v>
      </c>
      <c r="J43" t="s">
        <v>692</v>
      </c>
      <c r="K43" t="s">
        <v>90</v>
      </c>
      <c r="L43" t="s">
        <v>670</v>
      </c>
      <c r="M43" t="s">
        <v>141</v>
      </c>
      <c r="N43" t="s">
        <v>693</v>
      </c>
      <c r="O43">
        <v>-15.345662799999999</v>
      </c>
      <c r="P43">
        <v>23.1288397</v>
      </c>
      <c r="Q43">
        <v>1026.603759765625</v>
      </c>
      <c r="R43">
        <v>4.7859999999999996</v>
      </c>
      <c r="S43" t="s">
        <v>84</v>
      </c>
      <c r="T43" t="s">
        <v>182</v>
      </c>
      <c r="U43">
        <v>5</v>
      </c>
      <c r="V43" t="s">
        <v>95</v>
      </c>
      <c r="W43" t="s">
        <v>907</v>
      </c>
      <c r="X43">
        <v>7</v>
      </c>
      <c r="Y43">
        <v>23</v>
      </c>
      <c r="Z43">
        <v>2</v>
      </c>
      <c r="AA43" t="s">
        <v>96</v>
      </c>
      <c r="AB43" t="s">
        <v>97</v>
      </c>
      <c r="AC43" t="s">
        <v>98</v>
      </c>
      <c r="AD43" t="s">
        <v>280</v>
      </c>
      <c r="AE43" t="s">
        <v>304</v>
      </c>
      <c r="AF43" t="s">
        <v>907</v>
      </c>
      <c r="AG43">
        <v>0</v>
      </c>
      <c r="AH43" t="s">
        <v>147</v>
      </c>
      <c r="AI43" t="s">
        <v>907</v>
      </c>
      <c r="AJ43" s="5">
        <v>0</v>
      </c>
      <c r="AK43" t="s">
        <v>102</v>
      </c>
      <c r="AL43" t="s">
        <v>907</v>
      </c>
      <c r="AM43" t="s">
        <v>149</v>
      </c>
      <c r="AN43" t="s">
        <v>907</v>
      </c>
      <c r="AO43">
        <v>0</v>
      </c>
      <c r="AP43">
        <v>0</v>
      </c>
      <c r="AQ43" t="s">
        <v>253</v>
      </c>
      <c r="AR43" t="s">
        <v>95</v>
      </c>
      <c r="AS43">
        <v>0</v>
      </c>
      <c r="AT43">
        <v>0</v>
      </c>
      <c r="AU43">
        <v>0</v>
      </c>
      <c r="AV43">
        <v>0</v>
      </c>
      <c r="AW43">
        <v>0</v>
      </c>
      <c r="AX43">
        <v>0</v>
      </c>
      <c r="AY43">
        <v>0</v>
      </c>
      <c r="AZ43" t="s">
        <v>106</v>
      </c>
      <c r="BA43" t="s">
        <v>95</v>
      </c>
      <c r="BB43" t="s">
        <v>154</v>
      </c>
      <c r="BC43" t="s">
        <v>907</v>
      </c>
      <c r="BD43" t="s">
        <v>107</v>
      </c>
      <c r="BE43" t="s">
        <v>108</v>
      </c>
      <c r="BF43" t="s">
        <v>597</v>
      </c>
      <c r="BG43" t="s">
        <v>235</v>
      </c>
      <c r="BH43">
        <v>12</v>
      </c>
      <c r="BL43">
        <v>4</v>
      </c>
      <c r="BN43">
        <v>1</v>
      </c>
      <c r="BV43">
        <v>3</v>
      </c>
      <c r="BX43">
        <v>4</v>
      </c>
      <c r="BY43" t="s">
        <v>110</v>
      </c>
      <c r="BZ43" t="s">
        <v>907</v>
      </c>
      <c r="CA43" t="s">
        <v>907</v>
      </c>
      <c r="CB43" t="s">
        <v>84</v>
      </c>
      <c r="CC43" t="s">
        <v>84</v>
      </c>
      <c r="CD43" t="s">
        <v>694</v>
      </c>
      <c r="CE43" t="s">
        <v>4250</v>
      </c>
      <c r="CF43" t="s">
        <v>695</v>
      </c>
      <c r="CG43" t="s">
        <v>907</v>
      </c>
      <c r="CH43">
        <v>1</v>
      </c>
      <c r="CI43" t="s">
        <v>95</v>
      </c>
      <c r="CJ43" t="s">
        <v>907</v>
      </c>
      <c r="CK43" t="s">
        <v>289</v>
      </c>
      <c r="CL43" t="s">
        <v>4262</v>
      </c>
      <c r="CM43" t="s">
        <v>115</v>
      </c>
      <c r="CN43" t="s">
        <v>3883</v>
      </c>
      <c r="CO43" t="s">
        <v>95</v>
      </c>
      <c r="CP43" t="s">
        <v>907</v>
      </c>
      <c r="CQ43" t="s">
        <v>116</v>
      </c>
      <c r="CR43" t="s">
        <v>84</v>
      </c>
      <c r="CS43" t="s">
        <v>117</v>
      </c>
      <c r="CT43" t="s">
        <v>163</v>
      </c>
      <c r="CU43" t="s">
        <v>3869</v>
      </c>
      <c r="CV43" t="s">
        <v>119</v>
      </c>
      <c r="CW43" t="s">
        <v>696</v>
      </c>
      <c r="CX43" t="s">
        <v>119</v>
      </c>
      <c r="CY43" t="s">
        <v>121</v>
      </c>
      <c r="CZ43" t="s">
        <v>559</v>
      </c>
      <c r="DA43">
        <v>0</v>
      </c>
      <c r="DB43" s="10">
        <v>0</v>
      </c>
      <c r="DC43" t="s">
        <v>169</v>
      </c>
      <c r="DD43" t="s">
        <v>907</v>
      </c>
      <c r="DE43">
        <v>5</v>
      </c>
      <c r="DF43">
        <v>16</v>
      </c>
      <c r="DG43" t="s">
        <v>95</v>
      </c>
      <c r="DH43" t="s">
        <v>95</v>
      </c>
      <c r="DI43" t="s">
        <v>907</v>
      </c>
      <c r="DJ43" t="s">
        <v>907</v>
      </c>
      <c r="DK43" t="s">
        <v>907</v>
      </c>
      <c r="DL43" t="s">
        <v>907</v>
      </c>
      <c r="DM43" t="s">
        <v>125</v>
      </c>
      <c r="DN43" t="s">
        <v>170</v>
      </c>
      <c r="DO43" t="s">
        <v>664</v>
      </c>
      <c r="DP43">
        <v>5</v>
      </c>
      <c r="DQ43" t="s">
        <v>128</v>
      </c>
      <c r="DR43" t="s">
        <v>907</v>
      </c>
      <c r="DS43" t="s">
        <v>551</v>
      </c>
      <c r="DT43" t="s">
        <v>697</v>
      </c>
      <c r="DU43" t="s">
        <v>84</v>
      </c>
      <c r="DV43" t="s">
        <v>225</v>
      </c>
      <c r="DW43" t="s">
        <v>698</v>
      </c>
      <c r="DX43" t="s">
        <v>95</v>
      </c>
      <c r="FQ43">
        <v>565909008</v>
      </c>
      <c r="FR43" t="s">
        <v>699</v>
      </c>
      <c r="FS43" s="1">
        <v>45924.644849537042</v>
      </c>
      <c r="FV43" t="s">
        <v>134</v>
      </c>
      <c r="FW43" t="s">
        <v>135</v>
      </c>
      <c r="FX43" t="s">
        <v>136</v>
      </c>
      <c r="FZ43">
        <v>159</v>
      </c>
    </row>
    <row r="44" spans="1:182" hidden="1" x14ac:dyDescent="0.3">
      <c r="A44" s="1">
        <v>45925.493964293979</v>
      </c>
      <c r="B44" s="1">
        <v>45925.847743136583</v>
      </c>
      <c r="D44" t="s">
        <v>84</v>
      </c>
      <c r="E44" t="s">
        <v>85</v>
      </c>
      <c r="F44" t="s">
        <v>2425</v>
      </c>
      <c r="G44" t="s">
        <v>176</v>
      </c>
      <c r="H44" t="s">
        <v>4122</v>
      </c>
      <c r="I44" t="s">
        <v>2426</v>
      </c>
      <c r="J44" t="s">
        <v>2427</v>
      </c>
      <c r="K44" t="s">
        <v>90</v>
      </c>
      <c r="L44" t="s">
        <v>2380</v>
      </c>
      <c r="M44" t="s">
        <v>141</v>
      </c>
      <c r="N44" t="s">
        <v>2428</v>
      </c>
      <c r="O44">
        <v>-15.385918999999999</v>
      </c>
      <c r="P44">
        <v>23.1849025</v>
      </c>
      <c r="Q44">
        <v>1027.726806640625</v>
      </c>
      <c r="R44">
        <v>3.79</v>
      </c>
      <c r="S44" t="s">
        <v>84</v>
      </c>
      <c r="T44" t="s">
        <v>182</v>
      </c>
      <c r="U44">
        <v>7</v>
      </c>
      <c r="V44" t="s">
        <v>95</v>
      </c>
      <c r="W44" t="s">
        <v>907</v>
      </c>
      <c r="X44">
        <v>21</v>
      </c>
      <c r="Y44">
        <v>40</v>
      </c>
      <c r="Z44">
        <v>3</v>
      </c>
      <c r="AA44" t="s">
        <v>96</v>
      </c>
      <c r="AB44" t="s">
        <v>97</v>
      </c>
      <c r="AC44" t="s">
        <v>144</v>
      </c>
      <c r="AD44" t="s">
        <v>99</v>
      </c>
      <c r="AE44" t="s">
        <v>100</v>
      </c>
      <c r="AF44" t="s">
        <v>907</v>
      </c>
      <c r="AG44">
        <v>0</v>
      </c>
      <c r="AH44" t="s">
        <v>147</v>
      </c>
      <c r="AI44" t="s">
        <v>907</v>
      </c>
      <c r="AJ44" s="5">
        <v>0</v>
      </c>
      <c r="AK44" t="s">
        <v>102</v>
      </c>
      <c r="AL44" t="s">
        <v>907</v>
      </c>
      <c r="AM44" t="s">
        <v>543</v>
      </c>
      <c r="AN44" t="s">
        <v>907</v>
      </c>
      <c r="AO44" t="s">
        <v>2429</v>
      </c>
      <c r="AP44" t="s">
        <v>2430</v>
      </c>
      <c r="AQ44" t="s">
        <v>149</v>
      </c>
      <c r="AR44" t="s">
        <v>95</v>
      </c>
      <c r="AS44">
        <v>0</v>
      </c>
      <c r="AT44">
        <v>11</v>
      </c>
      <c r="AU44">
        <v>0</v>
      </c>
      <c r="AV44">
        <v>6</v>
      </c>
      <c r="AW44">
        <v>0</v>
      </c>
      <c r="AX44">
        <v>0</v>
      </c>
      <c r="AY44">
        <v>0</v>
      </c>
      <c r="AZ44" t="s">
        <v>106</v>
      </c>
      <c r="BA44" t="s">
        <v>95</v>
      </c>
      <c r="BB44" t="s">
        <v>154</v>
      </c>
      <c r="BC44" t="s">
        <v>907</v>
      </c>
      <c r="BD44" t="s">
        <v>107</v>
      </c>
      <c r="BE44" t="s">
        <v>363</v>
      </c>
      <c r="BF44" t="s">
        <v>309</v>
      </c>
      <c r="BG44" t="s">
        <v>235</v>
      </c>
      <c r="BH44">
        <v>15</v>
      </c>
      <c r="BY44" t="s">
        <v>110</v>
      </c>
      <c r="BZ44" t="s">
        <v>907</v>
      </c>
      <c r="CA44" t="s">
        <v>907</v>
      </c>
      <c r="CB44" t="s">
        <v>84</v>
      </c>
      <c r="CC44" t="s">
        <v>84</v>
      </c>
      <c r="CD44" t="s">
        <v>545</v>
      </c>
      <c r="CE44" t="s">
        <v>4250</v>
      </c>
      <c r="CF44" t="s">
        <v>3992</v>
      </c>
      <c r="CG44" t="s">
        <v>907</v>
      </c>
      <c r="CH44">
        <v>1</v>
      </c>
      <c r="CI44" t="s">
        <v>84</v>
      </c>
      <c r="CJ44" t="s">
        <v>586</v>
      </c>
      <c r="CK44" t="s">
        <v>113</v>
      </c>
      <c r="CL44" t="s">
        <v>4262</v>
      </c>
      <c r="CM44" t="s">
        <v>115</v>
      </c>
      <c r="CN44" t="s">
        <v>3993</v>
      </c>
      <c r="CO44" t="s">
        <v>95</v>
      </c>
      <c r="CP44" t="s">
        <v>907</v>
      </c>
      <c r="CQ44" t="s">
        <v>116</v>
      </c>
      <c r="CR44" t="s">
        <v>84</v>
      </c>
      <c r="CS44" t="s">
        <v>117</v>
      </c>
      <c r="CT44" t="s">
        <v>163</v>
      </c>
      <c r="CU44" t="s">
        <v>3869</v>
      </c>
      <c r="CV44" t="s">
        <v>119</v>
      </c>
      <c r="CW44" t="s">
        <v>265</v>
      </c>
      <c r="CX44" t="s">
        <v>166</v>
      </c>
      <c r="CY44" t="s">
        <v>663</v>
      </c>
      <c r="CZ44" t="s">
        <v>559</v>
      </c>
      <c r="DA44">
        <v>0</v>
      </c>
      <c r="DB44" s="10">
        <v>0</v>
      </c>
      <c r="DC44" t="s">
        <v>169</v>
      </c>
      <c r="DD44" t="s">
        <v>907</v>
      </c>
      <c r="DE44">
        <v>5</v>
      </c>
      <c r="DF44">
        <v>16</v>
      </c>
      <c r="DG44" t="s">
        <v>95</v>
      </c>
      <c r="DH44" t="s">
        <v>95</v>
      </c>
      <c r="DI44" t="s">
        <v>907</v>
      </c>
      <c r="DJ44" t="s">
        <v>907</v>
      </c>
      <c r="DK44" t="s">
        <v>907</v>
      </c>
      <c r="DL44" t="s">
        <v>907</v>
      </c>
      <c r="DM44" t="s">
        <v>125</v>
      </c>
      <c r="DN44" t="s">
        <v>170</v>
      </c>
      <c r="DO44" t="s">
        <v>560</v>
      </c>
      <c r="DP44">
        <v>7</v>
      </c>
      <c r="DQ44" t="s">
        <v>128</v>
      </c>
      <c r="DR44" t="s">
        <v>907</v>
      </c>
      <c r="DS44" t="s">
        <v>716</v>
      </c>
      <c r="DT44" t="s">
        <v>2431</v>
      </c>
      <c r="DU44" t="s">
        <v>84</v>
      </c>
      <c r="DV44" t="s">
        <v>225</v>
      </c>
      <c r="DW44" t="s">
        <v>533</v>
      </c>
      <c r="DX44" t="s">
        <v>95</v>
      </c>
      <c r="FQ44">
        <v>566893293</v>
      </c>
      <c r="FR44" t="s">
        <v>2432</v>
      </c>
      <c r="FS44" s="1">
        <v>45925.765127314808</v>
      </c>
      <c r="FV44" t="s">
        <v>134</v>
      </c>
      <c r="FW44" t="s">
        <v>135</v>
      </c>
      <c r="FX44" t="s">
        <v>136</v>
      </c>
      <c r="FZ44">
        <v>336</v>
      </c>
    </row>
    <row r="45" spans="1:182" hidden="1" x14ac:dyDescent="0.3">
      <c r="A45" s="1">
        <v>45924.693995821763</v>
      </c>
      <c r="B45" s="1">
        <v>45924.701328587973</v>
      </c>
      <c r="D45" t="s">
        <v>84</v>
      </c>
      <c r="E45" t="s">
        <v>901</v>
      </c>
      <c r="F45" t="s">
        <v>990</v>
      </c>
      <c r="G45" t="s">
        <v>176</v>
      </c>
      <c r="H45" t="s">
        <v>4122</v>
      </c>
      <c r="I45" t="s">
        <v>991</v>
      </c>
      <c r="J45" t="s">
        <v>992</v>
      </c>
      <c r="K45" t="s">
        <v>90</v>
      </c>
      <c r="L45" t="s">
        <v>951</v>
      </c>
      <c r="M45" t="s">
        <v>722</v>
      </c>
      <c r="N45" t="s">
        <v>993</v>
      </c>
      <c r="O45">
        <v>-15.295560999999999</v>
      </c>
      <c r="P45">
        <v>23.002654199999998</v>
      </c>
      <c r="Q45">
        <v>1026.764770507812</v>
      </c>
      <c r="R45">
        <v>4.0380000000000003</v>
      </c>
      <c r="S45" t="s">
        <v>84</v>
      </c>
      <c r="T45" t="s">
        <v>182</v>
      </c>
      <c r="U45">
        <v>8</v>
      </c>
      <c r="V45" t="s">
        <v>95</v>
      </c>
      <c r="W45" t="s">
        <v>907</v>
      </c>
      <c r="X45">
        <v>5</v>
      </c>
      <c r="Y45">
        <v>1</v>
      </c>
      <c r="Z45">
        <v>1</v>
      </c>
      <c r="AA45" t="s">
        <v>96</v>
      </c>
      <c r="AB45" t="s">
        <v>489</v>
      </c>
      <c r="AC45" t="s">
        <v>98</v>
      </c>
      <c r="AD45" t="s">
        <v>252</v>
      </c>
      <c r="AE45" t="s">
        <v>101</v>
      </c>
      <c r="AF45" t="s">
        <v>907</v>
      </c>
      <c r="AG45">
        <v>300</v>
      </c>
      <c r="AH45" t="s">
        <v>101</v>
      </c>
      <c r="AI45" t="s">
        <v>907</v>
      </c>
      <c r="AJ45" s="5">
        <v>300</v>
      </c>
      <c r="AK45" t="s">
        <v>304</v>
      </c>
      <c r="AL45" t="s">
        <v>907</v>
      </c>
      <c r="AM45" t="s">
        <v>907</v>
      </c>
      <c r="AN45" t="s">
        <v>907</v>
      </c>
      <c r="AQ45" t="s">
        <v>907</v>
      </c>
      <c r="AR45" t="s">
        <v>907</v>
      </c>
      <c r="AS45">
        <v>0</v>
      </c>
      <c r="AT45">
        <v>0</v>
      </c>
      <c r="AU45">
        <v>0</v>
      </c>
      <c r="AV45">
        <v>0</v>
      </c>
      <c r="AW45">
        <v>0</v>
      </c>
      <c r="AX45">
        <v>0</v>
      </c>
      <c r="AY45">
        <v>0</v>
      </c>
      <c r="AZ45" t="s">
        <v>106</v>
      </c>
      <c r="BA45" t="s">
        <v>907</v>
      </c>
      <c r="BB45" t="s">
        <v>154</v>
      </c>
      <c r="BC45" t="s">
        <v>907</v>
      </c>
      <c r="BD45" t="s">
        <v>907</v>
      </c>
      <c r="BE45" t="s">
        <v>907</v>
      </c>
      <c r="BF45" t="s">
        <v>907</v>
      </c>
      <c r="BG45" t="s">
        <v>156</v>
      </c>
      <c r="BH45">
        <v>25</v>
      </c>
      <c r="BL45">
        <v>13</v>
      </c>
      <c r="BN45">
        <v>0</v>
      </c>
      <c r="BP45">
        <v>0</v>
      </c>
      <c r="BR45">
        <v>3</v>
      </c>
      <c r="BT45">
        <v>4</v>
      </c>
      <c r="BV45">
        <v>0</v>
      </c>
      <c r="BX45">
        <v>5</v>
      </c>
      <c r="BY45" t="s">
        <v>110</v>
      </c>
      <c r="BZ45" t="s">
        <v>907</v>
      </c>
      <c r="CA45" t="s">
        <v>907</v>
      </c>
      <c r="CB45" t="s">
        <v>84</v>
      </c>
      <c r="CC45" t="s">
        <v>84</v>
      </c>
      <c r="CD45" t="s">
        <v>994</v>
      </c>
      <c r="CE45" t="s">
        <v>4250</v>
      </c>
      <c r="CF45" t="s">
        <v>995</v>
      </c>
      <c r="CG45" t="s">
        <v>907</v>
      </c>
      <c r="CH45">
        <v>1</v>
      </c>
      <c r="CI45" t="s">
        <v>95</v>
      </c>
      <c r="CJ45" t="s">
        <v>907</v>
      </c>
      <c r="CK45" t="s">
        <v>289</v>
      </c>
      <c r="CL45" t="s">
        <v>263</v>
      </c>
      <c r="CM45" t="s">
        <v>193</v>
      </c>
      <c r="CN45" t="s">
        <v>194</v>
      </c>
      <c r="CO45" t="s">
        <v>95</v>
      </c>
      <c r="CP45" t="s">
        <v>907</v>
      </c>
      <c r="CQ45" t="s">
        <v>116</v>
      </c>
      <c r="CR45" t="s">
        <v>84</v>
      </c>
      <c r="CS45" t="s">
        <v>117</v>
      </c>
      <c r="CT45" t="s">
        <v>163</v>
      </c>
      <c r="CU45" t="s">
        <v>3869</v>
      </c>
      <c r="CV45" t="s">
        <v>907</v>
      </c>
      <c r="CW45" t="s">
        <v>907</v>
      </c>
      <c r="CX45" t="s">
        <v>290</v>
      </c>
      <c r="CY45" t="s">
        <v>907</v>
      </c>
      <c r="CZ45" t="s">
        <v>907</v>
      </c>
      <c r="DA45" t="s">
        <v>907</v>
      </c>
      <c r="DB45" t="s">
        <v>907</v>
      </c>
      <c r="DC45" t="s">
        <v>907</v>
      </c>
      <c r="DD45" t="s">
        <v>907</v>
      </c>
      <c r="DE45" t="s">
        <v>907</v>
      </c>
      <c r="DF45" t="s">
        <v>907</v>
      </c>
      <c r="DG45" t="s">
        <v>95</v>
      </c>
      <c r="DH45" t="s">
        <v>95</v>
      </c>
      <c r="DI45" t="s">
        <v>907</v>
      </c>
      <c r="DJ45" t="s">
        <v>907</v>
      </c>
      <c r="DK45" t="s">
        <v>907</v>
      </c>
      <c r="DL45" t="s">
        <v>907</v>
      </c>
      <c r="DM45" t="s">
        <v>291</v>
      </c>
      <c r="DN45" t="s">
        <v>907</v>
      </c>
      <c r="DO45" t="s">
        <v>907</v>
      </c>
      <c r="DP45">
        <v>1</v>
      </c>
      <c r="DQ45" t="s">
        <v>441</v>
      </c>
      <c r="DR45" t="s">
        <v>907</v>
      </c>
      <c r="DS45" t="s">
        <v>996</v>
      </c>
      <c r="DT45" t="s">
        <v>863</v>
      </c>
      <c r="DU45" t="s">
        <v>84</v>
      </c>
      <c r="DV45" t="s">
        <v>884</v>
      </c>
      <c r="DW45" t="s">
        <v>295</v>
      </c>
      <c r="DX45" t="s">
        <v>95</v>
      </c>
      <c r="FQ45">
        <v>565934961</v>
      </c>
      <c r="FR45" t="s">
        <v>997</v>
      </c>
      <c r="FS45" s="1">
        <v>45924.665949074071</v>
      </c>
      <c r="FV45" t="s">
        <v>134</v>
      </c>
      <c r="FW45" t="s">
        <v>135</v>
      </c>
      <c r="FX45" t="s">
        <v>136</v>
      </c>
      <c r="FZ45">
        <v>185</v>
      </c>
    </row>
    <row r="46" spans="1:182" hidden="1" x14ac:dyDescent="0.3">
      <c r="A46" s="1">
        <v>45925.508982129628</v>
      </c>
      <c r="B46" s="1">
        <v>45925.525704004627</v>
      </c>
      <c r="D46" t="s">
        <v>84</v>
      </c>
      <c r="E46" t="s">
        <v>901</v>
      </c>
      <c r="F46" t="s">
        <v>1647</v>
      </c>
      <c r="G46" t="s">
        <v>176</v>
      </c>
      <c r="H46" t="s">
        <v>4122</v>
      </c>
      <c r="I46" t="s">
        <v>1648</v>
      </c>
      <c r="J46" t="s">
        <v>1649</v>
      </c>
      <c r="K46" t="s">
        <v>90</v>
      </c>
      <c r="L46" t="s">
        <v>3953</v>
      </c>
      <c r="M46" t="s">
        <v>277</v>
      </c>
      <c r="N46" t="s">
        <v>1650</v>
      </c>
      <c r="O46">
        <v>-15.3580849</v>
      </c>
      <c r="P46">
        <v>23.154984899999999</v>
      </c>
      <c r="Q46">
        <v>1028.195434570312</v>
      </c>
      <c r="R46">
        <v>5.2779999999999996</v>
      </c>
      <c r="S46" t="s">
        <v>84</v>
      </c>
      <c r="T46" t="s">
        <v>182</v>
      </c>
      <c r="U46">
        <v>15</v>
      </c>
      <c r="V46" t="s">
        <v>95</v>
      </c>
      <c r="W46" t="s">
        <v>907</v>
      </c>
      <c r="X46">
        <v>24</v>
      </c>
      <c r="Y46">
        <v>8</v>
      </c>
      <c r="Z46">
        <v>5</v>
      </c>
      <c r="AA46" t="s">
        <v>96</v>
      </c>
      <c r="AB46" t="s">
        <v>489</v>
      </c>
      <c r="AC46" t="s">
        <v>98</v>
      </c>
      <c r="AD46" t="s">
        <v>520</v>
      </c>
      <c r="AE46" t="s">
        <v>100</v>
      </c>
      <c r="AF46" t="s">
        <v>907</v>
      </c>
      <c r="AG46">
        <v>12000</v>
      </c>
      <c r="AH46" t="s">
        <v>1651</v>
      </c>
      <c r="AI46" t="s">
        <v>907</v>
      </c>
      <c r="AJ46" s="5">
        <v>200</v>
      </c>
      <c r="AK46" t="s">
        <v>102</v>
      </c>
      <c r="AL46" t="s">
        <v>907</v>
      </c>
      <c r="AM46" t="s">
        <v>253</v>
      </c>
      <c r="AN46" t="s">
        <v>907</v>
      </c>
      <c r="AO46" t="s">
        <v>267</v>
      </c>
      <c r="AP46" t="s">
        <v>1652</v>
      </c>
      <c r="AQ46" t="s">
        <v>1653</v>
      </c>
      <c r="AR46" t="s">
        <v>95</v>
      </c>
      <c r="AS46">
        <v>0</v>
      </c>
      <c r="AT46">
        <v>12</v>
      </c>
      <c r="AU46">
        <v>0</v>
      </c>
      <c r="AV46">
        <v>0</v>
      </c>
      <c r="AW46">
        <v>12</v>
      </c>
      <c r="AX46">
        <v>0</v>
      </c>
      <c r="AY46">
        <v>0</v>
      </c>
      <c r="AZ46" t="s">
        <v>629</v>
      </c>
      <c r="BA46" t="s">
        <v>95</v>
      </c>
      <c r="BB46" t="s">
        <v>308</v>
      </c>
      <c r="BC46" t="s">
        <v>907</v>
      </c>
      <c r="BD46" t="s">
        <v>107</v>
      </c>
      <c r="BE46" t="s">
        <v>258</v>
      </c>
      <c r="BF46" t="s">
        <v>644</v>
      </c>
      <c r="BG46" t="s">
        <v>526</v>
      </c>
      <c r="BH46">
        <v>27</v>
      </c>
      <c r="BL46">
        <v>10</v>
      </c>
      <c r="BN46">
        <v>1</v>
      </c>
      <c r="BP46">
        <v>0</v>
      </c>
      <c r="BR46">
        <v>0</v>
      </c>
      <c r="BT46">
        <v>6</v>
      </c>
      <c r="BV46">
        <v>6</v>
      </c>
      <c r="BX46">
        <v>4</v>
      </c>
      <c r="BY46" t="s">
        <v>110</v>
      </c>
      <c r="BZ46" t="s">
        <v>907</v>
      </c>
      <c r="CA46" t="s">
        <v>907</v>
      </c>
      <c r="CB46" t="s">
        <v>84</v>
      </c>
      <c r="CC46" t="s">
        <v>84</v>
      </c>
      <c r="CD46" t="s">
        <v>861</v>
      </c>
      <c r="CE46" t="s">
        <v>1998</v>
      </c>
      <c r="CF46" t="s">
        <v>1654</v>
      </c>
      <c r="CG46" t="s">
        <v>907</v>
      </c>
      <c r="CH46">
        <v>1</v>
      </c>
      <c r="CI46" t="s">
        <v>84</v>
      </c>
      <c r="CJ46" t="s">
        <v>160</v>
      </c>
      <c r="CK46" t="s">
        <v>113</v>
      </c>
      <c r="CL46" t="s">
        <v>1655</v>
      </c>
      <c r="CM46" t="s">
        <v>115</v>
      </c>
      <c r="CN46" t="s">
        <v>421</v>
      </c>
      <c r="CO46" t="s">
        <v>95</v>
      </c>
      <c r="CP46" t="s">
        <v>907</v>
      </c>
      <c r="CQ46" t="s">
        <v>116</v>
      </c>
      <c r="CR46" t="s">
        <v>84</v>
      </c>
      <c r="CS46" t="s">
        <v>117</v>
      </c>
      <c r="CT46" t="s">
        <v>264</v>
      </c>
      <c r="CU46" t="s">
        <v>438</v>
      </c>
      <c r="CV46" t="s">
        <v>119</v>
      </c>
      <c r="CW46" t="s">
        <v>1656</v>
      </c>
      <c r="CX46" t="s">
        <v>166</v>
      </c>
      <c r="CY46" t="s">
        <v>167</v>
      </c>
      <c r="CZ46" t="s">
        <v>1657</v>
      </c>
      <c r="DA46">
        <v>0</v>
      </c>
      <c r="DB46" s="10">
        <v>0</v>
      </c>
      <c r="DC46" t="s">
        <v>169</v>
      </c>
      <c r="DD46" t="s">
        <v>907</v>
      </c>
      <c r="DE46">
        <v>2</v>
      </c>
      <c r="DF46">
        <v>12</v>
      </c>
      <c r="DG46" t="s">
        <v>95</v>
      </c>
      <c r="DH46" t="s">
        <v>95</v>
      </c>
      <c r="DI46" t="s">
        <v>907</v>
      </c>
      <c r="DJ46" t="s">
        <v>907</v>
      </c>
      <c r="DK46" t="s">
        <v>907</v>
      </c>
      <c r="DL46" t="s">
        <v>907</v>
      </c>
      <c r="DM46" t="s">
        <v>291</v>
      </c>
      <c r="DN46" t="s">
        <v>907</v>
      </c>
      <c r="DO46" t="s">
        <v>907</v>
      </c>
      <c r="DP46">
        <v>3</v>
      </c>
      <c r="DQ46" t="s">
        <v>128</v>
      </c>
      <c r="DR46" t="s">
        <v>907</v>
      </c>
      <c r="DS46" t="s">
        <v>917</v>
      </c>
      <c r="DT46" t="s">
        <v>946</v>
      </c>
      <c r="DU46" t="s">
        <v>84</v>
      </c>
      <c r="DV46" t="s">
        <v>131</v>
      </c>
      <c r="DW46" t="s">
        <v>1612</v>
      </c>
      <c r="DX46" t="s">
        <v>95</v>
      </c>
      <c r="FQ46">
        <v>566738943</v>
      </c>
      <c r="FR46" t="s">
        <v>1658</v>
      </c>
      <c r="FS46" s="1">
        <v>45925.625763888893</v>
      </c>
      <c r="FV46" t="s">
        <v>134</v>
      </c>
      <c r="FW46" t="s">
        <v>135</v>
      </c>
      <c r="FX46" t="s">
        <v>136</v>
      </c>
      <c r="FZ46">
        <v>261</v>
      </c>
    </row>
    <row r="47" spans="1:182" hidden="1" x14ac:dyDescent="0.3">
      <c r="A47" s="1">
        <v>45924.607305902777</v>
      </c>
      <c r="B47" s="1">
        <v>45924.622502372687</v>
      </c>
      <c r="D47" t="s">
        <v>84</v>
      </c>
      <c r="E47" t="s">
        <v>901</v>
      </c>
      <c r="F47" t="s">
        <v>961</v>
      </c>
      <c r="G47" t="s">
        <v>176</v>
      </c>
      <c r="H47" t="s">
        <v>4122</v>
      </c>
      <c r="I47" t="s">
        <v>962</v>
      </c>
      <c r="J47" t="s">
        <v>963</v>
      </c>
      <c r="K47" t="s">
        <v>90</v>
      </c>
      <c r="L47" t="s">
        <v>964</v>
      </c>
      <c r="M47" t="s">
        <v>722</v>
      </c>
      <c r="N47" t="s">
        <v>965</v>
      </c>
      <c r="O47">
        <v>-15.303864799999999</v>
      </c>
      <c r="P47">
        <v>23.015446499999999</v>
      </c>
      <c r="Q47">
        <v>1025.7509765625</v>
      </c>
      <c r="R47">
        <v>4.742</v>
      </c>
      <c r="S47" t="s">
        <v>84</v>
      </c>
      <c r="T47" t="s">
        <v>182</v>
      </c>
      <c r="U47">
        <v>7</v>
      </c>
      <c r="V47" t="s">
        <v>95</v>
      </c>
      <c r="W47" t="s">
        <v>907</v>
      </c>
      <c r="X47">
        <v>3</v>
      </c>
      <c r="Y47">
        <v>0.5</v>
      </c>
      <c r="Z47">
        <v>0.5</v>
      </c>
      <c r="AA47" t="s">
        <v>504</v>
      </c>
      <c r="AB47" t="s">
        <v>489</v>
      </c>
      <c r="AC47" t="s">
        <v>98</v>
      </c>
      <c r="AD47" t="s">
        <v>520</v>
      </c>
      <c r="AE47" t="s">
        <v>101</v>
      </c>
      <c r="AF47" t="s">
        <v>907</v>
      </c>
      <c r="AG47">
        <v>300</v>
      </c>
      <c r="AH47" t="s">
        <v>966</v>
      </c>
      <c r="AI47" t="s">
        <v>907</v>
      </c>
      <c r="AJ47" s="5">
        <v>400</v>
      </c>
      <c r="AK47" t="s">
        <v>102</v>
      </c>
      <c r="AL47" t="s">
        <v>907</v>
      </c>
      <c r="AM47" t="s">
        <v>466</v>
      </c>
      <c r="AN47" t="s">
        <v>907</v>
      </c>
      <c r="AO47" t="s">
        <v>267</v>
      </c>
      <c r="AP47" t="s">
        <v>967</v>
      </c>
      <c r="AQ47" t="s">
        <v>912</v>
      </c>
      <c r="AR47" t="s">
        <v>95</v>
      </c>
      <c r="AS47">
        <v>0</v>
      </c>
      <c r="AT47">
        <v>0</v>
      </c>
      <c r="AU47">
        <v>0</v>
      </c>
      <c r="AV47">
        <v>10</v>
      </c>
      <c r="AW47">
        <v>0</v>
      </c>
      <c r="AX47">
        <v>0</v>
      </c>
      <c r="AY47">
        <v>0</v>
      </c>
      <c r="AZ47" t="s">
        <v>629</v>
      </c>
      <c r="BA47" t="s">
        <v>95</v>
      </c>
      <c r="BB47" t="s">
        <v>154</v>
      </c>
      <c r="BC47" t="s">
        <v>907</v>
      </c>
      <c r="BD47" t="s">
        <v>107</v>
      </c>
      <c r="BE47" t="s">
        <v>470</v>
      </c>
      <c r="BF47" t="s">
        <v>968</v>
      </c>
      <c r="BG47" t="s">
        <v>235</v>
      </c>
      <c r="BH47">
        <v>72</v>
      </c>
      <c r="BL47">
        <v>32</v>
      </c>
      <c r="BN47">
        <v>1</v>
      </c>
      <c r="BP47">
        <v>10</v>
      </c>
      <c r="BR47">
        <v>9</v>
      </c>
      <c r="BT47">
        <v>1</v>
      </c>
      <c r="BV47">
        <v>4</v>
      </c>
      <c r="BX47">
        <v>15</v>
      </c>
      <c r="BY47" t="s">
        <v>189</v>
      </c>
      <c r="BZ47">
        <v>3</v>
      </c>
      <c r="CA47">
        <v>3</v>
      </c>
      <c r="CB47" t="s">
        <v>84</v>
      </c>
      <c r="CC47" t="s">
        <v>84</v>
      </c>
      <c r="CD47" t="s">
        <v>969</v>
      </c>
      <c r="CE47" t="s">
        <v>4251</v>
      </c>
      <c r="CF47" t="s">
        <v>3906</v>
      </c>
      <c r="CG47" t="s">
        <v>907</v>
      </c>
      <c r="CH47">
        <v>1</v>
      </c>
      <c r="CI47" t="s">
        <v>84</v>
      </c>
      <c r="CJ47" t="s">
        <v>586</v>
      </c>
      <c r="CK47" t="s">
        <v>289</v>
      </c>
      <c r="CL47" t="s">
        <v>4262</v>
      </c>
      <c r="CM47" t="s">
        <v>193</v>
      </c>
      <c r="CN47" t="s">
        <v>421</v>
      </c>
      <c r="CO47" t="s">
        <v>95</v>
      </c>
      <c r="CP47" t="s">
        <v>907</v>
      </c>
      <c r="CQ47" t="s">
        <v>116</v>
      </c>
      <c r="CR47" t="s">
        <v>84</v>
      </c>
      <c r="CS47" t="s">
        <v>117</v>
      </c>
      <c r="CT47" t="s">
        <v>264</v>
      </c>
      <c r="CU47" t="s">
        <v>793</v>
      </c>
      <c r="CV47" t="s">
        <v>812</v>
      </c>
      <c r="CW47" t="s">
        <v>907</v>
      </c>
      <c r="CX47" t="s">
        <v>166</v>
      </c>
      <c r="CY47" t="s">
        <v>167</v>
      </c>
      <c r="CZ47" t="s">
        <v>970</v>
      </c>
      <c r="DA47">
        <v>7</v>
      </c>
      <c r="DB47" s="10">
        <v>60000</v>
      </c>
      <c r="DC47" t="s">
        <v>169</v>
      </c>
      <c r="DD47" t="s">
        <v>907</v>
      </c>
      <c r="DE47">
        <v>1</v>
      </c>
      <c r="DF47">
        <v>13</v>
      </c>
      <c r="DG47" t="s">
        <v>95</v>
      </c>
      <c r="DH47" t="s">
        <v>95</v>
      </c>
      <c r="DI47" t="s">
        <v>907</v>
      </c>
      <c r="DJ47" t="s">
        <v>907</v>
      </c>
      <c r="DK47" t="s">
        <v>907</v>
      </c>
      <c r="DL47" t="s">
        <v>907</v>
      </c>
      <c r="DM47" t="s">
        <v>291</v>
      </c>
      <c r="DN47" t="s">
        <v>907</v>
      </c>
      <c r="DO47" t="s">
        <v>907</v>
      </c>
      <c r="DP47">
        <v>1</v>
      </c>
      <c r="DQ47" t="s">
        <v>441</v>
      </c>
      <c r="DR47" t="s">
        <v>907</v>
      </c>
      <c r="DS47" t="s">
        <v>442</v>
      </c>
      <c r="DT47" t="s">
        <v>863</v>
      </c>
      <c r="DU47" t="s">
        <v>84</v>
      </c>
      <c r="DV47" t="s">
        <v>864</v>
      </c>
      <c r="DW47" t="s">
        <v>533</v>
      </c>
      <c r="DX47" t="s">
        <v>84</v>
      </c>
      <c r="FQ47">
        <v>565934918</v>
      </c>
      <c r="FR47" t="s">
        <v>971</v>
      </c>
      <c r="FS47" s="1">
        <v>45924.665914351863</v>
      </c>
      <c r="FV47" t="s">
        <v>134</v>
      </c>
      <c r="FW47" t="s">
        <v>135</v>
      </c>
      <c r="FX47" t="s">
        <v>136</v>
      </c>
      <c r="FZ47">
        <v>182</v>
      </c>
    </row>
    <row r="48" spans="1:182" x14ac:dyDescent="0.3">
      <c r="A48" s="1">
        <v>45925.555164467587</v>
      </c>
      <c r="B48" s="1">
        <v>45925.582073877318</v>
      </c>
      <c r="D48" t="s">
        <v>84</v>
      </c>
      <c r="E48" t="s">
        <v>497</v>
      </c>
      <c r="F48" t="s">
        <v>2040</v>
      </c>
      <c r="G48" t="s">
        <v>176</v>
      </c>
      <c r="H48" t="s">
        <v>4121</v>
      </c>
      <c r="I48" t="s">
        <v>2041</v>
      </c>
      <c r="J48" t="s">
        <v>2042</v>
      </c>
      <c r="K48" t="s">
        <v>90</v>
      </c>
      <c r="L48" t="s">
        <v>2043</v>
      </c>
      <c r="M48" t="s">
        <v>2044</v>
      </c>
      <c r="N48" t="s">
        <v>2045</v>
      </c>
      <c r="O48">
        <v>-15.164658899999999</v>
      </c>
      <c r="P48">
        <v>22.997759299999998</v>
      </c>
      <c r="Q48">
        <v>1030.572509765625</v>
      </c>
      <c r="R48">
        <v>4.9039999999999999</v>
      </c>
      <c r="S48" t="s">
        <v>95</v>
      </c>
      <c r="T48" t="s">
        <v>907</v>
      </c>
      <c r="U48" t="s">
        <v>907</v>
      </c>
      <c r="V48" t="s">
        <v>95</v>
      </c>
      <c r="W48" t="s">
        <v>907</v>
      </c>
      <c r="X48">
        <v>6</v>
      </c>
      <c r="Y48">
        <v>1.5</v>
      </c>
      <c r="Z48">
        <v>1.5</v>
      </c>
      <c r="AA48" t="s">
        <v>96</v>
      </c>
      <c r="AB48" t="s">
        <v>351</v>
      </c>
      <c r="AC48" t="s">
        <v>98</v>
      </c>
      <c r="AD48" t="s">
        <v>280</v>
      </c>
      <c r="AE48" t="s">
        <v>3972</v>
      </c>
      <c r="AF48" t="s">
        <v>907</v>
      </c>
      <c r="AG48">
        <v>42</v>
      </c>
      <c r="AH48" t="s">
        <v>147</v>
      </c>
      <c r="AI48" t="s">
        <v>907</v>
      </c>
      <c r="AJ48" s="5">
        <v>800</v>
      </c>
      <c r="AK48" t="s">
        <v>148</v>
      </c>
      <c r="AL48" t="s">
        <v>907</v>
      </c>
      <c r="AM48" t="s">
        <v>253</v>
      </c>
      <c r="AN48" t="s">
        <v>907</v>
      </c>
      <c r="AO48" t="s">
        <v>2046</v>
      </c>
      <c r="AP48" t="s">
        <v>2047</v>
      </c>
      <c r="AQ48" t="s">
        <v>2048</v>
      </c>
      <c r="AR48" t="s">
        <v>95</v>
      </c>
      <c r="AS48">
        <v>0</v>
      </c>
      <c r="AT48">
        <v>7</v>
      </c>
      <c r="AU48">
        <v>0</v>
      </c>
      <c r="AV48">
        <v>0</v>
      </c>
      <c r="AW48">
        <v>10</v>
      </c>
      <c r="AX48">
        <v>0</v>
      </c>
      <c r="AY48">
        <v>0</v>
      </c>
      <c r="AZ48" t="s">
        <v>929</v>
      </c>
      <c r="BA48" t="s">
        <v>95</v>
      </c>
      <c r="BB48" t="s">
        <v>154</v>
      </c>
      <c r="BC48" t="s">
        <v>907</v>
      </c>
      <c r="BD48" t="s">
        <v>107</v>
      </c>
      <c r="BE48" t="s">
        <v>258</v>
      </c>
      <c r="BF48" t="s">
        <v>2011</v>
      </c>
      <c r="BG48" t="s">
        <v>790</v>
      </c>
      <c r="BH48">
        <v>61</v>
      </c>
      <c r="BL48">
        <v>31</v>
      </c>
      <c r="BN48">
        <v>2</v>
      </c>
      <c r="BP48">
        <v>11</v>
      </c>
      <c r="BT48">
        <v>6</v>
      </c>
      <c r="BX48">
        <v>12</v>
      </c>
      <c r="BY48" t="s">
        <v>189</v>
      </c>
      <c r="BZ48">
        <v>2</v>
      </c>
      <c r="CA48">
        <v>9</v>
      </c>
      <c r="CB48" t="s">
        <v>84</v>
      </c>
      <c r="CC48" t="s">
        <v>84</v>
      </c>
      <c r="CD48" t="s">
        <v>2034</v>
      </c>
      <c r="CE48" t="s">
        <v>4249</v>
      </c>
      <c r="CF48" t="s">
        <v>3973</v>
      </c>
      <c r="CG48" t="s">
        <v>907</v>
      </c>
      <c r="CH48">
        <v>1</v>
      </c>
      <c r="CI48" t="s">
        <v>84</v>
      </c>
      <c r="CJ48" t="s">
        <v>336</v>
      </c>
      <c r="CK48" t="s">
        <v>289</v>
      </c>
      <c r="CL48" t="s">
        <v>2049</v>
      </c>
      <c r="CM48" t="s">
        <v>193</v>
      </c>
      <c r="CN48" t="s">
        <v>421</v>
      </c>
      <c r="CO48" t="s">
        <v>95</v>
      </c>
      <c r="CP48" t="s">
        <v>907</v>
      </c>
      <c r="CQ48" t="s">
        <v>116</v>
      </c>
      <c r="CR48" t="s">
        <v>84</v>
      </c>
      <c r="CS48" t="s">
        <v>117</v>
      </c>
      <c r="CT48" t="s">
        <v>907</v>
      </c>
      <c r="CU48" t="s">
        <v>793</v>
      </c>
      <c r="CV48" t="s">
        <v>119</v>
      </c>
      <c r="CW48" t="s">
        <v>696</v>
      </c>
      <c r="CX48" t="s">
        <v>166</v>
      </c>
      <c r="CY48" t="s">
        <v>167</v>
      </c>
      <c r="CZ48" t="s">
        <v>2050</v>
      </c>
      <c r="DA48">
        <v>1</v>
      </c>
      <c r="DB48" s="10">
        <v>4000</v>
      </c>
      <c r="DC48" t="s">
        <v>169</v>
      </c>
      <c r="DD48" t="s">
        <v>907</v>
      </c>
      <c r="DE48">
        <v>1</v>
      </c>
      <c r="DF48">
        <v>25</v>
      </c>
      <c r="DG48" t="s">
        <v>95</v>
      </c>
      <c r="DH48" t="s">
        <v>95</v>
      </c>
      <c r="DI48" t="s">
        <v>907</v>
      </c>
      <c r="DJ48" t="s">
        <v>907</v>
      </c>
      <c r="DK48" t="s">
        <v>907</v>
      </c>
      <c r="DL48" t="s">
        <v>907</v>
      </c>
      <c r="DM48" t="s">
        <v>291</v>
      </c>
      <c r="DN48" t="s">
        <v>907</v>
      </c>
      <c r="DO48" t="s">
        <v>907</v>
      </c>
      <c r="DP48">
        <v>3</v>
      </c>
      <c r="DQ48" t="s">
        <v>128</v>
      </c>
      <c r="DR48" t="s">
        <v>907</v>
      </c>
      <c r="DS48" t="s">
        <v>2051</v>
      </c>
      <c r="DT48" t="s">
        <v>2052</v>
      </c>
      <c r="DU48" t="s">
        <v>84</v>
      </c>
      <c r="DV48" t="s">
        <v>294</v>
      </c>
      <c r="DW48" t="s">
        <v>132</v>
      </c>
      <c r="DX48" t="s">
        <v>95</v>
      </c>
      <c r="FQ48">
        <v>566860799</v>
      </c>
      <c r="FR48" t="s">
        <v>2053</v>
      </c>
      <c r="FS48" s="1">
        <v>45925.728263888886</v>
      </c>
      <c r="FV48" t="s">
        <v>134</v>
      </c>
      <c r="FW48" t="s">
        <v>135</v>
      </c>
      <c r="FX48" t="s">
        <v>136</v>
      </c>
      <c r="FZ48">
        <v>300</v>
      </c>
    </row>
    <row r="49" spans="1:182" hidden="1" x14ac:dyDescent="0.3">
      <c r="A49" s="1">
        <v>45930.377040960651</v>
      </c>
      <c r="B49" s="1">
        <v>45930.421675393518</v>
      </c>
      <c r="D49" t="s">
        <v>84</v>
      </c>
      <c r="E49" t="s">
        <v>798</v>
      </c>
      <c r="F49" t="s">
        <v>3519</v>
      </c>
      <c r="G49" t="s">
        <v>176</v>
      </c>
      <c r="H49" t="s">
        <v>4122</v>
      </c>
      <c r="I49" t="s">
        <v>3520</v>
      </c>
      <c r="J49" t="s">
        <v>3521</v>
      </c>
      <c r="K49" t="s">
        <v>90</v>
      </c>
      <c r="L49" t="s">
        <v>3522</v>
      </c>
      <c r="M49" t="s">
        <v>3523</v>
      </c>
      <c r="N49" t="s">
        <v>3524</v>
      </c>
      <c r="O49">
        <v>-15.2423825</v>
      </c>
      <c r="P49">
        <v>22.877339599999999</v>
      </c>
      <c r="Q49">
        <v>530.39996337890625</v>
      </c>
      <c r="R49">
        <v>3.9489999999999998</v>
      </c>
      <c r="S49" t="s">
        <v>84</v>
      </c>
      <c r="T49" t="s">
        <v>182</v>
      </c>
      <c r="U49">
        <v>10</v>
      </c>
      <c r="V49" t="s">
        <v>95</v>
      </c>
      <c r="W49" t="s">
        <v>907</v>
      </c>
      <c r="X49">
        <v>40</v>
      </c>
      <c r="Y49">
        <v>1.5</v>
      </c>
      <c r="Z49">
        <v>1.5</v>
      </c>
      <c r="AA49" t="s">
        <v>96</v>
      </c>
      <c r="AB49" t="s">
        <v>97</v>
      </c>
      <c r="AC49" t="s">
        <v>98</v>
      </c>
      <c r="AD49" t="s">
        <v>252</v>
      </c>
      <c r="AE49" t="s">
        <v>123</v>
      </c>
      <c r="AF49" t="s">
        <v>3525</v>
      </c>
      <c r="AG49">
        <v>500</v>
      </c>
      <c r="AH49" t="s">
        <v>304</v>
      </c>
      <c r="AI49" t="s">
        <v>907</v>
      </c>
      <c r="AJ49" s="5">
        <v>158</v>
      </c>
      <c r="AK49" t="s">
        <v>102</v>
      </c>
      <c r="AL49" t="s">
        <v>907</v>
      </c>
      <c r="AM49" t="s">
        <v>3526</v>
      </c>
      <c r="AN49" t="s">
        <v>907</v>
      </c>
      <c r="AO49" t="s">
        <v>3527</v>
      </c>
      <c r="AP49">
        <v>0</v>
      </c>
      <c r="AQ49" t="s">
        <v>3528</v>
      </c>
      <c r="AR49" t="s">
        <v>84</v>
      </c>
      <c r="AS49">
        <v>0</v>
      </c>
      <c r="AT49">
        <v>0</v>
      </c>
      <c r="AU49">
        <v>0</v>
      </c>
      <c r="AV49">
        <v>0</v>
      </c>
      <c r="AW49">
        <v>0</v>
      </c>
      <c r="AX49">
        <v>0</v>
      </c>
      <c r="AY49">
        <v>0</v>
      </c>
      <c r="AZ49" t="s">
        <v>106</v>
      </c>
      <c r="BA49" t="s">
        <v>452</v>
      </c>
      <c r="BB49" t="s">
        <v>308</v>
      </c>
      <c r="BC49" t="s">
        <v>907</v>
      </c>
      <c r="BD49" t="s">
        <v>285</v>
      </c>
      <c r="BE49" t="s">
        <v>470</v>
      </c>
      <c r="BF49" t="s">
        <v>4099</v>
      </c>
      <c r="BG49" t="s">
        <v>156</v>
      </c>
      <c r="BH49">
        <v>25</v>
      </c>
      <c r="BL49">
        <v>11</v>
      </c>
      <c r="BN49">
        <v>1</v>
      </c>
      <c r="BP49">
        <v>2</v>
      </c>
      <c r="BR49">
        <v>7</v>
      </c>
      <c r="BT49">
        <v>0</v>
      </c>
      <c r="BV49">
        <v>0</v>
      </c>
      <c r="BX49">
        <v>4</v>
      </c>
      <c r="BY49" t="s">
        <v>110</v>
      </c>
      <c r="BZ49" t="s">
        <v>907</v>
      </c>
      <c r="CA49" t="s">
        <v>907</v>
      </c>
      <c r="CB49" t="s">
        <v>84</v>
      </c>
      <c r="CC49" t="s">
        <v>84</v>
      </c>
      <c r="CD49" t="s">
        <v>3529</v>
      </c>
      <c r="CE49" t="s">
        <v>4249</v>
      </c>
      <c r="CF49" t="s">
        <v>3530</v>
      </c>
      <c r="CG49" t="s">
        <v>907</v>
      </c>
      <c r="CH49">
        <v>1</v>
      </c>
      <c r="CI49" t="s">
        <v>84</v>
      </c>
      <c r="CJ49" t="s">
        <v>405</v>
      </c>
      <c r="CK49" t="s">
        <v>289</v>
      </c>
      <c r="CL49" t="s">
        <v>263</v>
      </c>
      <c r="CM49" t="s">
        <v>193</v>
      </c>
      <c r="CN49" t="s">
        <v>3874</v>
      </c>
      <c r="CO49" t="s">
        <v>95</v>
      </c>
      <c r="CP49" t="s">
        <v>907</v>
      </c>
      <c r="CQ49" t="s">
        <v>116</v>
      </c>
      <c r="CR49" t="s">
        <v>95</v>
      </c>
      <c r="CS49" t="s">
        <v>907</v>
      </c>
      <c r="CT49" t="s">
        <v>907</v>
      </c>
      <c r="CU49" t="s">
        <v>907</v>
      </c>
      <c r="CV49" t="s">
        <v>812</v>
      </c>
      <c r="CW49" t="s">
        <v>3531</v>
      </c>
      <c r="CX49" t="s">
        <v>119</v>
      </c>
      <c r="CY49" t="s">
        <v>121</v>
      </c>
      <c r="CZ49" t="s">
        <v>715</v>
      </c>
      <c r="DA49">
        <v>1</v>
      </c>
      <c r="DB49" s="10">
        <v>1900</v>
      </c>
      <c r="DC49" t="s">
        <v>169</v>
      </c>
      <c r="DD49" t="s">
        <v>907</v>
      </c>
      <c r="DE49">
        <v>5</v>
      </c>
      <c r="DF49">
        <v>26</v>
      </c>
      <c r="DG49" t="s">
        <v>95</v>
      </c>
      <c r="DH49" t="s">
        <v>95</v>
      </c>
      <c r="DI49" t="s">
        <v>907</v>
      </c>
      <c r="DJ49" t="s">
        <v>907</v>
      </c>
      <c r="DK49" t="s">
        <v>907</v>
      </c>
      <c r="DL49" t="s">
        <v>907</v>
      </c>
      <c r="DM49" t="s">
        <v>291</v>
      </c>
      <c r="DN49" t="s">
        <v>907</v>
      </c>
      <c r="DO49" t="s">
        <v>907</v>
      </c>
      <c r="DP49">
        <v>2</v>
      </c>
      <c r="DQ49" t="s">
        <v>128</v>
      </c>
      <c r="DR49" t="s">
        <v>907</v>
      </c>
      <c r="DS49" t="s">
        <v>813</v>
      </c>
      <c r="DT49" t="s">
        <v>2672</v>
      </c>
      <c r="DU49" t="s">
        <v>84</v>
      </c>
      <c r="DV49" t="s">
        <v>532</v>
      </c>
      <c r="DW49" t="s">
        <v>132</v>
      </c>
      <c r="DX49" t="s">
        <v>95</v>
      </c>
      <c r="FQ49">
        <v>569918143</v>
      </c>
      <c r="FR49" t="s">
        <v>3532</v>
      </c>
      <c r="FS49" s="1">
        <v>45930.396238425928</v>
      </c>
      <c r="FV49" t="s">
        <v>134</v>
      </c>
      <c r="FW49" t="s">
        <v>135</v>
      </c>
      <c r="FX49" t="s">
        <v>136</v>
      </c>
      <c r="FZ49">
        <v>556</v>
      </c>
    </row>
    <row r="50" spans="1:182" hidden="1" x14ac:dyDescent="0.3">
      <c r="A50" s="1">
        <v>45924.622624120369</v>
      </c>
      <c r="B50" s="1">
        <v>45924.637509756947</v>
      </c>
      <c r="D50" t="s">
        <v>84</v>
      </c>
      <c r="E50" t="s">
        <v>901</v>
      </c>
      <c r="F50" t="s">
        <v>972</v>
      </c>
      <c r="G50" t="s">
        <v>176</v>
      </c>
      <c r="H50" t="s">
        <v>4122</v>
      </c>
      <c r="I50" t="s">
        <v>973</v>
      </c>
      <c r="J50" t="s">
        <v>974</v>
      </c>
      <c r="K50" t="s">
        <v>90</v>
      </c>
      <c r="L50" t="s">
        <v>975</v>
      </c>
      <c r="M50" t="s">
        <v>722</v>
      </c>
      <c r="N50" t="s">
        <v>976</v>
      </c>
      <c r="O50">
        <v>-15.3038644</v>
      </c>
      <c r="P50">
        <v>23.015452499999999</v>
      </c>
      <c r="Q50">
        <v>1030.142211914062</v>
      </c>
      <c r="R50">
        <v>4.5330000000000004</v>
      </c>
      <c r="S50" t="s">
        <v>84</v>
      </c>
      <c r="T50" t="s">
        <v>182</v>
      </c>
      <c r="U50">
        <v>5</v>
      </c>
      <c r="V50" t="s">
        <v>95</v>
      </c>
      <c r="W50" t="s">
        <v>907</v>
      </c>
      <c r="X50">
        <v>30</v>
      </c>
      <c r="Y50">
        <v>1</v>
      </c>
      <c r="Z50">
        <v>1</v>
      </c>
      <c r="AA50" t="s">
        <v>504</v>
      </c>
      <c r="AB50" t="s">
        <v>351</v>
      </c>
      <c r="AC50" t="s">
        <v>98</v>
      </c>
      <c r="AD50" t="s">
        <v>252</v>
      </c>
      <c r="AE50" t="s">
        <v>304</v>
      </c>
      <c r="AF50" t="s">
        <v>907</v>
      </c>
      <c r="AG50" s="3">
        <v>50000</v>
      </c>
      <c r="AH50" t="s">
        <v>521</v>
      </c>
      <c r="AI50" t="s">
        <v>907</v>
      </c>
      <c r="AJ50" s="5">
        <v>300</v>
      </c>
      <c r="AK50" t="s">
        <v>102</v>
      </c>
      <c r="AL50" t="s">
        <v>907</v>
      </c>
      <c r="AM50" t="s">
        <v>909</v>
      </c>
      <c r="AN50" t="s">
        <v>907</v>
      </c>
      <c r="AO50" t="s">
        <v>267</v>
      </c>
      <c r="AP50" t="s">
        <v>977</v>
      </c>
      <c r="AQ50" t="s">
        <v>466</v>
      </c>
      <c r="AR50" t="s">
        <v>95</v>
      </c>
      <c r="AS50">
        <v>0</v>
      </c>
      <c r="AT50">
        <v>0</v>
      </c>
      <c r="AU50">
        <v>0</v>
      </c>
      <c r="AV50">
        <v>14</v>
      </c>
      <c r="AW50">
        <v>0</v>
      </c>
      <c r="AX50">
        <v>0</v>
      </c>
      <c r="AY50">
        <v>0</v>
      </c>
      <c r="AZ50" t="s">
        <v>629</v>
      </c>
      <c r="BA50" t="s">
        <v>95</v>
      </c>
      <c r="BB50" t="s">
        <v>308</v>
      </c>
      <c r="BC50" t="s">
        <v>907</v>
      </c>
      <c r="BD50" t="s">
        <v>107</v>
      </c>
      <c r="BE50" t="s">
        <v>470</v>
      </c>
      <c r="BF50" t="s">
        <v>875</v>
      </c>
      <c r="BG50" t="s">
        <v>235</v>
      </c>
      <c r="BH50">
        <v>31</v>
      </c>
      <c r="BL50">
        <v>20</v>
      </c>
      <c r="BN50">
        <v>1</v>
      </c>
      <c r="BP50">
        <v>0</v>
      </c>
      <c r="BR50">
        <v>0</v>
      </c>
      <c r="BT50">
        <v>3</v>
      </c>
      <c r="BV50">
        <v>0</v>
      </c>
      <c r="BX50">
        <v>7</v>
      </c>
      <c r="BY50" t="s">
        <v>189</v>
      </c>
      <c r="BZ50">
        <v>3</v>
      </c>
      <c r="CA50">
        <v>5</v>
      </c>
      <c r="CB50" t="s">
        <v>84</v>
      </c>
      <c r="CC50" t="s">
        <v>84</v>
      </c>
      <c r="CD50" t="s">
        <v>978</v>
      </c>
      <c r="CE50" t="s">
        <v>1998</v>
      </c>
      <c r="CF50" t="s">
        <v>979</v>
      </c>
      <c r="CG50" t="s">
        <v>907</v>
      </c>
      <c r="CH50">
        <v>1</v>
      </c>
      <c r="CI50" t="s">
        <v>84</v>
      </c>
      <c r="CJ50" t="s">
        <v>546</v>
      </c>
      <c r="CK50" t="s">
        <v>289</v>
      </c>
      <c r="CL50" t="s">
        <v>4262</v>
      </c>
      <c r="CM50" t="s">
        <v>547</v>
      </c>
      <c r="CN50" t="s">
        <v>421</v>
      </c>
      <c r="CO50" t="s">
        <v>95</v>
      </c>
      <c r="CP50" t="s">
        <v>907</v>
      </c>
      <c r="CQ50" t="s">
        <v>116</v>
      </c>
      <c r="CR50" t="s">
        <v>84</v>
      </c>
      <c r="CS50" t="s">
        <v>117</v>
      </c>
      <c r="CT50" t="s">
        <v>163</v>
      </c>
      <c r="CU50" t="s">
        <v>3869</v>
      </c>
      <c r="CV50" t="s">
        <v>812</v>
      </c>
      <c r="CW50" t="s">
        <v>907</v>
      </c>
      <c r="CX50" t="s">
        <v>166</v>
      </c>
      <c r="CY50" t="s">
        <v>167</v>
      </c>
      <c r="CZ50" t="s">
        <v>980</v>
      </c>
      <c r="DA50">
        <v>5</v>
      </c>
      <c r="DB50" s="10">
        <v>50000</v>
      </c>
      <c r="DC50" t="s">
        <v>169</v>
      </c>
      <c r="DD50" t="s">
        <v>907</v>
      </c>
      <c r="DE50">
        <v>1</v>
      </c>
      <c r="DF50">
        <v>13</v>
      </c>
      <c r="DG50" t="s">
        <v>95</v>
      </c>
      <c r="DH50" t="s">
        <v>95</v>
      </c>
      <c r="DI50" t="s">
        <v>907</v>
      </c>
      <c r="DJ50" t="s">
        <v>907</v>
      </c>
      <c r="DK50" t="s">
        <v>907</v>
      </c>
      <c r="DL50" t="s">
        <v>907</v>
      </c>
      <c r="DM50" t="s">
        <v>291</v>
      </c>
      <c r="DN50" t="s">
        <v>907</v>
      </c>
      <c r="DO50" t="s">
        <v>907</v>
      </c>
      <c r="DP50">
        <v>1</v>
      </c>
      <c r="DQ50" t="s">
        <v>441</v>
      </c>
      <c r="DR50" t="s">
        <v>907</v>
      </c>
      <c r="DS50" t="s">
        <v>917</v>
      </c>
      <c r="DT50" t="s">
        <v>981</v>
      </c>
      <c r="DU50" t="s">
        <v>95</v>
      </c>
      <c r="DV50" t="s">
        <v>907</v>
      </c>
      <c r="DW50" t="s">
        <v>907</v>
      </c>
      <c r="DX50" t="s">
        <v>907</v>
      </c>
      <c r="FQ50">
        <v>565934935</v>
      </c>
      <c r="FR50" t="s">
        <v>982</v>
      </c>
      <c r="FS50" s="1">
        <v>45924.665925925918</v>
      </c>
      <c r="FV50" t="s">
        <v>134</v>
      </c>
      <c r="FW50" t="s">
        <v>135</v>
      </c>
      <c r="FX50" t="s">
        <v>136</v>
      </c>
      <c r="FZ50">
        <v>183</v>
      </c>
    </row>
    <row r="51" spans="1:182" hidden="1" x14ac:dyDescent="0.3">
      <c r="A51" s="1">
        <v>45924.51258383102</v>
      </c>
      <c r="B51" s="1">
        <v>45924.530509363423</v>
      </c>
      <c r="D51" t="s">
        <v>84</v>
      </c>
      <c r="E51" t="s">
        <v>798</v>
      </c>
      <c r="F51" t="s">
        <v>816</v>
      </c>
      <c r="G51" t="s">
        <v>176</v>
      </c>
      <c r="H51" t="s">
        <v>4122</v>
      </c>
      <c r="I51" t="s">
        <v>817</v>
      </c>
      <c r="J51" t="s">
        <v>818</v>
      </c>
      <c r="K51" t="s">
        <v>90</v>
      </c>
      <c r="L51" t="s">
        <v>819</v>
      </c>
      <c r="M51" t="s">
        <v>820</v>
      </c>
      <c r="N51" t="s">
        <v>821</v>
      </c>
      <c r="O51">
        <v>-15.2970325</v>
      </c>
      <c r="P51">
        <v>23.031986799999999</v>
      </c>
      <c r="Q51">
        <v>1030.504028320312</v>
      </c>
      <c r="R51">
        <v>3.903</v>
      </c>
      <c r="S51" t="s">
        <v>84</v>
      </c>
      <c r="T51" t="s">
        <v>182</v>
      </c>
      <c r="U51">
        <v>5</v>
      </c>
      <c r="V51" t="s">
        <v>95</v>
      </c>
      <c r="W51" t="s">
        <v>907</v>
      </c>
      <c r="X51">
        <v>18</v>
      </c>
      <c r="Y51">
        <v>2</v>
      </c>
      <c r="Z51">
        <v>1</v>
      </c>
      <c r="AA51" t="s">
        <v>96</v>
      </c>
      <c r="AB51" t="s">
        <v>351</v>
      </c>
      <c r="AC51" t="s">
        <v>98</v>
      </c>
      <c r="AD51" t="s">
        <v>280</v>
      </c>
      <c r="AE51" t="s">
        <v>101</v>
      </c>
      <c r="AF51" t="s">
        <v>907</v>
      </c>
      <c r="AG51">
        <v>830</v>
      </c>
      <c r="AH51" t="s">
        <v>304</v>
      </c>
      <c r="AI51" t="s">
        <v>907</v>
      </c>
      <c r="AJ51" s="5">
        <v>566</v>
      </c>
      <c r="AK51" t="s">
        <v>183</v>
      </c>
      <c r="AL51" t="s">
        <v>907</v>
      </c>
      <c r="AM51" t="s">
        <v>466</v>
      </c>
      <c r="AN51" t="s">
        <v>907</v>
      </c>
      <c r="AQ51" t="s">
        <v>907</v>
      </c>
      <c r="AR51" t="s">
        <v>907</v>
      </c>
      <c r="AS51">
        <v>0</v>
      </c>
      <c r="AT51">
        <v>0</v>
      </c>
      <c r="AU51">
        <v>0</v>
      </c>
      <c r="AV51">
        <v>0</v>
      </c>
      <c r="AW51">
        <v>0</v>
      </c>
      <c r="AX51">
        <v>0</v>
      </c>
      <c r="AY51">
        <v>0</v>
      </c>
      <c r="AZ51" t="s">
        <v>106</v>
      </c>
      <c r="BA51" t="s">
        <v>907</v>
      </c>
      <c r="BB51" t="s">
        <v>3866</v>
      </c>
      <c r="BC51" t="s">
        <v>907</v>
      </c>
      <c r="BD51" t="s">
        <v>107</v>
      </c>
      <c r="BE51" t="s">
        <v>907</v>
      </c>
      <c r="BF51" t="s">
        <v>907</v>
      </c>
      <c r="BG51" t="s">
        <v>156</v>
      </c>
      <c r="BH51">
        <v>24</v>
      </c>
      <c r="BL51">
        <v>8</v>
      </c>
      <c r="BN51">
        <v>3</v>
      </c>
      <c r="BP51">
        <v>4</v>
      </c>
      <c r="BR51">
        <v>2</v>
      </c>
      <c r="BT51">
        <v>2</v>
      </c>
      <c r="BV51">
        <v>0</v>
      </c>
      <c r="BX51">
        <v>5</v>
      </c>
      <c r="BY51" t="s">
        <v>189</v>
      </c>
      <c r="BZ51">
        <v>2</v>
      </c>
      <c r="CA51">
        <v>17</v>
      </c>
      <c r="CB51" t="s">
        <v>84</v>
      </c>
      <c r="CC51" t="s">
        <v>84</v>
      </c>
      <c r="CD51" t="s">
        <v>822</v>
      </c>
      <c r="CE51" t="s">
        <v>4252</v>
      </c>
      <c r="CF51" t="s">
        <v>823</v>
      </c>
      <c r="CG51" t="s">
        <v>907</v>
      </c>
      <c r="CH51">
        <v>1</v>
      </c>
      <c r="CI51" t="s">
        <v>84</v>
      </c>
      <c r="CJ51" t="s">
        <v>586</v>
      </c>
      <c r="CK51" t="s">
        <v>113</v>
      </c>
      <c r="CL51" t="s">
        <v>456</v>
      </c>
      <c r="CM51" t="s">
        <v>193</v>
      </c>
      <c r="CN51" t="s">
        <v>3874</v>
      </c>
      <c r="CO51" t="s">
        <v>95</v>
      </c>
      <c r="CP51" t="s">
        <v>907</v>
      </c>
      <c r="CQ51" t="s">
        <v>116</v>
      </c>
      <c r="CR51" t="s">
        <v>84</v>
      </c>
      <c r="CS51" t="s">
        <v>117</v>
      </c>
      <c r="CT51" t="s">
        <v>907</v>
      </c>
      <c r="CU51" t="s">
        <v>438</v>
      </c>
      <c r="CV51" t="s">
        <v>907</v>
      </c>
      <c r="CW51" t="s">
        <v>907</v>
      </c>
      <c r="CX51" t="s">
        <v>166</v>
      </c>
      <c r="CY51" t="s">
        <v>167</v>
      </c>
      <c r="CZ51" t="s">
        <v>696</v>
      </c>
      <c r="DA51">
        <v>1</v>
      </c>
      <c r="DB51" s="10">
        <v>6800</v>
      </c>
      <c r="DC51" t="s">
        <v>169</v>
      </c>
      <c r="DD51" t="s">
        <v>907</v>
      </c>
      <c r="DE51">
        <v>1</v>
      </c>
      <c r="DF51">
        <v>15</v>
      </c>
      <c r="DG51" t="s">
        <v>95</v>
      </c>
      <c r="DH51" t="s">
        <v>95</v>
      </c>
      <c r="DI51" t="s">
        <v>907</v>
      </c>
      <c r="DJ51" t="s">
        <v>907</v>
      </c>
      <c r="DK51" t="s">
        <v>907</v>
      </c>
      <c r="DL51" t="s">
        <v>907</v>
      </c>
      <c r="DM51" t="s">
        <v>291</v>
      </c>
      <c r="DN51" t="s">
        <v>907</v>
      </c>
      <c r="DO51" t="s">
        <v>907</v>
      </c>
      <c r="DP51">
        <v>2</v>
      </c>
      <c r="DQ51" t="s">
        <v>128</v>
      </c>
      <c r="DR51" t="s">
        <v>907</v>
      </c>
      <c r="DS51" t="s">
        <v>172</v>
      </c>
      <c r="DT51" t="s">
        <v>243</v>
      </c>
      <c r="DU51" t="s">
        <v>95</v>
      </c>
      <c r="DV51" t="s">
        <v>907</v>
      </c>
      <c r="DW51" t="s">
        <v>907</v>
      </c>
      <c r="DX51" t="s">
        <v>907</v>
      </c>
      <c r="FQ51">
        <v>565915881</v>
      </c>
      <c r="FR51" t="s">
        <v>824</v>
      </c>
      <c r="FS51" s="1">
        <v>45924.650312500002</v>
      </c>
      <c r="FV51" t="s">
        <v>134</v>
      </c>
      <c r="FW51" t="s">
        <v>135</v>
      </c>
      <c r="FX51" t="s">
        <v>136</v>
      </c>
      <c r="FZ51">
        <v>171</v>
      </c>
    </row>
    <row r="52" spans="1:182" hidden="1" x14ac:dyDescent="0.3">
      <c r="A52" s="1">
        <v>45925.59438865741</v>
      </c>
      <c r="B52" s="1">
        <v>45925.606145115737</v>
      </c>
      <c r="D52" t="s">
        <v>84</v>
      </c>
      <c r="E52" t="s">
        <v>1878</v>
      </c>
      <c r="F52" t="s">
        <v>1951</v>
      </c>
      <c r="G52" t="s">
        <v>176</v>
      </c>
      <c r="H52" t="s">
        <v>4122</v>
      </c>
      <c r="I52" t="s">
        <v>1952</v>
      </c>
      <c r="J52" t="s">
        <v>1953</v>
      </c>
      <c r="K52" t="s">
        <v>90</v>
      </c>
      <c r="L52" t="s">
        <v>1954</v>
      </c>
      <c r="M52" t="s">
        <v>1945</v>
      </c>
      <c r="N52" t="s">
        <v>1955</v>
      </c>
      <c r="O52">
        <v>-15.164588</v>
      </c>
      <c r="P52">
        <v>22.997819100000001</v>
      </c>
      <c r="Q52">
        <v>1042.0999999999999</v>
      </c>
      <c r="R52">
        <v>4.9400000000000004</v>
      </c>
      <c r="S52" t="s">
        <v>84</v>
      </c>
      <c r="T52" t="s">
        <v>182</v>
      </c>
      <c r="U52">
        <v>6</v>
      </c>
      <c r="V52" t="s">
        <v>95</v>
      </c>
      <c r="W52" t="s">
        <v>907</v>
      </c>
      <c r="X52">
        <v>7</v>
      </c>
      <c r="Y52">
        <v>3</v>
      </c>
      <c r="Z52">
        <v>3</v>
      </c>
      <c r="AA52" t="s">
        <v>96</v>
      </c>
      <c r="AB52" t="s">
        <v>351</v>
      </c>
      <c r="AC52" t="s">
        <v>98</v>
      </c>
      <c r="AD52" t="s">
        <v>280</v>
      </c>
      <c r="AE52" t="s">
        <v>101</v>
      </c>
      <c r="AF52" t="s">
        <v>907</v>
      </c>
      <c r="AG52">
        <v>100</v>
      </c>
      <c r="AH52" t="s">
        <v>214</v>
      </c>
      <c r="AI52" t="s">
        <v>907</v>
      </c>
      <c r="AJ52" s="5">
        <v>500</v>
      </c>
      <c r="AK52" t="s">
        <v>102</v>
      </c>
      <c r="AL52" t="s">
        <v>907</v>
      </c>
      <c r="AM52" t="s">
        <v>4130</v>
      </c>
      <c r="AN52" t="s">
        <v>907</v>
      </c>
      <c r="AQ52" t="s">
        <v>1956</v>
      </c>
      <c r="AR52" t="s">
        <v>84</v>
      </c>
      <c r="AS52">
        <v>0</v>
      </c>
      <c r="AT52">
        <v>0</v>
      </c>
      <c r="AU52">
        <v>0</v>
      </c>
      <c r="AV52">
        <v>0</v>
      </c>
      <c r="AW52">
        <v>0</v>
      </c>
      <c r="AX52">
        <v>0</v>
      </c>
      <c r="AY52">
        <v>0</v>
      </c>
      <c r="AZ52" t="s">
        <v>153</v>
      </c>
      <c r="BA52" t="s">
        <v>1065</v>
      </c>
      <c r="BB52" t="s">
        <v>154</v>
      </c>
      <c r="BC52" t="s">
        <v>907</v>
      </c>
      <c r="BD52" t="s">
        <v>257</v>
      </c>
      <c r="BE52" t="s">
        <v>363</v>
      </c>
      <c r="BF52" t="s">
        <v>1957</v>
      </c>
      <c r="BG52" t="s">
        <v>526</v>
      </c>
      <c r="BH52">
        <v>80</v>
      </c>
      <c r="BL52">
        <v>32</v>
      </c>
      <c r="BN52">
        <v>4</v>
      </c>
      <c r="BP52">
        <v>10</v>
      </c>
      <c r="BR52">
        <v>4</v>
      </c>
      <c r="BT52">
        <v>4</v>
      </c>
      <c r="BV52">
        <v>0</v>
      </c>
      <c r="BX52">
        <v>16</v>
      </c>
      <c r="BY52" t="s">
        <v>189</v>
      </c>
      <c r="BZ52">
        <v>2</v>
      </c>
      <c r="CA52">
        <v>77</v>
      </c>
      <c r="CB52" t="s">
        <v>84</v>
      </c>
      <c r="CC52" t="s">
        <v>84</v>
      </c>
      <c r="CD52" t="s">
        <v>822</v>
      </c>
      <c r="CE52" t="s">
        <v>4250</v>
      </c>
      <c r="CF52" t="s">
        <v>3968</v>
      </c>
      <c r="CG52" t="s">
        <v>907</v>
      </c>
      <c r="CH52">
        <v>1</v>
      </c>
      <c r="CI52" t="s">
        <v>84</v>
      </c>
      <c r="CJ52" t="s">
        <v>160</v>
      </c>
      <c r="CK52" t="s">
        <v>289</v>
      </c>
      <c r="CL52" t="s">
        <v>263</v>
      </c>
      <c r="CM52" t="s">
        <v>193</v>
      </c>
      <c r="CN52" t="s">
        <v>3874</v>
      </c>
      <c r="CO52" t="s">
        <v>95</v>
      </c>
      <c r="CP52" t="s">
        <v>907</v>
      </c>
      <c r="CQ52" t="s">
        <v>116</v>
      </c>
      <c r="CR52" t="s">
        <v>84</v>
      </c>
      <c r="CS52" t="s">
        <v>117</v>
      </c>
      <c r="CT52" t="s">
        <v>907</v>
      </c>
      <c r="CU52" t="s">
        <v>3869</v>
      </c>
      <c r="CV52" t="s">
        <v>812</v>
      </c>
      <c r="CW52" t="s">
        <v>1958</v>
      </c>
      <c r="CX52" t="s">
        <v>290</v>
      </c>
      <c r="CY52" t="s">
        <v>907</v>
      </c>
      <c r="CZ52" t="s">
        <v>907</v>
      </c>
      <c r="DA52" t="s">
        <v>907</v>
      </c>
      <c r="DB52" t="s">
        <v>907</v>
      </c>
      <c r="DC52" t="s">
        <v>907</v>
      </c>
      <c r="DD52" t="s">
        <v>907</v>
      </c>
      <c r="DE52" t="s">
        <v>907</v>
      </c>
      <c r="DF52" t="s">
        <v>907</v>
      </c>
      <c r="DG52" t="s">
        <v>95</v>
      </c>
      <c r="DH52" t="s">
        <v>95</v>
      </c>
      <c r="DI52" t="s">
        <v>907</v>
      </c>
      <c r="DJ52" t="s">
        <v>907</v>
      </c>
      <c r="DK52" t="s">
        <v>907</v>
      </c>
      <c r="DL52" t="s">
        <v>907</v>
      </c>
      <c r="DM52" t="s">
        <v>291</v>
      </c>
      <c r="DN52" t="s">
        <v>907</v>
      </c>
      <c r="DO52" t="s">
        <v>907</v>
      </c>
      <c r="DP52">
        <v>2</v>
      </c>
      <c r="DQ52" t="s">
        <v>128</v>
      </c>
      <c r="DR52" t="s">
        <v>907</v>
      </c>
      <c r="DS52" t="s">
        <v>270</v>
      </c>
      <c r="DT52" t="s">
        <v>1949</v>
      </c>
      <c r="DU52" t="s">
        <v>95</v>
      </c>
      <c r="DV52" t="s">
        <v>907</v>
      </c>
      <c r="DW52" t="s">
        <v>907</v>
      </c>
      <c r="DX52" t="s">
        <v>907</v>
      </c>
      <c r="FQ52">
        <v>566859650</v>
      </c>
      <c r="FR52" t="s">
        <v>1959</v>
      </c>
      <c r="FS52" s="1">
        <v>45925.727025462962</v>
      </c>
      <c r="FV52" t="s">
        <v>134</v>
      </c>
      <c r="FW52" t="s">
        <v>135</v>
      </c>
      <c r="FX52" t="s">
        <v>136</v>
      </c>
      <c r="FZ52">
        <v>292</v>
      </c>
    </row>
    <row r="53" spans="1:182" x14ac:dyDescent="0.3">
      <c r="A53" s="1">
        <v>45924.392814016202</v>
      </c>
      <c r="B53" s="1">
        <v>45924.42962466435</v>
      </c>
      <c r="D53" t="s">
        <v>84</v>
      </c>
      <c r="E53" t="s">
        <v>245</v>
      </c>
      <c r="F53" t="s">
        <v>1508</v>
      </c>
      <c r="G53" t="s">
        <v>176</v>
      </c>
      <c r="H53" t="s">
        <v>4121</v>
      </c>
      <c r="I53" t="s">
        <v>1509</v>
      </c>
      <c r="J53" t="s">
        <v>1510</v>
      </c>
      <c r="K53" t="s">
        <v>90</v>
      </c>
      <c r="L53" t="s">
        <v>1511</v>
      </c>
      <c r="M53" t="s">
        <v>1512</v>
      </c>
      <c r="N53" t="s">
        <v>1513</v>
      </c>
      <c r="O53">
        <v>-15.3278167</v>
      </c>
      <c r="P53">
        <v>23.0399818</v>
      </c>
      <c r="Q53">
        <v>1024.199462890625</v>
      </c>
      <c r="R53">
        <v>4.2</v>
      </c>
      <c r="S53" t="s">
        <v>84</v>
      </c>
      <c r="T53" t="s">
        <v>94</v>
      </c>
      <c r="U53">
        <v>5</v>
      </c>
      <c r="V53" t="s">
        <v>95</v>
      </c>
      <c r="W53" t="s">
        <v>907</v>
      </c>
      <c r="X53">
        <v>5</v>
      </c>
      <c r="Y53">
        <v>2</v>
      </c>
      <c r="Z53">
        <v>2</v>
      </c>
      <c r="AA53" t="s">
        <v>504</v>
      </c>
      <c r="AB53" t="s">
        <v>97</v>
      </c>
      <c r="AC53" t="s">
        <v>144</v>
      </c>
      <c r="AD53" t="s">
        <v>99</v>
      </c>
      <c r="AE53" t="s">
        <v>304</v>
      </c>
      <c r="AF53" t="s">
        <v>907</v>
      </c>
      <c r="AG53">
        <v>15000</v>
      </c>
      <c r="AH53" t="s">
        <v>100</v>
      </c>
      <c r="AI53" t="s">
        <v>907</v>
      </c>
      <c r="AJ53" s="5">
        <v>5000</v>
      </c>
      <c r="AK53" t="s">
        <v>102</v>
      </c>
      <c r="AL53" t="s">
        <v>907</v>
      </c>
      <c r="AM53" t="s">
        <v>1514</v>
      </c>
      <c r="AN53" t="s">
        <v>907</v>
      </c>
      <c r="AO53" t="s">
        <v>267</v>
      </c>
      <c r="AP53" t="s">
        <v>1515</v>
      </c>
      <c r="AQ53" t="s">
        <v>1516</v>
      </c>
      <c r="AR53" t="s">
        <v>84</v>
      </c>
      <c r="AS53">
        <v>0</v>
      </c>
      <c r="AT53">
        <v>0</v>
      </c>
      <c r="AU53">
        <v>0</v>
      </c>
      <c r="AV53">
        <v>0</v>
      </c>
      <c r="AW53">
        <v>0</v>
      </c>
      <c r="AX53">
        <v>0</v>
      </c>
      <c r="AY53">
        <v>0</v>
      </c>
      <c r="AZ53" t="s">
        <v>256</v>
      </c>
      <c r="BA53" t="s">
        <v>95</v>
      </c>
      <c r="BB53" t="s">
        <v>154</v>
      </c>
      <c r="BC53" t="s">
        <v>907</v>
      </c>
      <c r="BD53" t="s">
        <v>107</v>
      </c>
      <c r="BE53" t="s">
        <v>258</v>
      </c>
      <c r="BF53" t="s">
        <v>1432</v>
      </c>
      <c r="BG53" t="s">
        <v>156</v>
      </c>
      <c r="BH53">
        <v>99</v>
      </c>
      <c r="BL53">
        <v>29</v>
      </c>
      <c r="BN53">
        <v>6</v>
      </c>
      <c r="BP53">
        <v>22</v>
      </c>
      <c r="BR53">
        <v>13</v>
      </c>
      <c r="BT53">
        <v>8</v>
      </c>
      <c r="BV53">
        <v>8</v>
      </c>
      <c r="BX53">
        <v>13</v>
      </c>
      <c r="BY53" t="s">
        <v>110</v>
      </c>
      <c r="BZ53" t="s">
        <v>907</v>
      </c>
      <c r="CA53" t="s">
        <v>907</v>
      </c>
      <c r="CB53" t="s">
        <v>84</v>
      </c>
      <c r="CC53" t="s">
        <v>84</v>
      </c>
      <c r="CD53" t="s">
        <v>334</v>
      </c>
      <c r="CE53" t="s">
        <v>4251</v>
      </c>
      <c r="CF53" t="s">
        <v>3940</v>
      </c>
      <c r="CG53" t="s">
        <v>907</v>
      </c>
      <c r="CH53">
        <v>1</v>
      </c>
      <c r="CI53" t="s">
        <v>84</v>
      </c>
      <c r="CJ53" t="s">
        <v>262</v>
      </c>
      <c r="CK53" t="s">
        <v>113</v>
      </c>
      <c r="CL53" t="s">
        <v>1435</v>
      </c>
      <c r="CM53" t="s">
        <v>193</v>
      </c>
      <c r="CN53" t="s">
        <v>194</v>
      </c>
      <c r="CO53" t="s">
        <v>95</v>
      </c>
      <c r="CP53" t="s">
        <v>907</v>
      </c>
      <c r="CQ53" t="s">
        <v>116</v>
      </c>
      <c r="CR53" t="s">
        <v>84</v>
      </c>
      <c r="CS53" t="s">
        <v>117</v>
      </c>
      <c r="CT53" t="s">
        <v>264</v>
      </c>
      <c r="CU53" t="s">
        <v>438</v>
      </c>
      <c r="CV53" t="s">
        <v>812</v>
      </c>
      <c r="CW53" t="s">
        <v>1517</v>
      </c>
      <c r="CX53" t="s">
        <v>166</v>
      </c>
      <c r="CY53" t="s">
        <v>167</v>
      </c>
      <c r="CZ53" t="s">
        <v>1436</v>
      </c>
      <c r="DA53">
        <v>2</v>
      </c>
      <c r="DB53" s="10">
        <v>7000</v>
      </c>
      <c r="DC53" t="s">
        <v>169</v>
      </c>
      <c r="DD53" t="s">
        <v>907</v>
      </c>
      <c r="DE53">
        <v>1</v>
      </c>
      <c r="DF53">
        <v>50</v>
      </c>
      <c r="DG53" t="s">
        <v>95</v>
      </c>
      <c r="DH53" t="s">
        <v>95</v>
      </c>
      <c r="DI53" t="s">
        <v>907</v>
      </c>
      <c r="DJ53" t="s">
        <v>907</v>
      </c>
      <c r="DK53" t="s">
        <v>907</v>
      </c>
      <c r="DL53" t="s">
        <v>907</v>
      </c>
      <c r="DM53" t="s">
        <v>291</v>
      </c>
      <c r="DN53" t="s">
        <v>907</v>
      </c>
      <c r="DO53" t="s">
        <v>907</v>
      </c>
      <c r="DP53">
        <v>3</v>
      </c>
      <c r="DQ53" t="s">
        <v>441</v>
      </c>
      <c r="DR53" t="s">
        <v>907</v>
      </c>
      <c r="DS53" t="s">
        <v>172</v>
      </c>
      <c r="DT53" t="s">
        <v>1437</v>
      </c>
      <c r="DU53" t="s">
        <v>95</v>
      </c>
      <c r="DV53" t="s">
        <v>907</v>
      </c>
      <c r="DW53" t="s">
        <v>907</v>
      </c>
      <c r="DX53" t="s">
        <v>907</v>
      </c>
      <c r="FQ53">
        <v>566102981</v>
      </c>
      <c r="FR53" t="s">
        <v>1518</v>
      </c>
      <c r="FS53" s="1">
        <v>45924.855381944442</v>
      </c>
      <c r="FV53" t="s">
        <v>134</v>
      </c>
      <c r="FW53" t="s">
        <v>135</v>
      </c>
      <c r="FX53" t="s">
        <v>136</v>
      </c>
      <c r="FZ53">
        <v>248</v>
      </c>
    </row>
    <row r="54" spans="1:182" hidden="1" x14ac:dyDescent="0.3">
      <c r="A54" s="1">
        <v>45925.395257731478</v>
      </c>
      <c r="B54" s="1">
        <v>45925.416978796296</v>
      </c>
      <c r="D54" t="s">
        <v>84</v>
      </c>
      <c r="E54" t="s">
        <v>901</v>
      </c>
      <c r="F54" t="s">
        <v>1603</v>
      </c>
      <c r="G54" t="s">
        <v>176</v>
      </c>
      <c r="H54" t="s">
        <v>4122</v>
      </c>
      <c r="I54" t="s">
        <v>1604</v>
      </c>
      <c r="J54" t="s">
        <v>1605</v>
      </c>
      <c r="K54" t="s">
        <v>90</v>
      </c>
      <c r="L54" t="s">
        <v>3948</v>
      </c>
      <c r="M54" t="s">
        <v>277</v>
      </c>
      <c r="N54" t="s">
        <v>1606</v>
      </c>
      <c r="O54">
        <v>-15.364281999999999</v>
      </c>
      <c r="P54">
        <v>23.1652491</v>
      </c>
      <c r="Q54">
        <v>1005.902099609375</v>
      </c>
      <c r="R54">
        <v>14.55</v>
      </c>
      <c r="S54" t="s">
        <v>84</v>
      </c>
      <c r="T54" t="s">
        <v>182</v>
      </c>
      <c r="U54">
        <v>5</v>
      </c>
      <c r="V54" t="s">
        <v>302</v>
      </c>
      <c r="W54" t="s">
        <v>232</v>
      </c>
      <c r="X54">
        <v>25</v>
      </c>
      <c r="Y54">
        <v>20</v>
      </c>
      <c r="Z54">
        <v>7</v>
      </c>
      <c r="AA54" t="s">
        <v>96</v>
      </c>
      <c r="AB54" t="s">
        <v>351</v>
      </c>
      <c r="AC54" t="s">
        <v>98</v>
      </c>
      <c r="AD54" t="s">
        <v>520</v>
      </c>
      <c r="AE54" t="s">
        <v>100</v>
      </c>
      <c r="AF54" t="s">
        <v>907</v>
      </c>
      <c r="AG54">
        <v>200</v>
      </c>
      <c r="AH54" t="s">
        <v>908</v>
      </c>
      <c r="AI54" t="s">
        <v>907</v>
      </c>
      <c r="AJ54" s="5">
        <v>500</v>
      </c>
      <c r="AK54" t="s">
        <v>102</v>
      </c>
      <c r="AL54" t="s">
        <v>907</v>
      </c>
      <c r="AM54" t="s">
        <v>1607</v>
      </c>
      <c r="AN54" t="s">
        <v>907</v>
      </c>
      <c r="AO54" t="s">
        <v>1608</v>
      </c>
      <c r="AP54" t="s">
        <v>1609</v>
      </c>
      <c r="AQ54" t="s">
        <v>741</v>
      </c>
      <c r="AR54" t="s">
        <v>84</v>
      </c>
      <c r="AS54">
        <v>0</v>
      </c>
      <c r="AT54">
        <v>21</v>
      </c>
      <c r="AU54">
        <v>0</v>
      </c>
      <c r="AV54">
        <v>0</v>
      </c>
      <c r="AW54">
        <v>130</v>
      </c>
      <c r="AX54">
        <v>0</v>
      </c>
      <c r="AY54">
        <v>0</v>
      </c>
      <c r="AZ54" t="s">
        <v>629</v>
      </c>
      <c r="BA54" t="s">
        <v>452</v>
      </c>
      <c r="BB54" t="s">
        <v>3866</v>
      </c>
      <c r="BC54" t="s">
        <v>907</v>
      </c>
      <c r="BD54" t="s">
        <v>107</v>
      </c>
      <c r="BE54" t="s">
        <v>258</v>
      </c>
      <c r="BF54" t="s">
        <v>155</v>
      </c>
      <c r="BG54" t="s">
        <v>156</v>
      </c>
      <c r="BH54">
        <v>14</v>
      </c>
      <c r="BL54">
        <v>8</v>
      </c>
      <c r="BN54">
        <v>0</v>
      </c>
      <c r="BP54">
        <v>0</v>
      </c>
      <c r="BR54">
        <v>0</v>
      </c>
      <c r="BT54">
        <v>4</v>
      </c>
      <c r="BV54">
        <v>2</v>
      </c>
      <c r="BX54">
        <v>0</v>
      </c>
      <c r="BY54" t="s">
        <v>189</v>
      </c>
      <c r="BZ54">
        <v>2</v>
      </c>
      <c r="CA54">
        <v>12</v>
      </c>
      <c r="CB54" t="s">
        <v>84</v>
      </c>
      <c r="CC54" t="s">
        <v>84</v>
      </c>
      <c r="CD54" t="s">
        <v>1610</v>
      </c>
      <c r="CE54" t="s">
        <v>1998</v>
      </c>
      <c r="CF54" t="s">
        <v>1611</v>
      </c>
      <c r="CG54" t="s">
        <v>907</v>
      </c>
      <c r="CH54">
        <v>1</v>
      </c>
      <c r="CI54" t="s">
        <v>84</v>
      </c>
      <c r="CJ54" t="s">
        <v>405</v>
      </c>
      <c r="CK54" t="s">
        <v>289</v>
      </c>
      <c r="CL54" t="s">
        <v>879</v>
      </c>
      <c r="CM54" t="s">
        <v>193</v>
      </c>
      <c r="CN54" t="s">
        <v>194</v>
      </c>
      <c r="CO54" t="s">
        <v>95</v>
      </c>
      <c r="CP54" t="s">
        <v>907</v>
      </c>
      <c r="CQ54" t="s">
        <v>116</v>
      </c>
      <c r="CR54" t="s">
        <v>84</v>
      </c>
      <c r="CS54" t="s">
        <v>117</v>
      </c>
      <c r="CT54" t="s">
        <v>907</v>
      </c>
      <c r="CU54" t="s">
        <v>3869</v>
      </c>
      <c r="CV54" t="s">
        <v>119</v>
      </c>
      <c r="CW54" t="s">
        <v>696</v>
      </c>
      <c r="CX54" t="s">
        <v>290</v>
      </c>
      <c r="CY54" t="s">
        <v>907</v>
      </c>
      <c r="CZ54" t="s">
        <v>907</v>
      </c>
      <c r="DA54" t="s">
        <v>907</v>
      </c>
      <c r="DB54" t="s">
        <v>907</v>
      </c>
      <c r="DC54" t="s">
        <v>907</v>
      </c>
      <c r="DD54" t="s">
        <v>907</v>
      </c>
      <c r="DE54" t="s">
        <v>907</v>
      </c>
      <c r="DF54" t="s">
        <v>907</v>
      </c>
      <c r="DG54" t="s">
        <v>95</v>
      </c>
      <c r="DH54" t="s">
        <v>95</v>
      </c>
      <c r="DI54" t="s">
        <v>907</v>
      </c>
      <c r="DJ54" t="s">
        <v>907</v>
      </c>
      <c r="DK54" t="s">
        <v>907</v>
      </c>
      <c r="DL54" t="s">
        <v>907</v>
      </c>
      <c r="DM54" t="s">
        <v>291</v>
      </c>
      <c r="DN54" t="s">
        <v>907</v>
      </c>
      <c r="DO54" t="s">
        <v>907</v>
      </c>
      <c r="DP54">
        <v>5</v>
      </c>
      <c r="DQ54" t="s">
        <v>202</v>
      </c>
      <c r="DR54" t="s">
        <v>907</v>
      </c>
      <c r="DS54" t="s">
        <v>917</v>
      </c>
      <c r="DT54" t="s">
        <v>863</v>
      </c>
      <c r="DU54" t="s">
        <v>84</v>
      </c>
      <c r="DV54" t="s">
        <v>294</v>
      </c>
      <c r="DW54" t="s">
        <v>1612</v>
      </c>
      <c r="DX54" t="s">
        <v>95</v>
      </c>
      <c r="FQ54">
        <v>566738708</v>
      </c>
      <c r="FR54" t="s">
        <v>1613</v>
      </c>
      <c r="FS54" s="1">
        <v>45925.625636574077</v>
      </c>
      <c r="FV54" t="s">
        <v>134</v>
      </c>
      <c r="FW54" t="s">
        <v>135</v>
      </c>
      <c r="FX54" t="s">
        <v>136</v>
      </c>
      <c r="FZ54">
        <v>257</v>
      </c>
    </row>
    <row r="55" spans="1:182" hidden="1" x14ac:dyDescent="0.3">
      <c r="A55" s="1">
        <v>45925.582708101851</v>
      </c>
      <c r="B55" s="1">
        <v>45925.59384908565</v>
      </c>
      <c r="D55" t="s">
        <v>84</v>
      </c>
      <c r="E55" t="s">
        <v>1878</v>
      </c>
      <c r="F55" t="s">
        <v>1941</v>
      </c>
      <c r="G55" t="s">
        <v>176</v>
      </c>
      <c r="H55" t="s">
        <v>4121</v>
      </c>
      <c r="I55" t="s">
        <v>1942</v>
      </c>
      <c r="J55" t="s">
        <v>1943</v>
      </c>
      <c r="K55" t="s">
        <v>90</v>
      </c>
      <c r="L55" t="s">
        <v>1944</v>
      </c>
      <c r="M55" t="s">
        <v>1945</v>
      </c>
      <c r="N55" t="s">
        <v>1946</v>
      </c>
      <c r="O55">
        <v>-15.164641700000001</v>
      </c>
      <c r="P55">
        <v>22.997658399999999</v>
      </c>
      <c r="Q55">
        <v>1031</v>
      </c>
      <c r="R55">
        <v>4.4329999999999998</v>
      </c>
      <c r="S55" t="s">
        <v>84</v>
      </c>
      <c r="T55" t="s">
        <v>182</v>
      </c>
      <c r="U55">
        <v>5</v>
      </c>
      <c r="V55" t="s">
        <v>212</v>
      </c>
      <c r="W55" t="s">
        <v>1947</v>
      </c>
      <c r="X55">
        <v>6</v>
      </c>
      <c r="Y55">
        <v>0.5</v>
      </c>
      <c r="Z55">
        <v>0.5</v>
      </c>
      <c r="AA55" t="s">
        <v>96</v>
      </c>
      <c r="AB55" t="s">
        <v>351</v>
      </c>
      <c r="AC55" t="s">
        <v>98</v>
      </c>
      <c r="AD55" t="s">
        <v>252</v>
      </c>
      <c r="AE55" t="s">
        <v>100</v>
      </c>
      <c r="AF55" t="s">
        <v>907</v>
      </c>
      <c r="AG55">
        <v>700</v>
      </c>
      <c r="AH55" t="s">
        <v>3873</v>
      </c>
      <c r="AI55" t="s">
        <v>907</v>
      </c>
      <c r="AJ55" t="s">
        <v>907</v>
      </c>
      <c r="AK55" t="s">
        <v>304</v>
      </c>
      <c r="AL55" t="s">
        <v>907</v>
      </c>
      <c r="AM55" t="s">
        <v>907</v>
      </c>
      <c r="AN55" t="s">
        <v>907</v>
      </c>
      <c r="AQ55" t="s">
        <v>907</v>
      </c>
      <c r="AR55" t="s">
        <v>907</v>
      </c>
      <c r="AS55">
        <v>0</v>
      </c>
      <c r="AT55">
        <v>0</v>
      </c>
      <c r="AU55">
        <v>0</v>
      </c>
      <c r="AV55">
        <v>0</v>
      </c>
      <c r="AW55">
        <v>0</v>
      </c>
      <c r="AX55">
        <v>0</v>
      </c>
      <c r="AY55">
        <v>0</v>
      </c>
      <c r="AZ55" t="s">
        <v>106</v>
      </c>
      <c r="BA55" t="s">
        <v>907</v>
      </c>
      <c r="BB55" t="s">
        <v>308</v>
      </c>
      <c r="BC55" t="s">
        <v>907</v>
      </c>
      <c r="BD55" t="s">
        <v>907</v>
      </c>
      <c r="BE55" t="s">
        <v>907</v>
      </c>
      <c r="BF55" t="s">
        <v>907</v>
      </c>
      <c r="BG55" t="s">
        <v>156</v>
      </c>
      <c r="BH55">
        <v>50</v>
      </c>
      <c r="BL55">
        <v>15</v>
      </c>
      <c r="BN55">
        <v>2</v>
      </c>
      <c r="BP55">
        <v>13</v>
      </c>
      <c r="BR55">
        <v>8</v>
      </c>
      <c r="BT55">
        <v>8</v>
      </c>
      <c r="BV55">
        <v>0</v>
      </c>
      <c r="BX55">
        <v>4</v>
      </c>
      <c r="BY55" t="s">
        <v>189</v>
      </c>
      <c r="BZ55">
        <v>4</v>
      </c>
      <c r="CA55">
        <v>7</v>
      </c>
      <c r="CB55" t="s">
        <v>84</v>
      </c>
      <c r="CC55" t="s">
        <v>84</v>
      </c>
      <c r="CD55" t="s">
        <v>334</v>
      </c>
      <c r="CE55" t="s">
        <v>4250</v>
      </c>
      <c r="CF55" t="s">
        <v>1948</v>
      </c>
      <c r="CG55" t="s">
        <v>907</v>
      </c>
      <c r="CH55">
        <v>1</v>
      </c>
      <c r="CI55" t="s">
        <v>84</v>
      </c>
      <c r="CJ55" t="s">
        <v>336</v>
      </c>
      <c r="CK55" t="s">
        <v>289</v>
      </c>
      <c r="CL55" t="s">
        <v>1040</v>
      </c>
      <c r="CM55" t="s">
        <v>193</v>
      </c>
      <c r="CN55" t="s">
        <v>3874</v>
      </c>
      <c r="CO55" t="s">
        <v>95</v>
      </c>
      <c r="CP55" t="s">
        <v>907</v>
      </c>
      <c r="CQ55" t="s">
        <v>116</v>
      </c>
      <c r="CR55" t="s">
        <v>84</v>
      </c>
      <c r="CS55" t="s">
        <v>117</v>
      </c>
      <c r="CT55" t="s">
        <v>163</v>
      </c>
      <c r="CU55" t="s">
        <v>438</v>
      </c>
      <c r="CV55" t="s">
        <v>907</v>
      </c>
      <c r="CW55" t="s">
        <v>907</v>
      </c>
      <c r="CX55" t="s">
        <v>290</v>
      </c>
      <c r="CY55" t="s">
        <v>907</v>
      </c>
      <c r="CZ55" t="s">
        <v>907</v>
      </c>
      <c r="DA55" t="s">
        <v>907</v>
      </c>
      <c r="DB55" t="s">
        <v>907</v>
      </c>
      <c r="DC55" t="s">
        <v>907</v>
      </c>
      <c r="DD55" t="s">
        <v>907</v>
      </c>
      <c r="DE55" t="s">
        <v>907</v>
      </c>
      <c r="DF55" t="s">
        <v>907</v>
      </c>
      <c r="DG55" t="s">
        <v>95</v>
      </c>
      <c r="DH55" t="s">
        <v>95</v>
      </c>
      <c r="DI55" t="s">
        <v>907</v>
      </c>
      <c r="DJ55" t="s">
        <v>907</v>
      </c>
      <c r="DK55" t="s">
        <v>907</v>
      </c>
      <c r="DL55" t="s">
        <v>907</v>
      </c>
      <c r="DM55" t="s">
        <v>291</v>
      </c>
      <c r="DN55" t="s">
        <v>907</v>
      </c>
      <c r="DO55" t="s">
        <v>907</v>
      </c>
      <c r="DP55">
        <v>3</v>
      </c>
      <c r="DQ55" t="s">
        <v>128</v>
      </c>
      <c r="DR55" t="s">
        <v>907</v>
      </c>
      <c r="DS55" t="s">
        <v>270</v>
      </c>
      <c r="DT55" t="s">
        <v>1949</v>
      </c>
      <c r="DU55" t="s">
        <v>95</v>
      </c>
      <c r="DV55" t="s">
        <v>907</v>
      </c>
      <c r="DW55" t="s">
        <v>907</v>
      </c>
      <c r="DX55" t="s">
        <v>907</v>
      </c>
      <c r="FQ55">
        <v>566859634</v>
      </c>
      <c r="FR55" t="s">
        <v>1950</v>
      </c>
      <c r="FS55" s="1">
        <v>45925.727002314823</v>
      </c>
      <c r="FV55" t="s">
        <v>134</v>
      </c>
      <c r="FW55" t="s">
        <v>135</v>
      </c>
      <c r="FX55" t="s">
        <v>136</v>
      </c>
      <c r="FZ55">
        <v>291</v>
      </c>
    </row>
    <row r="56" spans="1:182" hidden="1" x14ac:dyDescent="0.3">
      <c r="A56" s="1">
        <v>45926.506453877308</v>
      </c>
      <c r="B56" s="1">
        <v>45926.521562210648</v>
      </c>
      <c r="D56" t="s">
        <v>84</v>
      </c>
      <c r="E56" t="s">
        <v>297</v>
      </c>
      <c r="F56" t="s">
        <v>3112</v>
      </c>
      <c r="G56" t="s">
        <v>176</v>
      </c>
      <c r="H56" t="s">
        <v>4121</v>
      </c>
      <c r="I56">
        <v>0</v>
      </c>
      <c r="J56" t="s">
        <v>3113</v>
      </c>
      <c r="K56" t="s">
        <v>90</v>
      </c>
      <c r="L56" t="s">
        <v>3114</v>
      </c>
      <c r="M56" t="s">
        <v>1871</v>
      </c>
      <c r="N56" t="s">
        <v>3115</v>
      </c>
      <c r="O56">
        <v>-15.247554900000001</v>
      </c>
      <c r="P56" t="s">
        <v>94</v>
      </c>
      <c r="Q56">
        <v>1031.00732421875</v>
      </c>
      <c r="R56">
        <v>4.6319999999999997</v>
      </c>
      <c r="S56" t="s">
        <v>84</v>
      </c>
      <c r="T56" t="s">
        <v>94</v>
      </c>
      <c r="U56">
        <v>1</v>
      </c>
      <c r="V56" t="s">
        <v>95</v>
      </c>
      <c r="W56" t="s">
        <v>907</v>
      </c>
      <c r="X56">
        <v>15</v>
      </c>
      <c r="Y56">
        <v>25</v>
      </c>
      <c r="Z56">
        <v>3</v>
      </c>
      <c r="AA56" t="s">
        <v>504</v>
      </c>
      <c r="AB56" t="s">
        <v>97</v>
      </c>
      <c r="AC56" t="s">
        <v>98</v>
      </c>
      <c r="AD56" t="s">
        <v>145</v>
      </c>
      <c r="AE56" t="s">
        <v>101</v>
      </c>
      <c r="AF56" t="s">
        <v>907</v>
      </c>
      <c r="AG56">
        <v>2000</v>
      </c>
      <c r="AH56" t="s">
        <v>3873</v>
      </c>
      <c r="AI56" t="s">
        <v>907</v>
      </c>
      <c r="AJ56" t="s">
        <v>907</v>
      </c>
      <c r="AK56" t="s">
        <v>148</v>
      </c>
      <c r="AL56" t="s">
        <v>907</v>
      </c>
      <c r="AM56" t="s">
        <v>4130</v>
      </c>
      <c r="AN56" t="s">
        <v>907</v>
      </c>
      <c r="AQ56" t="s">
        <v>466</v>
      </c>
      <c r="AR56" t="s">
        <v>95</v>
      </c>
      <c r="AS56">
        <v>0</v>
      </c>
      <c r="AT56">
        <v>0</v>
      </c>
      <c r="AU56">
        <v>0</v>
      </c>
      <c r="AV56">
        <v>0</v>
      </c>
      <c r="AW56">
        <v>0</v>
      </c>
      <c r="AX56">
        <v>0</v>
      </c>
      <c r="AY56">
        <v>0</v>
      </c>
      <c r="AZ56" t="s">
        <v>284</v>
      </c>
      <c r="BA56" t="s">
        <v>95</v>
      </c>
      <c r="BB56" t="s">
        <v>154</v>
      </c>
      <c r="BC56" t="s">
        <v>907</v>
      </c>
      <c r="BD56" t="s">
        <v>107</v>
      </c>
      <c r="BE56" t="s">
        <v>258</v>
      </c>
      <c r="BF56" t="s">
        <v>3116</v>
      </c>
      <c r="BG56" t="s">
        <v>156</v>
      </c>
      <c r="BH56">
        <v>38</v>
      </c>
      <c r="BL56">
        <v>14</v>
      </c>
      <c r="BN56">
        <v>1</v>
      </c>
      <c r="BP56">
        <v>4</v>
      </c>
      <c r="BR56">
        <v>4</v>
      </c>
      <c r="BT56">
        <v>3</v>
      </c>
      <c r="BV56">
        <v>3</v>
      </c>
      <c r="BX56">
        <v>9</v>
      </c>
      <c r="BY56" t="s">
        <v>189</v>
      </c>
      <c r="BZ56">
        <v>6</v>
      </c>
      <c r="CA56">
        <v>3</v>
      </c>
      <c r="CB56" t="s">
        <v>84</v>
      </c>
      <c r="CC56" t="s">
        <v>84</v>
      </c>
      <c r="CD56" t="s">
        <v>3117</v>
      </c>
      <c r="CE56" t="s">
        <v>4252</v>
      </c>
      <c r="CF56" t="s">
        <v>3118</v>
      </c>
      <c r="CG56" t="s">
        <v>907</v>
      </c>
      <c r="CH56">
        <v>1</v>
      </c>
      <c r="CI56" t="s">
        <v>84</v>
      </c>
      <c r="CJ56" t="s">
        <v>586</v>
      </c>
      <c r="CK56" t="s">
        <v>289</v>
      </c>
      <c r="CL56" t="s">
        <v>1196</v>
      </c>
      <c r="CM56" t="s">
        <v>193</v>
      </c>
      <c r="CN56" t="s">
        <v>4049</v>
      </c>
      <c r="CO56" t="s">
        <v>95</v>
      </c>
      <c r="CP56" t="s">
        <v>907</v>
      </c>
      <c r="CQ56" t="s">
        <v>116</v>
      </c>
      <c r="CR56" t="s">
        <v>84</v>
      </c>
      <c r="CS56" t="s">
        <v>117</v>
      </c>
      <c r="CT56" t="s">
        <v>264</v>
      </c>
      <c r="CU56" t="s">
        <v>793</v>
      </c>
      <c r="CV56" t="s">
        <v>812</v>
      </c>
      <c r="CW56" t="s">
        <v>907</v>
      </c>
      <c r="CX56" t="s">
        <v>166</v>
      </c>
      <c r="CY56" t="s">
        <v>167</v>
      </c>
      <c r="CZ56" t="s">
        <v>3066</v>
      </c>
      <c r="DA56">
        <v>2</v>
      </c>
      <c r="DB56" s="10">
        <v>15500</v>
      </c>
      <c r="DC56" t="s">
        <v>123</v>
      </c>
      <c r="DD56" t="s">
        <v>3119</v>
      </c>
      <c r="DE56">
        <v>3</v>
      </c>
      <c r="DF56">
        <v>15</v>
      </c>
      <c r="DG56" t="s">
        <v>95</v>
      </c>
      <c r="DH56" t="s">
        <v>95</v>
      </c>
      <c r="DI56" t="s">
        <v>907</v>
      </c>
      <c r="DJ56" t="s">
        <v>907</v>
      </c>
      <c r="DK56" t="s">
        <v>907</v>
      </c>
      <c r="DL56" t="s">
        <v>907</v>
      </c>
      <c r="DM56" t="s">
        <v>291</v>
      </c>
      <c r="DN56" t="s">
        <v>907</v>
      </c>
      <c r="DO56" t="s">
        <v>907</v>
      </c>
      <c r="DP56">
        <v>13</v>
      </c>
      <c r="DQ56" t="s">
        <v>441</v>
      </c>
      <c r="DR56" t="s">
        <v>907</v>
      </c>
      <c r="DS56" t="s">
        <v>3120</v>
      </c>
      <c r="DT56" t="s">
        <v>3121</v>
      </c>
      <c r="DU56" t="s">
        <v>84</v>
      </c>
      <c r="DV56" t="s">
        <v>864</v>
      </c>
      <c r="DW56" t="s">
        <v>3122</v>
      </c>
      <c r="DX56" t="s">
        <v>95</v>
      </c>
      <c r="FQ56">
        <v>567958308</v>
      </c>
      <c r="FR56" t="s">
        <v>3123</v>
      </c>
      <c r="FS56" s="1">
        <v>45927.345254629632</v>
      </c>
      <c r="FV56" t="s">
        <v>134</v>
      </c>
      <c r="FW56" t="s">
        <v>135</v>
      </c>
      <c r="FX56" t="s">
        <v>136</v>
      </c>
      <c r="FZ56">
        <v>450</v>
      </c>
    </row>
    <row r="57" spans="1:182" x14ac:dyDescent="0.3">
      <c r="A57" s="1">
        <v>45925.505766273149</v>
      </c>
      <c r="B57" s="1">
        <v>45925.526221006941</v>
      </c>
      <c r="D57" t="s">
        <v>84</v>
      </c>
      <c r="E57" t="s">
        <v>297</v>
      </c>
      <c r="F57" t="s">
        <v>2632</v>
      </c>
      <c r="G57" t="s">
        <v>176</v>
      </c>
      <c r="H57" t="s">
        <v>4122</v>
      </c>
      <c r="I57" t="s">
        <v>2633</v>
      </c>
      <c r="J57" t="s">
        <v>2634</v>
      </c>
      <c r="K57" t="s">
        <v>90</v>
      </c>
      <c r="L57" t="s">
        <v>2635</v>
      </c>
      <c r="M57" t="s">
        <v>1871</v>
      </c>
      <c r="N57" t="s">
        <v>2636</v>
      </c>
      <c r="O57">
        <v>-15.197541899999999</v>
      </c>
      <c r="P57">
        <v>22.973489900000001</v>
      </c>
      <c r="Q57">
        <v>1023.595703125</v>
      </c>
      <c r="R57">
        <v>11.079000000000001</v>
      </c>
      <c r="S57" t="s">
        <v>84</v>
      </c>
      <c r="T57" t="s">
        <v>94</v>
      </c>
      <c r="U57">
        <v>9</v>
      </c>
      <c r="V57" t="s">
        <v>95</v>
      </c>
      <c r="W57" t="s">
        <v>907</v>
      </c>
      <c r="X57">
        <v>20</v>
      </c>
      <c r="Y57">
        <v>5</v>
      </c>
      <c r="Z57">
        <v>2</v>
      </c>
      <c r="AA57" t="s">
        <v>96</v>
      </c>
      <c r="AB57" t="s">
        <v>351</v>
      </c>
      <c r="AC57" t="s">
        <v>98</v>
      </c>
      <c r="AD57" t="s">
        <v>280</v>
      </c>
      <c r="AE57" t="s">
        <v>100</v>
      </c>
      <c r="AF57" t="s">
        <v>907</v>
      </c>
      <c r="AG57">
        <v>500</v>
      </c>
      <c r="AH57" t="s">
        <v>101</v>
      </c>
      <c r="AI57" t="s">
        <v>907</v>
      </c>
      <c r="AJ57" s="5">
        <v>1500</v>
      </c>
      <c r="AK57" t="s">
        <v>102</v>
      </c>
      <c r="AL57" t="s">
        <v>907</v>
      </c>
      <c r="AM57" t="s">
        <v>466</v>
      </c>
      <c r="AN57" t="s">
        <v>907</v>
      </c>
      <c r="AO57" t="s">
        <v>267</v>
      </c>
      <c r="AP57" t="s">
        <v>2637</v>
      </c>
      <c r="AQ57" t="s">
        <v>466</v>
      </c>
      <c r="AR57" t="s">
        <v>95</v>
      </c>
      <c r="AS57">
        <v>0</v>
      </c>
      <c r="AT57">
        <v>0</v>
      </c>
      <c r="AU57">
        <v>0</v>
      </c>
      <c r="AV57">
        <v>5</v>
      </c>
      <c r="AW57">
        <v>0</v>
      </c>
      <c r="AX57">
        <v>0</v>
      </c>
      <c r="AY57">
        <v>0</v>
      </c>
      <c r="AZ57" t="s">
        <v>284</v>
      </c>
      <c r="BA57" t="s">
        <v>95</v>
      </c>
      <c r="BB57" t="s">
        <v>154</v>
      </c>
      <c r="BC57" t="s">
        <v>907</v>
      </c>
      <c r="BD57" t="s">
        <v>107</v>
      </c>
      <c r="BE57" t="s">
        <v>258</v>
      </c>
      <c r="BF57" t="s">
        <v>4005</v>
      </c>
      <c r="BG57" t="s">
        <v>790</v>
      </c>
      <c r="BH57">
        <v>26</v>
      </c>
      <c r="BL57">
        <v>16</v>
      </c>
      <c r="BN57">
        <v>2</v>
      </c>
      <c r="BR57">
        <v>0</v>
      </c>
      <c r="BT57">
        <v>1</v>
      </c>
      <c r="BV57">
        <v>0</v>
      </c>
      <c r="BX57">
        <v>7</v>
      </c>
      <c r="BY57" t="s">
        <v>189</v>
      </c>
      <c r="BZ57">
        <v>1</v>
      </c>
      <c r="CA57">
        <v>14</v>
      </c>
      <c r="CB57" t="s">
        <v>84</v>
      </c>
      <c r="CC57" t="s">
        <v>84</v>
      </c>
      <c r="CD57" t="s">
        <v>2638</v>
      </c>
      <c r="CE57" t="s">
        <v>4251</v>
      </c>
      <c r="CF57" t="s">
        <v>2524</v>
      </c>
      <c r="CG57" t="s">
        <v>907</v>
      </c>
      <c r="CH57">
        <v>1</v>
      </c>
      <c r="CI57" t="s">
        <v>84</v>
      </c>
      <c r="CJ57" t="s">
        <v>262</v>
      </c>
      <c r="CK57" t="s">
        <v>289</v>
      </c>
      <c r="CL57" t="s">
        <v>2049</v>
      </c>
      <c r="CM57" t="s">
        <v>193</v>
      </c>
      <c r="CN57" t="s">
        <v>421</v>
      </c>
      <c r="CO57" t="s">
        <v>95</v>
      </c>
      <c r="CP57" t="s">
        <v>907</v>
      </c>
      <c r="CQ57" t="s">
        <v>116</v>
      </c>
      <c r="CR57" t="s">
        <v>84</v>
      </c>
      <c r="CS57" t="s">
        <v>117</v>
      </c>
      <c r="CT57" t="s">
        <v>264</v>
      </c>
      <c r="CU57" t="s">
        <v>438</v>
      </c>
      <c r="CV57" t="s">
        <v>119</v>
      </c>
      <c r="CW57" t="s">
        <v>1457</v>
      </c>
      <c r="CX57" t="s">
        <v>166</v>
      </c>
      <c r="CY57" t="s">
        <v>167</v>
      </c>
      <c r="CZ57" t="s">
        <v>530</v>
      </c>
      <c r="DA57">
        <v>4</v>
      </c>
      <c r="DB57" s="10">
        <v>16500</v>
      </c>
      <c r="DC57" t="s">
        <v>169</v>
      </c>
      <c r="DD57" t="s">
        <v>907</v>
      </c>
      <c r="DE57">
        <v>2</v>
      </c>
      <c r="DF57">
        <v>15</v>
      </c>
      <c r="DG57" t="s">
        <v>95</v>
      </c>
      <c r="DH57" t="s">
        <v>95</v>
      </c>
      <c r="DI57" t="s">
        <v>907</v>
      </c>
      <c r="DJ57" t="s">
        <v>907</v>
      </c>
      <c r="DK57" t="s">
        <v>907</v>
      </c>
      <c r="DL57" t="s">
        <v>907</v>
      </c>
      <c r="DM57" t="s">
        <v>291</v>
      </c>
      <c r="DN57" t="s">
        <v>907</v>
      </c>
      <c r="DO57" t="s">
        <v>907</v>
      </c>
      <c r="DP57">
        <v>16</v>
      </c>
      <c r="DQ57" t="s">
        <v>441</v>
      </c>
      <c r="DR57" t="s">
        <v>907</v>
      </c>
      <c r="DS57" t="s">
        <v>2639</v>
      </c>
      <c r="DT57" t="s">
        <v>173</v>
      </c>
      <c r="DU57" t="s">
        <v>95</v>
      </c>
      <c r="DV57" t="s">
        <v>907</v>
      </c>
      <c r="DW57" t="s">
        <v>907</v>
      </c>
      <c r="DX57" t="s">
        <v>907</v>
      </c>
      <c r="FQ57">
        <v>567124724</v>
      </c>
      <c r="FR57" t="s">
        <v>2640</v>
      </c>
      <c r="FS57" s="1">
        <v>45926.220254629632</v>
      </c>
      <c r="FV57" t="s">
        <v>134</v>
      </c>
      <c r="FW57" t="s">
        <v>135</v>
      </c>
      <c r="FX57" t="s">
        <v>136</v>
      </c>
      <c r="FZ57">
        <v>387</v>
      </c>
    </row>
    <row r="58" spans="1:182" hidden="1" x14ac:dyDescent="0.3">
      <c r="A58" s="1">
        <v>45926.468747581021</v>
      </c>
      <c r="B58" s="1">
        <v>45926.485745891201</v>
      </c>
      <c r="D58" t="s">
        <v>84</v>
      </c>
      <c r="E58" t="s">
        <v>297</v>
      </c>
      <c r="F58" t="s">
        <v>3061</v>
      </c>
      <c r="G58" t="s">
        <v>176</v>
      </c>
      <c r="H58" t="s">
        <v>4122</v>
      </c>
      <c r="I58" t="s">
        <v>3062</v>
      </c>
      <c r="J58" t="s">
        <v>3063</v>
      </c>
      <c r="K58" t="s">
        <v>90</v>
      </c>
      <c r="L58" t="s">
        <v>3064</v>
      </c>
      <c r="M58" t="s">
        <v>1871</v>
      </c>
      <c r="N58" t="s">
        <v>3065</v>
      </c>
      <c r="O58">
        <v>-15.247629999999999</v>
      </c>
      <c r="P58">
        <v>22.961566699999999</v>
      </c>
      <c r="Q58">
        <v>1014.9</v>
      </c>
      <c r="R58">
        <v>4.883</v>
      </c>
      <c r="S58" t="s">
        <v>84</v>
      </c>
      <c r="T58" t="s">
        <v>94</v>
      </c>
      <c r="U58">
        <v>10</v>
      </c>
      <c r="V58" t="s">
        <v>95</v>
      </c>
      <c r="W58" t="s">
        <v>907</v>
      </c>
      <c r="X58">
        <v>15</v>
      </c>
      <c r="Y58">
        <v>9</v>
      </c>
      <c r="Z58">
        <v>2</v>
      </c>
      <c r="AA58" t="s">
        <v>96</v>
      </c>
      <c r="AB58" t="s">
        <v>97</v>
      </c>
      <c r="AC58" t="s">
        <v>144</v>
      </c>
      <c r="AD58" t="s">
        <v>280</v>
      </c>
      <c r="AE58" t="s">
        <v>101</v>
      </c>
      <c r="AF58" t="s">
        <v>907</v>
      </c>
      <c r="AG58">
        <v>1500</v>
      </c>
      <c r="AH58" t="s">
        <v>953</v>
      </c>
      <c r="AI58" t="s">
        <v>907</v>
      </c>
      <c r="AJ58" s="6">
        <v>3000</v>
      </c>
      <c r="AK58" t="s">
        <v>102</v>
      </c>
      <c r="AL58" t="s">
        <v>907</v>
      </c>
      <c r="AM58" t="s">
        <v>4130</v>
      </c>
      <c r="AN58" t="s">
        <v>907</v>
      </c>
      <c r="AQ58" t="s">
        <v>956</v>
      </c>
      <c r="AR58" t="s">
        <v>95</v>
      </c>
      <c r="AS58">
        <v>0</v>
      </c>
      <c r="AT58">
        <v>0</v>
      </c>
      <c r="AU58">
        <v>0</v>
      </c>
      <c r="AV58">
        <v>0</v>
      </c>
      <c r="AW58">
        <v>0</v>
      </c>
      <c r="AX58">
        <v>0</v>
      </c>
      <c r="AY58">
        <v>0</v>
      </c>
      <c r="AZ58" t="s">
        <v>284</v>
      </c>
      <c r="BA58" t="s">
        <v>95</v>
      </c>
      <c r="BB58" t="s">
        <v>154</v>
      </c>
      <c r="BC58" t="s">
        <v>907</v>
      </c>
      <c r="BD58" t="s">
        <v>107</v>
      </c>
      <c r="BE58" t="s">
        <v>258</v>
      </c>
      <c r="BF58" t="s">
        <v>2222</v>
      </c>
      <c r="BG58" t="s">
        <v>156</v>
      </c>
      <c r="BH58">
        <v>130</v>
      </c>
      <c r="BL58">
        <v>60</v>
      </c>
      <c r="BN58">
        <v>4</v>
      </c>
      <c r="BP58">
        <v>20</v>
      </c>
      <c r="BR58">
        <v>10</v>
      </c>
      <c r="BT58">
        <v>4</v>
      </c>
      <c r="BV58">
        <v>12</v>
      </c>
      <c r="BX58">
        <v>20</v>
      </c>
      <c r="BY58" t="s">
        <v>189</v>
      </c>
      <c r="BZ58">
        <v>4</v>
      </c>
      <c r="CA58">
        <v>30</v>
      </c>
      <c r="CB58" t="s">
        <v>84</v>
      </c>
      <c r="CC58" t="s">
        <v>84</v>
      </c>
      <c r="CD58" t="s">
        <v>943</v>
      </c>
      <c r="CE58" t="s">
        <v>4252</v>
      </c>
      <c r="CF58" t="s">
        <v>4043</v>
      </c>
      <c r="CG58" t="s">
        <v>907</v>
      </c>
      <c r="CH58">
        <v>1</v>
      </c>
      <c r="CI58" t="s">
        <v>95</v>
      </c>
      <c r="CJ58" t="s">
        <v>907</v>
      </c>
      <c r="CK58" t="s">
        <v>289</v>
      </c>
      <c r="CL58" t="s">
        <v>1053</v>
      </c>
      <c r="CM58" t="s">
        <v>193</v>
      </c>
      <c r="CN58" t="s">
        <v>421</v>
      </c>
      <c r="CO58" t="s">
        <v>95</v>
      </c>
      <c r="CP58" t="s">
        <v>907</v>
      </c>
      <c r="CQ58" t="s">
        <v>116</v>
      </c>
      <c r="CR58" t="s">
        <v>84</v>
      </c>
      <c r="CS58" t="s">
        <v>117</v>
      </c>
      <c r="CT58" t="s">
        <v>264</v>
      </c>
      <c r="CU58" t="s">
        <v>3869</v>
      </c>
      <c r="CV58" t="s">
        <v>812</v>
      </c>
      <c r="CW58" t="s">
        <v>907</v>
      </c>
      <c r="CX58" t="s">
        <v>166</v>
      </c>
      <c r="CY58" t="s">
        <v>167</v>
      </c>
      <c r="CZ58" t="s">
        <v>3066</v>
      </c>
      <c r="DA58">
        <v>4</v>
      </c>
      <c r="DB58" s="10">
        <v>24300</v>
      </c>
      <c r="DC58" t="s">
        <v>123</v>
      </c>
      <c r="DD58" t="s">
        <v>3067</v>
      </c>
      <c r="DE58">
        <v>1</v>
      </c>
      <c r="DF58">
        <v>15</v>
      </c>
      <c r="DG58" t="s">
        <v>95</v>
      </c>
      <c r="DH58" t="s">
        <v>95</v>
      </c>
      <c r="DI58" t="s">
        <v>907</v>
      </c>
      <c r="DJ58" t="s">
        <v>907</v>
      </c>
      <c r="DK58" t="s">
        <v>907</v>
      </c>
      <c r="DL58" t="s">
        <v>907</v>
      </c>
      <c r="DM58" t="s">
        <v>291</v>
      </c>
      <c r="DN58" t="s">
        <v>907</v>
      </c>
      <c r="DO58" t="s">
        <v>907</v>
      </c>
      <c r="DP58">
        <v>20</v>
      </c>
      <c r="DQ58" t="s">
        <v>441</v>
      </c>
      <c r="DR58" t="s">
        <v>907</v>
      </c>
      <c r="DS58" t="s">
        <v>3068</v>
      </c>
      <c r="DT58" t="s">
        <v>2486</v>
      </c>
      <c r="DU58" t="s">
        <v>95</v>
      </c>
      <c r="DV58" t="s">
        <v>907</v>
      </c>
      <c r="DW58" t="s">
        <v>907</v>
      </c>
      <c r="DX58" t="s">
        <v>907</v>
      </c>
      <c r="FQ58">
        <v>567957937</v>
      </c>
      <c r="FR58" t="s">
        <v>3069</v>
      </c>
      <c r="FS58" s="1">
        <v>45927.34447916667</v>
      </c>
      <c r="FV58" t="s">
        <v>134</v>
      </c>
      <c r="FW58" t="s">
        <v>135</v>
      </c>
      <c r="FX58" t="s">
        <v>136</v>
      </c>
      <c r="FZ58">
        <v>444</v>
      </c>
    </row>
    <row r="59" spans="1:182" hidden="1" x14ac:dyDescent="0.3">
      <c r="A59" s="1">
        <v>45923.399922673612</v>
      </c>
      <c r="B59" s="1">
        <v>45923.428197835638</v>
      </c>
      <c r="D59" t="s">
        <v>84</v>
      </c>
      <c r="E59" t="s">
        <v>245</v>
      </c>
      <c r="F59" t="s">
        <v>273</v>
      </c>
      <c r="G59" t="s">
        <v>87</v>
      </c>
      <c r="H59" t="s">
        <v>4122</v>
      </c>
      <c r="I59" t="s">
        <v>274</v>
      </c>
      <c r="J59" t="s">
        <v>275</v>
      </c>
      <c r="K59" t="s">
        <v>90</v>
      </c>
      <c r="L59" t="s">
        <v>276</v>
      </c>
      <c r="M59" t="s">
        <v>277</v>
      </c>
      <c r="N59" t="s">
        <v>278</v>
      </c>
      <c r="O59">
        <v>-15.4403767</v>
      </c>
      <c r="P59">
        <v>23.216996699999999</v>
      </c>
      <c r="Q59">
        <v>997.9</v>
      </c>
      <c r="R59">
        <v>6.6159999999999997</v>
      </c>
      <c r="S59" t="s">
        <v>84</v>
      </c>
      <c r="T59" t="s">
        <v>182</v>
      </c>
      <c r="U59">
        <v>6</v>
      </c>
      <c r="V59" t="s">
        <v>95</v>
      </c>
      <c r="W59" t="s">
        <v>907</v>
      </c>
      <c r="X59">
        <v>50</v>
      </c>
      <c r="Y59">
        <v>5</v>
      </c>
      <c r="Z59">
        <v>1.2</v>
      </c>
      <c r="AA59" t="s">
        <v>279</v>
      </c>
      <c r="AB59" t="s">
        <v>97</v>
      </c>
      <c r="AC59" t="s">
        <v>144</v>
      </c>
      <c r="AD59" t="s">
        <v>280</v>
      </c>
      <c r="AE59" t="s">
        <v>100</v>
      </c>
      <c r="AF59" t="s">
        <v>907</v>
      </c>
      <c r="AG59">
        <v>4400</v>
      </c>
      <c r="AH59" t="s">
        <v>3873</v>
      </c>
      <c r="AI59" t="s">
        <v>907</v>
      </c>
      <c r="AJ59" t="s">
        <v>907</v>
      </c>
      <c r="AK59" t="s">
        <v>102</v>
      </c>
      <c r="AL59" t="s">
        <v>907</v>
      </c>
      <c r="AM59" t="s">
        <v>253</v>
      </c>
      <c r="AN59" t="s">
        <v>907</v>
      </c>
      <c r="AO59" t="s">
        <v>281</v>
      </c>
      <c r="AP59" t="s">
        <v>282</v>
      </c>
      <c r="AQ59" t="s">
        <v>283</v>
      </c>
      <c r="AR59" t="s">
        <v>95</v>
      </c>
      <c r="AS59">
        <v>0</v>
      </c>
      <c r="AT59">
        <v>4</v>
      </c>
      <c r="AU59">
        <v>0</v>
      </c>
      <c r="AV59">
        <v>0</v>
      </c>
      <c r="AW59">
        <v>42</v>
      </c>
      <c r="AX59">
        <v>0</v>
      </c>
      <c r="AY59">
        <v>0</v>
      </c>
      <c r="AZ59" t="s">
        <v>284</v>
      </c>
      <c r="BA59" t="s">
        <v>95</v>
      </c>
      <c r="BB59" t="s">
        <v>154</v>
      </c>
      <c r="BC59" t="s">
        <v>907</v>
      </c>
      <c r="BD59" t="s">
        <v>285</v>
      </c>
      <c r="BE59" t="s">
        <v>258</v>
      </c>
      <c r="BF59" t="s">
        <v>286</v>
      </c>
      <c r="BG59" t="s">
        <v>235</v>
      </c>
      <c r="BH59">
        <v>2</v>
      </c>
      <c r="BL59">
        <v>0</v>
      </c>
      <c r="BN59">
        <v>0</v>
      </c>
      <c r="BP59">
        <v>0</v>
      </c>
      <c r="BR59">
        <v>0</v>
      </c>
      <c r="BT59">
        <v>2</v>
      </c>
      <c r="BV59">
        <v>0</v>
      </c>
      <c r="BX59">
        <v>0</v>
      </c>
      <c r="BY59" t="s">
        <v>110</v>
      </c>
      <c r="BZ59" t="s">
        <v>907</v>
      </c>
      <c r="CA59" t="s">
        <v>907</v>
      </c>
      <c r="CB59" t="s">
        <v>84</v>
      </c>
      <c r="CC59" t="s">
        <v>84</v>
      </c>
      <c r="CD59" t="s">
        <v>287</v>
      </c>
      <c r="CE59" t="s">
        <v>4250</v>
      </c>
      <c r="CF59" t="s">
        <v>288</v>
      </c>
      <c r="CG59" t="s">
        <v>907</v>
      </c>
      <c r="CH59">
        <v>1</v>
      </c>
      <c r="CI59" t="s">
        <v>84</v>
      </c>
      <c r="CJ59" t="s">
        <v>262</v>
      </c>
      <c r="CK59" t="s">
        <v>289</v>
      </c>
      <c r="CL59" t="s">
        <v>4262</v>
      </c>
      <c r="CM59" t="s">
        <v>193</v>
      </c>
      <c r="CN59" t="s">
        <v>194</v>
      </c>
      <c r="CO59" t="s">
        <v>95</v>
      </c>
      <c r="CP59" t="s">
        <v>907</v>
      </c>
      <c r="CQ59" t="s">
        <v>116</v>
      </c>
      <c r="CR59" t="s">
        <v>84</v>
      </c>
      <c r="CS59" t="s">
        <v>117</v>
      </c>
      <c r="CT59" t="s">
        <v>264</v>
      </c>
      <c r="CU59" t="s">
        <v>3869</v>
      </c>
      <c r="CV59" t="s">
        <v>119</v>
      </c>
      <c r="CW59" t="s">
        <v>196</v>
      </c>
      <c r="CX59" t="s">
        <v>290</v>
      </c>
      <c r="CY59" t="s">
        <v>907</v>
      </c>
      <c r="CZ59" t="s">
        <v>907</v>
      </c>
      <c r="DA59" t="s">
        <v>907</v>
      </c>
      <c r="DB59" t="s">
        <v>907</v>
      </c>
      <c r="DC59" t="s">
        <v>907</v>
      </c>
      <c r="DD59" t="s">
        <v>907</v>
      </c>
      <c r="DE59" t="s">
        <v>907</v>
      </c>
      <c r="DF59" t="s">
        <v>907</v>
      </c>
      <c r="DG59" t="s">
        <v>95</v>
      </c>
      <c r="DH59" t="s">
        <v>95</v>
      </c>
      <c r="DI59" t="s">
        <v>907</v>
      </c>
      <c r="DJ59" t="s">
        <v>907</v>
      </c>
      <c r="DK59" t="s">
        <v>907</v>
      </c>
      <c r="DL59" t="s">
        <v>907</v>
      </c>
      <c r="DM59" t="s">
        <v>291</v>
      </c>
      <c r="DN59" t="s">
        <v>907</v>
      </c>
      <c r="DO59" t="s">
        <v>907</v>
      </c>
      <c r="DP59">
        <v>3</v>
      </c>
      <c r="DQ59" t="s">
        <v>128</v>
      </c>
      <c r="DR59" t="s">
        <v>907</v>
      </c>
      <c r="DS59" t="s">
        <v>292</v>
      </c>
      <c r="DT59" t="s">
        <v>293</v>
      </c>
      <c r="DU59" t="s">
        <v>84</v>
      </c>
      <c r="DV59" t="s">
        <v>294</v>
      </c>
      <c r="DW59" t="s">
        <v>295</v>
      </c>
      <c r="DX59" t="s">
        <v>84</v>
      </c>
      <c r="FQ59">
        <v>565200882</v>
      </c>
      <c r="FR59" t="s">
        <v>296</v>
      </c>
      <c r="FS59" s="1">
        <v>45923.772986111107</v>
      </c>
      <c r="FV59" t="s">
        <v>134</v>
      </c>
      <c r="FW59" t="s">
        <v>135</v>
      </c>
      <c r="FX59" t="s">
        <v>136</v>
      </c>
      <c r="FZ59">
        <v>95</v>
      </c>
    </row>
    <row r="60" spans="1:182" hidden="1" x14ac:dyDescent="0.3">
      <c r="A60" s="1">
        <v>45926.379834861109</v>
      </c>
      <c r="B60" s="1">
        <v>45926.427363819443</v>
      </c>
      <c r="D60" t="s">
        <v>84</v>
      </c>
      <c r="E60" t="s">
        <v>901</v>
      </c>
      <c r="F60" t="s">
        <v>2793</v>
      </c>
      <c r="G60" t="s">
        <v>176</v>
      </c>
      <c r="H60" t="s">
        <v>4122</v>
      </c>
      <c r="I60" t="s">
        <v>2794</v>
      </c>
      <c r="J60" t="s">
        <v>2795</v>
      </c>
      <c r="K60" t="s">
        <v>90</v>
      </c>
      <c r="L60" t="s">
        <v>2796</v>
      </c>
      <c r="M60" t="s">
        <v>1883</v>
      </c>
      <c r="N60" t="s">
        <v>2797</v>
      </c>
      <c r="O60">
        <v>-15.1968356</v>
      </c>
      <c r="P60">
        <v>22.9536604</v>
      </c>
      <c r="Q60">
        <v>1029.25390625</v>
      </c>
      <c r="R60">
        <v>6.0549999999999997</v>
      </c>
      <c r="S60" t="s">
        <v>84</v>
      </c>
      <c r="T60" t="s">
        <v>182</v>
      </c>
      <c r="U60">
        <v>9</v>
      </c>
      <c r="V60" t="s">
        <v>95</v>
      </c>
      <c r="W60" t="s">
        <v>907</v>
      </c>
      <c r="X60">
        <v>17</v>
      </c>
      <c r="Y60">
        <v>1.5</v>
      </c>
      <c r="Z60">
        <v>1.5</v>
      </c>
      <c r="AA60" t="s">
        <v>96</v>
      </c>
      <c r="AB60" t="s">
        <v>97</v>
      </c>
      <c r="AC60" t="s">
        <v>98</v>
      </c>
      <c r="AD60" t="s">
        <v>520</v>
      </c>
      <c r="AE60" t="s">
        <v>100</v>
      </c>
      <c r="AF60" t="s">
        <v>907</v>
      </c>
      <c r="AG60">
        <v>1500</v>
      </c>
      <c r="AH60" t="s">
        <v>3873</v>
      </c>
      <c r="AI60" t="s">
        <v>907</v>
      </c>
      <c r="AJ60" t="s">
        <v>907</v>
      </c>
      <c r="AK60" t="s">
        <v>102</v>
      </c>
      <c r="AL60" t="s">
        <v>907</v>
      </c>
      <c r="AM60" t="s">
        <v>2798</v>
      </c>
      <c r="AN60" t="s">
        <v>907</v>
      </c>
      <c r="AO60" t="s">
        <v>2799</v>
      </c>
      <c r="AP60" t="s">
        <v>2800</v>
      </c>
      <c r="AQ60" t="s">
        <v>2801</v>
      </c>
      <c r="AR60" t="s">
        <v>95</v>
      </c>
      <c r="AS60">
        <v>0</v>
      </c>
      <c r="AT60">
        <v>0</v>
      </c>
      <c r="AU60">
        <v>0</v>
      </c>
      <c r="AV60">
        <v>47</v>
      </c>
      <c r="AW60">
        <v>0</v>
      </c>
      <c r="AX60">
        <v>0</v>
      </c>
      <c r="AY60">
        <v>0</v>
      </c>
      <c r="AZ60" t="s">
        <v>153</v>
      </c>
      <c r="BA60" t="s">
        <v>1036</v>
      </c>
      <c r="BB60" t="s">
        <v>308</v>
      </c>
      <c r="BC60" t="s">
        <v>907</v>
      </c>
      <c r="BD60" t="s">
        <v>107</v>
      </c>
      <c r="BE60" t="s">
        <v>363</v>
      </c>
      <c r="BF60" t="s">
        <v>2802</v>
      </c>
      <c r="BG60" t="s">
        <v>235</v>
      </c>
      <c r="BH60">
        <v>113</v>
      </c>
      <c r="BL60">
        <v>52</v>
      </c>
      <c r="BN60">
        <v>3</v>
      </c>
      <c r="BP60">
        <v>20</v>
      </c>
      <c r="BR60">
        <v>0</v>
      </c>
      <c r="BT60">
        <v>5</v>
      </c>
      <c r="BV60">
        <v>2</v>
      </c>
      <c r="BX60">
        <v>31</v>
      </c>
      <c r="BY60" t="s">
        <v>189</v>
      </c>
      <c r="BZ60">
        <v>2</v>
      </c>
      <c r="CA60">
        <v>57</v>
      </c>
      <c r="CB60" t="s">
        <v>84</v>
      </c>
      <c r="CC60" t="s">
        <v>84</v>
      </c>
      <c r="CD60" t="s">
        <v>987</v>
      </c>
      <c r="CE60" t="s">
        <v>1998</v>
      </c>
      <c r="CF60" t="s">
        <v>2803</v>
      </c>
      <c r="CG60" t="s">
        <v>907</v>
      </c>
      <c r="CH60">
        <v>1</v>
      </c>
      <c r="CI60" t="s">
        <v>95</v>
      </c>
      <c r="CJ60" t="s">
        <v>907</v>
      </c>
      <c r="CK60" t="s">
        <v>113</v>
      </c>
      <c r="CL60" t="s">
        <v>263</v>
      </c>
      <c r="CM60" t="s">
        <v>162</v>
      </c>
      <c r="CN60" t="s">
        <v>3874</v>
      </c>
      <c r="CO60" t="s">
        <v>95</v>
      </c>
      <c r="CP60" t="s">
        <v>907</v>
      </c>
      <c r="CQ60" t="s">
        <v>116</v>
      </c>
      <c r="CR60" t="s">
        <v>84</v>
      </c>
      <c r="CS60" t="s">
        <v>117</v>
      </c>
      <c r="CT60" t="s">
        <v>907</v>
      </c>
      <c r="CU60" t="s">
        <v>793</v>
      </c>
      <c r="CV60" t="s">
        <v>119</v>
      </c>
      <c r="CW60" t="s">
        <v>483</v>
      </c>
      <c r="CX60" t="s">
        <v>166</v>
      </c>
      <c r="CY60" t="s">
        <v>167</v>
      </c>
      <c r="CZ60" t="s">
        <v>495</v>
      </c>
      <c r="DA60">
        <v>11</v>
      </c>
      <c r="DB60" s="10">
        <v>130000</v>
      </c>
      <c r="DC60" t="s">
        <v>169</v>
      </c>
      <c r="DD60" t="s">
        <v>907</v>
      </c>
      <c r="DE60">
        <v>2</v>
      </c>
      <c r="DF60">
        <v>20</v>
      </c>
      <c r="DG60" t="s">
        <v>84</v>
      </c>
      <c r="DH60" t="s">
        <v>95</v>
      </c>
      <c r="DI60" t="s">
        <v>907</v>
      </c>
      <c r="DJ60" t="s">
        <v>907</v>
      </c>
      <c r="DK60" t="s">
        <v>907</v>
      </c>
      <c r="DL60" t="s">
        <v>907</v>
      </c>
      <c r="DM60" t="s">
        <v>291</v>
      </c>
      <c r="DN60" t="s">
        <v>907</v>
      </c>
      <c r="DO60" t="s">
        <v>907</v>
      </c>
      <c r="DP60">
        <v>0.5</v>
      </c>
      <c r="DQ60" t="s">
        <v>441</v>
      </c>
      <c r="DR60" t="s">
        <v>907</v>
      </c>
      <c r="DS60" t="s">
        <v>1362</v>
      </c>
      <c r="DT60" t="s">
        <v>612</v>
      </c>
      <c r="DU60" t="s">
        <v>84</v>
      </c>
      <c r="DV60" t="s">
        <v>532</v>
      </c>
      <c r="DW60" t="s">
        <v>1612</v>
      </c>
      <c r="DX60" t="s">
        <v>95</v>
      </c>
      <c r="FQ60">
        <v>567429430</v>
      </c>
      <c r="FR60" t="s">
        <v>2804</v>
      </c>
      <c r="FS60" s="1">
        <v>45926.556168981479</v>
      </c>
      <c r="FV60" t="s">
        <v>134</v>
      </c>
      <c r="FW60" t="s">
        <v>135</v>
      </c>
      <c r="FX60" t="s">
        <v>136</v>
      </c>
      <c r="FZ60">
        <v>403</v>
      </c>
    </row>
    <row r="61" spans="1:182" hidden="1" x14ac:dyDescent="0.3">
      <c r="A61" s="1">
        <v>45929.478195844909</v>
      </c>
      <c r="B61" s="1">
        <v>45929.497210555557</v>
      </c>
      <c r="D61" t="s">
        <v>84</v>
      </c>
      <c r="E61" t="s">
        <v>901</v>
      </c>
      <c r="F61" t="s">
        <v>3419</v>
      </c>
      <c r="G61" t="s">
        <v>176</v>
      </c>
      <c r="H61" t="s">
        <v>4122</v>
      </c>
      <c r="I61" t="s">
        <v>3420</v>
      </c>
      <c r="J61" t="s">
        <v>3421</v>
      </c>
      <c r="K61" t="s">
        <v>90</v>
      </c>
      <c r="L61" t="s">
        <v>4087</v>
      </c>
      <c r="M61" t="s">
        <v>277</v>
      </c>
      <c r="N61" t="s">
        <v>3422</v>
      </c>
      <c r="O61">
        <v>-15.395861699999999</v>
      </c>
      <c r="P61">
        <v>23.040793300000001</v>
      </c>
      <c r="Q61">
        <v>1023.9</v>
      </c>
      <c r="R61">
        <v>4.8330000000000002</v>
      </c>
      <c r="S61" t="s">
        <v>84</v>
      </c>
      <c r="T61" t="s">
        <v>182</v>
      </c>
      <c r="U61">
        <v>13</v>
      </c>
      <c r="V61" t="s">
        <v>95</v>
      </c>
      <c r="W61" t="s">
        <v>907</v>
      </c>
      <c r="X61">
        <v>11</v>
      </c>
      <c r="Y61">
        <v>4</v>
      </c>
      <c r="Z61">
        <v>2.5</v>
      </c>
      <c r="AA61" t="s">
        <v>96</v>
      </c>
      <c r="AB61" t="s">
        <v>351</v>
      </c>
      <c r="AC61" t="s">
        <v>98</v>
      </c>
      <c r="AD61" t="s">
        <v>252</v>
      </c>
      <c r="AE61" t="s">
        <v>101</v>
      </c>
      <c r="AF61" t="s">
        <v>907</v>
      </c>
      <c r="AG61">
        <v>4000</v>
      </c>
      <c r="AH61" t="s">
        <v>3873</v>
      </c>
      <c r="AI61" t="s">
        <v>907</v>
      </c>
      <c r="AJ61" t="s">
        <v>907</v>
      </c>
      <c r="AK61" t="s">
        <v>102</v>
      </c>
      <c r="AL61" t="s">
        <v>907</v>
      </c>
      <c r="AM61" t="s">
        <v>4130</v>
      </c>
      <c r="AN61" t="s">
        <v>907</v>
      </c>
      <c r="AQ61" t="s">
        <v>1584</v>
      </c>
      <c r="AR61" t="s">
        <v>95</v>
      </c>
      <c r="AS61">
        <v>0</v>
      </c>
      <c r="AT61">
        <v>0</v>
      </c>
      <c r="AU61">
        <v>0</v>
      </c>
      <c r="AV61">
        <v>0</v>
      </c>
      <c r="AW61">
        <v>0</v>
      </c>
      <c r="AX61">
        <v>0</v>
      </c>
      <c r="AY61">
        <v>0</v>
      </c>
      <c r="AZ61" t="s">
        <v>929</v>
      </c>
      <c r="BA61" t="s">
        <v>95</v>
      </c>
      <c r="BB61" t="s">
        <v>308</v>
      </c>
      <c r="BC61" t="s">
        <v>907</v>
      </c>
      <c r="BD61" t="s">
        <v>107</v>
      </c>
      <c r="BE61" t="s">
        <v>258</v>
      </c>
      <c r="BF61" t="s">
        <v>3423</v>
      </c>
      <c r="BG61" t="s">
        <v>156</v>
      </c>
      <c r="BH61">
        <v>65</v>
      </c>
      <c r="BL61">
        <v>40</v>
      </c>
      <c r="BN61">
        <v>3</v>
      </c>
      <c r="BP61">
        <v>0</v>
      </c>
      <c r="BR61">
        <v>0</v>
      </c>
      <c r="BT61">
        <v>5</v>
      </c>
      <c r="BV61">
        <v>3</v>
      </c>
      <c r="BX61">
        <v>14</v>
      </c>
      <c r="BY61" t="s">
        <v>189</v>
      </c>
      <c r="BZ61">
        <v>3</v>
      </c>
      <c r="CA61">
        <v>39</v>
      </c>
      <c r="CB61" t="s">
        <v>84</v>
      </c>
      <c r="CC61" t="s">
        <v>84</v>
      </c>
      <c r="CD61" t="s">
        <v>334</v>
      </c>
      <c r="CE61" t="s">
        <v>4250</v>
      </c>
      <c r="CF61" t="s">
        <v>3424</v>
      </c>
      <c r="CG61" t="s">
        <v>907</v>
      </c>
      <c r="CH61">
        <v>2</v>
      </c>
      <c r="CI61" t="s">
        <v>84</v>
      </c>
      <c r="CJ61" t="s">
        <v>160</v>
      </c>
      <c r="CK61" t="s">
        <v>289</v>
      </c>
      <c r="CL61" t="s">
        <v>263</v>
      </c>
      <c r="CM61" t="s">
        <v>193</v>
      </c>
      <c r="CN61" t="s">
        <v>421</v>
      </c>
      <c r="CO61" t="s">
        <v>95</v>
      </c>
      <c r="CP61" t="s">
        <v>907</v>
      </c>
      <c r="CQ61" t="s">
        <v>116</v>
      </c>
      <c r="CR61" t="s">
        <v>84</v>
      </c>
      <c r="CS61" t="s">
        <v>117</v>
      </c>
      <c r="CT61" t="s">
        <v>163</v>
      </c>
      <c r="CU61" t="s">
        <v>3869</v>
      </c>
      <c r="CV61" t="s">
        <v>812</v>
      </c>
      <c r="CW61" t="s">
        <v>439</v>
      </c>
      <c r="CX61" t="s">
        <v>166</v>
      </c>
      <c r="CY61" t="s">
        <v>167</v>
      </c>
      <c r="CZ61" t="s">
        <v>439</v>
      </c>
      <c r="DA61">
        <v>0</v>
      </c>
      <c r="DB61" s="10">
        <v>0</v>
      </c>
      <c r="DC61" t="s">
        <v>169</v>
      </c>
      <c r="DD61" t="s">
        <v>907</v>
      </c>
      <c r="DE61">
        <v>2</v>
      </c>
      <c r="DF61">
        <v>15</v>
      </c>
      <c r="DG61" t="s">
        <v>95</v>
      </c>
      <c r="DH61" t="s">
        <v>95</v>
      </c>
      <c r="DI61" t="s">
        <v>907</v>
      </c>
      <c r="DJ61" t="s">
        <v>907</v>
      </c>
      <c r="DK61" t="s">
        <v>907</v>
      </c>
      <c r="DL61" t="s">
        <v>907</v>
      </c>
      <c r="DM61" t="s">
        <v>291</v>
      </c>
      <c r="DN61" t="s">
        <v>907</v>
      </c>
      <c r="DO61" t="s">
        <v>907</v>
      </c>
      <c r="DP61">
        <v>0</v>
      </c>
      <c r="DQ61" t="s">
        <v>441</v>
      </c>
      <c r="DR61" t="s">
        <v>907</v>
      </c>
      <c r="DS61" t="s">
        <v>917</v>
      </c>
      <c r="DT61" t="s">
        <v>1119</v>
      </c>
      <c r="DU61" t="s">
        <v>84</v>
      </c>
      <c r="DV61" t="s">
        <v>884</v>
      </c>
      <c r="DW61" t="s">
        <v>533</v>
      </c>
      <c r="DX61" t="s">
        <v>95</v>
      </c>
      <c r="FQ61">
        <v>569778171</v>
      </c>
      <c r="FR61" t="s">
        <v>3425</v>
      </c>
      <c r="FS61" s="1">
        <v>45930.257256944453</v>
      </c>
      <c r="FV61" t="s">
        <v>134</v>
      </c>
      <c r="FW61" t="s">
        <v>135</v>
      </c>
      <c r="FX61" t="s">
        <v>136</v>
      </c>
      <c r="FZ61">
        <v>543</v>
      </c>
    </row>
    <row r="62" spans="1:182" hidden="1" x14ac:dyDescent="0.3">
      <c r="A62" s="1">
        <v>45925.478505289349</v>
      </c>
      <c r="B62" s="1">
        <v>45925.84774164352</v>
      </c>
      <c r="D62" t="s">
        <v>84</v>
      </c>
      <c r="E62" t="s">
        <v>85</v>
      </c>
      <c r="F62" t="s">
        <v>2416</v>
      </c>
      <c r="G62" t="s">
        <v>87</v>
      </c>
      <c r="H62" t="s">
        <v>4122</v>
      </c>
      <c r="I62" t="s">
        <v>2417</v>
      </c>
      <c r="J62" t="s">
        <v>2418</v>
      </c>
      <c r="K62" t="s">
        <v>90</v>
      </c>
      <c r="L62" t="s">
        <v>2380</v>
      </c>
      <c r="M62" t="s">
        <v>141</v>
      </c>
      <c r="N62" t="s">
        <v>2419</v>
      </c>
      <c r="O62">
        <v>-15.3859292</v>
      </c>
      <c r="P62">
        <v>23.1848986</v>
      </c>
      <c r="Q62">
        <v>1037.3662109375</v>
      </c>
      <c r="R62">
        <v>4.8339999999999996</v>
      </c>
      <c r="S62" t="s">
        <v>84</v>
      </c>
      <c r="T62" t="s">
        <v>362</v>
      </c>
      <c r="U62">
        <v>10</v>
      </c>
      <c r="V62" t="s">
        <v>95</v>
      </c>
      <c r="W62" t="s">
        <v>907</v>
      </c>
      <c r="X62">
        <v>50</v>
      </c>
      <c r="Y62">
        <v>49</v>
      </c>
      <c r="Z62">
        <v>2</v>
      </c>
      <c r="AA62" t="s">
        <v>96</v>
      </c>
      <c r="AB62" t="s">
        <v>489</v>
      </c>
      <c r="AC62" t="s">
        <v>98</v>
      </c>
      <c r="AD62" t="s">
        <v>99</v>
      </c>
      <c r="AE62" t="s">
        <v>100</v>
      </c>
      <c r="AF62" t="s">
        <v>907</v>
      </c>
      <c r="AG62">
        <v>0</v>
      </c>
      <c r="AH62" t="s">
        <v>100</v>
      </c>
      <c r="AI62" t="s">
        <v>907</v>
      </c>
      <c r="AJ62" s="5">
        <v>0</v>
      </c>
      <c r="AK62" t="s">
        <v>102</v>
      </c>
      <c r="AL62" t="s">
        <v>907</v>
      </c>
      <c r="AM62" t="s">
        <v>149</v>
      </c>
      <c r="AN62" t="s">
        <v>907</v>
      </c>
      <c r="AO62" t="s">
        <v>2420</v>
      </c>
      <c r="AP62">
        <v>0</v>
      </c>
      <c r="AQ62" t="s">
        <v>149</v>
      </c>
      <c r="AR62" t="s">
        <v>95</v>
      </c>
      <c r="AS62">
        <v>6</v>
      </c>
      <c r="AT62">
        <v>50</v>
      </c>
      <c r="AU62">
        <v>0</v>
      </c>
      <c r="AV62">
        <v>0</v>
      </c>
      <c r="AW62">
        <v>0</v>
      </c>
      <c r="AX62">
        <v>0</v>
      </c>
      <c r="AY62">
        <v>0</v>
      </c>
      <c r="AZ62" t="s">
        <v>1003</v>
      </c>
      <c r="BA62" t="s">
        <v>95</v>
      </c>
      <c r="BB62" t="s">
        <v>154</v>
      </c>
      <c r="BC62" t="s">
        <v>907</v>
      </c>
      <c r="BD62" t="s">
        <v>107</v>
      </c>
      <c r="BE62" t="s">
        <v>108</v>
      </c>
      <c r="BF62" t="s">
        <v>309</v>
      </c>
      <c r="BG62" t="s">
        <v>235</v>
      </c>
      <c r="BH62">
        <v>42</v>
      </c>
      <c r="BY62" t="s">
        <v>110</v>
      </c>
      <c r="BZ62" t="s">
        <v>907</v>
      </c>
      <c r="CA62" t="s">
        <v>907</v>
      </c>
      <c r="CB62" t="s">
        <v>84</v>
      </c>
      <c r="CC62" t="s">
        <v>84</v>
      </c>
      <c r="CD62" t="s">
        <v>545</v>
      </c>
      <c r="CE62" t="s">
        <v>4250</v>
      </c>
      <c r="CF62" t="s">
        <v>2421</v>
      </c>
      <c r="CG62" t="s">
        <v>907</v>
      </c>
      <c r="CH62">
        <v>10</v>
      </c>
      <c r="CI62" t="s">
        <v>84</v>
      </c>
      <c r="CJ62" t="s">
        <v>586</v>
      </c>
      <c r="CK62" t="s">
        <v>1005</v>
      </c>
      <c r="CL62" t="s">
        <v>2422</v>
      </c>
      <c r="CM62" t="s">
        <v>115</v>
      </c>
      <c r="CN62" t="s">
        <v>3883</v>
      </c>
      <c r="CO62" t="s">
        <v>95</v>
      </c>
      <c r="CP62" t="s">
        <v>907</v>
      </c>
      <c r="CQ62" t="s">
        <v>116</v>
      </c>
      <c r="CR62" t="s">
        <v>84</v>
      </c>
      <c r="CS62" t="s">
        <v>117</v>
      </c>
      <c r="CT62" t="s">
        <v>163</v>
      </c>
      <c r="CU62" t="s">
        <v>3869</v>
      </c>
      <c r="CV62" t="s">
        <v>119</v>
      </c>
      <c r="CW62" t="s">
        <v>265</v>
      </c>
      <c r="CX62" t="s">
        <v>166</v>
      </c>
      <c r="CY62" t="s">
        <v>549</v>
      </c>
      <c r="CZ62" t="s">
        <v>559</v>
      </c>
      <c r="DA62">
        <v>0</v>
      </c>
      <c r="DB62" s="10">
        <v>0</v>
      </c>
      <c r="DC62" t="s">
        <v>169</v>
      </c>
      <c r="DD62" t="s">
        <v>907</v>
      </c>
      <c r="DE62">
        <v>5</v>
      </c>
      <c r="DF62">
        <v>16</v>
      </c>
      <c r="DG62" t="s">
        <v>84</v>
      </c>
      <c r="DH62" t="s">
        <v>95</v>
      </c>
      <c r="DI62" t="s">
        <v>907</v>
      </c>
      <c r="DJ62" t="s">
        <v>907</v>
      </c>
      <c r="DK62" t="s">
        <v>907</v>
      </c>
      <c r="DL62" t="s">
        <v>907</v>
      </c>
      <c r="DM62" t="s">
        <v>125</v>
      </c>
      <c r="DN62" t="s">
        <v>242</v>
      </c>
      <c r="DO62" t="s">
        <v>171</v>
      </c>
      <c r="DP62">
        <v>8</v>
      </c>
      <c r="DQ62" t="s">
        <v>128</v>
      </c>
      <c r="DR62" t="s">
        <v>907</v>
      </c>
      <c r="DS62" t="s">
        <v>2423</v>
      </c>
      <c r="DT62" t="s">
        <v>621</v>
      </c>
      <c r="DU62" t="s">
        <v>84</v>
      </c>
      <c r="DV62" t="s">
        <v>225</v>
      </c>
      <c r="DW62" t="s">
        <v>533</v>
      </c>
      <c r="DX62" t="s">
        <v>95</v>
      </c>
      <c r="FQ62">
        <v>566893284</v>
      </c>
      <c r="FR62" t="s">
        <v>2424</v>
      </c>
      <c r="FS62" s="1">
        <v>45925.765104166669</v>
      </c>
      <c r="FV62" t="s">
        <v>134</v>
      </c>
      <c r="FW62" t="s">
        <v>135</v>
      </c>
      <c r="FX62" t="s">
        <v>136</v>
      </c>
      <c r="FZ62">
        <v>335</v>
      </c>
    </row>
    <row r="63" spans="1:182" hidden="1" x14ac:dyDescent="0.3">
      <c r="A63" s="1">
        <v>45925.582772615737</v>
      </c>
      <c r="B63" s="1">
        <v>45925.593936006953</v>
      </c>
      <c r="D63" t="s">
        <v>84</v>
      </c>
      <c r="E63" t="s">
        <v>497</v>
      </c>
      <c r="F63" t="s">
        <v>2054</v>
      </c>
      <c r="G63" t="s">
        <v>176</v>
      </c>
      <c r="H63" t="s">
        <v>4122</v>
      </c>
      <c r="I63" t="s">
        <v>2055</v>
      </c>
      <c r="J63" t="s">
        <v>2056</v>
      </c>
      <c r="K63" t="s">
        <v>90</v>
      </c>
      <c r="L63" t="s">
        <v>2057</v>
      </c>
      <c r="M63" t="s">
        <v>2058</v>
      </c>
      <c r="N63" t="s">
        <v>2059</v>
      </c>
      <c r="O63">
        <v>-15.164674400000001</v>
      </c>
      <c r="P63">
        <v>22.997685199999999</v>
      </c>
      <c r="Q63">
        <v>1031.0693359375</v>
      </c>
      <c r="R63">
        <v>4.7469999999999999</v>
      </c>
      <c r="S63" t="s">
        <v>84</v>
      </c>
      <c r="T63" t="s">
        <v>182</v>
      </c>
      <c r="U63">
        <v>11</v>
      </c>
      <c r="V63" t="s">
        <v>212</v>
      </c>
      <c r="W63" t="s">
        <v>2007</v>
      </c>
      <c r="X63">
        <v>10</v>
      </c>
      <c r="Y63">
        <v>1.2</v>
      </c>
      <c r="Z63">
        <v>1.2</v>
      </c>
      <c r="AA63" t="s">
        <v>96</v>
      </c>
      <c r="AB63" t="s">
        <v>351</v>
      </c>
      <c r="AC63" t="s">
        <v>98</v>
      </c>
      <c r="AD63" t="s">
        <v>280</v>
      </c>
      <c r="AE63" t="s">
        <v>2020</v>
      </c>
      <c r="AF63" t="s">
        <v>907</v>
      </c>
      <c r="AG63">
        <v>1000</v>
      </c>
      <c r="AH63" t="s">
        <v>100</v>
      </c>
      <c r="AI63" t="s">
        <v>907</v>
      </c>
      <c r="AJ63" s="5">
        <v>0</v>
      </c>
      <c r="AK63" t="s">
        <v>148</v>
      </c>
      <c r="AL63" t="s">
        <v>907</v>
      </c>
      <c r="AM63" t="s">
        <v>4130</v>
      </c>
      <c r="AN63" t="s">
        <v>907</v>
      </c>
      <c r="AQ63" t="s">
        <v>466</v>
      </c>
      <c r="AR63" t="s">
        <v>95</v>
      </c>
      <c r="AS63">
        <v>0</v>
      </c>
      <c r="AT63">
        <v>0</v>
      </c>
      <c r="AU63">
        <v>0</v>
      </c>
      <c r="AV63">
        <v>0</v>
      </c>
      <c r="AW63">
        <v>0</v>
      </c>
      <c r="AX63">
        <v>0</v>
      </c>
      <c r="AY63">
        <v>0</v>
      </c>
      <c r="AZ63" t="s">
        <v>929</v>
      </c>
      <c r="BA63" t="s">
        <v>95</v>
      </c>
      <c r="BB63" t="s">
        <v>154</v>
      </c>
      <c r="BC63" t="s">
        <v>907</v>
      </c>
      <c r="BD63" t="s">
        <v>107</v>
      </c>
      <c r="BE63" t="s">
        <v>258</v>
      </c>
      <c r="BF63" t="s">
        <v>1900</v>
      </c>
      <c r="BG63" t="s">
        <v>2033</v>
      </c>
      <c r="BH63">
        <v>51</v>
      </c>
      <c r="BL63">
        <v>21</v>
      </c>
      <c r="BN63">
        <v>3</v>
      </c>
      <c r="BP63">
        <v>8</v>
      </c>
      <c r="BR63">
        <v>6</v>
      </c>
      <c r="BT63">
        <v>8</v>
      </c>
      <c r="BX63">
        <v>16</v>
      </c>
      <c r="BY63" t="s">
        <v>189</v>
      </c>
      <c r="BZ63">
        <v>3</v>
      </c>
      <c r="CA63">
        <v>10</v>
      </c>
      <c r="CB63" t="s">
        <v>84</v>
      </c>
      <c r="CC63" t="s">
        <v>84</v>
      </c>
      <c r="CD63" t="s">
        <v>2034</v>
      </c>
      <c r="CE63" t="s">
        <v>4250</v>
      </c>
      <c r="CF63" t="s">
        <v>2060</v>
      </c>
      <c r="CG63" t="s">
        <v>907</v>
      </c>
      <c r="CH63">
        <v>2</v>
      </c>
      <c r="CI63" t="s">
        <v>84</v>
      </c>
      <c r="CJ63" t="s">
        <v>336</v>
      </c>
      <c r="CK63" t="s">
        <v>289</v>
      </c>
      <c r="CL63" t="s">
        <v>337</v>
      </c>
      <c r="CM63" t="s">
        <v>162</v>
      </c>
      <c r="CN63" t="s">
        <v>3874</v>
      </c>
      <c r="CO63" t="s">
        <v>95</v>
      </c>
      <c r="CP63" t="s">
        <v>907</v>
      </c>
      <c r="CQ63" t="s">
        <v>116</v>
      </c>
      <c r="CR63" t="s">
        <v>84</v>
      </c>
      <c r="CS63" t="s">
        <v>117</v>
      </c>
      <c r="CT63" t="s">
        <v>118</v>
      </c>
      <c r="CU63" t="s">
        <v>438</v>
      </c>
      <c r="CV63" t="s">
        <v>119</v>
      </c>
      <c r="CW63" t="s">
        <v>559</v>
      </c>
      <c r="CX63" t="s">
        <v>166</v>
      </c>
      <c r="CY63" t="s">
        <v>549</v>
      </c>
      <c r="CZ63" t="s">
        <v>559</v>
      </c>
      <c r="DA63">
        <v>0</v>
      </c>
      <c r="DB63" s="10">
        <v>0</v>
      </c>
      <c r="DC63" t="s">
        <v>169</v>
      </c>
      <c r="DD63" t="s">
        <v>907</v>
      </c>
      <c r="DE63">
        <v>2</v>
      </c>
      <c r="DF63">
        <v>3</v>
      </c>
      <c r="DG63" t="s">
        <v>95</v>
      </c>
      <c r="DH63" t="s">
        <v>95</v>
      </c>
      <c r="DI63" t="s">
        <v>907</v>
      </c>
      <c r="DJ63" t="s">
        <v>907</v>
      </c>
      <c r="DK63" t="s">
        <v>907</v>
      </c>
      <c r="DL63" t="s">
        <v>907</v>
      </c>
      <c r="DM63" t="s">
        <v>291</v>
      </c>
      <c r="DN63" t="s">
        <v>907</v>
      </c>
      <c r="DO63" t="s">
        <v>907</v>
      </c>
      <c r="DP63">
        <v>25</v>
      </c>
      <c r="DQ63" t="s">
        <v>128</v>
      </c>
      <c r="DR63" t="s">
        <v>907</v>
      </c>
      <c r="DS63" t="s">
        <v>442</v>
      </c>
      <c r="DT63" t="s">
        <v>2061</v>
      </c>
      <c r="DU63" t="s">
        <v>84</v>
      </c>
      <c r="DV63" t="s">
        <v>294</v>
      </c>
      <c r="DW63" t="s">
        <v>2062</v>
      </c>
      <c r="DX63" t="s">
        <v>95</v>
      </c>
      <c r="FQ63">
        <v>566860812</v>
      </c>
      <c r="FR63" t="s">
        <v>2063</v>
      </c>
      <c r="FS63" s="1">
        <v>45925.728275462963</v>
      </c>
      <c r="FV63" t="s">
        <v>134</v>
      </c>
      <c r="FW63" t="s">
        <v>135</v>
      </c>
      <c r="FX63" t="s">
        <v>136</v>
      </c>
      <c r="FZ63">
        <v>301</v>
      </c>
    </row>
    <row r="64" spans="1:182" x14ac:dyDescent="0.3">
      <c r="A64" s="1">
        <v>45924.461559247677</v>
      </c>
      <c r="B64" s="1">
        <v>45924.470191273147</v>
      </c>
      <c r="D64" t="s">
        <v>84</v>
      </c>
      <c r="E64" t="s">
        <v>535</v>
      </c>
      <c r="F64" t="s">
        <v>653</v>
      </c>
      <c r="G64" t="s">
        <v>176</v>
      </c>
      <c r="H64" t="s">
        <v>4122</v>
      </c>
      <c r="I64" t="s">
        <v>654</v>
      </c>
      <c r="J64" t="s">
        <v>655</v>
      </c>
      <c r="K64" t="s">
        <v>90</v>
      </c>
      <c r="L64" t="s">
        <v>539</v>
      </c>
      <c r="M64" t="s">
        <v>141</v>
      </c>
      <c r="N64" t="s">
        <v>656</v>
      </c>
      <c r="O64">
        <v>-15.3456688</v>
      </c>
      <c r="P64">
        <v>23.128820999999999</v>
      </c>
      <c r="Q64">
        <v>1028.720092773438</v>
      </c>
      <c r="R64">
        <v>4.9000000000000004</v>
      </c>
      <c r="S64" t="s">
        <v>84</v>
      </c>
      <c r="T64" t="s">
        <v>182</v>
      </c>
      <c r="U64">
        <v>7</v>
      </c>
      <c r="V64" t="s">
        <v>95</v>
      </c>
      <c r="W64" t="s">
        <v>907</v>
      </c>
      <c r="X64">
        <v>24</v>
      </c>
      <c r="Y64">
        <v>2</v>
      </c>
      <c r="Z64">
        <v>1</v>
      </c>
      <c r="AA64" t="s">
        <v>96</v>
      </c>
      <c r="AB64" t="s">
        <v>351</v>
      </c>
      <c r="AC64" t="s">
        <v>144</v>
      </c>
      <c r="AD64" t="s">
        <v>520</v>
      </c>
      <c r="AE64" t="s">
        <v>100</v>
      </c>
      <c r="AF64" t="s">
        <v>907</v>
      </c>
      <c r="AG64">
        <v>0</v>
      </c>
      <c r="AH64" t="s">
        <v>214</v>
      </c>
      <c r="AI64" t="s">
        <v>907</v>
      </c>
      <c r="AJ64" s="5">
        <v>0</v>
      </c>
      <c r="AK64" t="s">
        <v>102</v>
      </c>
      <c r="AL64" t="s">
        <v>907</v>
      </c>
      <c r="AM64" t="s">
        <v>149</v>
      </c>
      <c r="AN64" t="s">
        <v>907</v>
      </c>
      <c r="AO64">
        <v>0</v>
      </c>
      <c r="AP64" t="s">
        <v>657</v>
      </c>
      <c r="AQ64" t="s">
        <v>149</v>
      </c>
      <c r="AR64" t="s">
        <v>95</v>
      </c>
      <c r="AS64">
        <v>0</v>
      </c>
      <c r="AT64">
        <v>0</v>
      </c>
      <c r="AU64">
        <v>0</v>
      </c>
      <c r="AV64">
        <v>0</v>
      </c>
      <c r="AW64">
        <v>16</v>
      </c>
      <c r="AX64">
        <v>0</v>
      </c>
      <c r="AY64">
        <v>0</v>
      </c>
      <c r="AZ64" t="s">
        <v>106</v>
      </c>
      <c r="BA64" t="s">
        <v>95</v>
      </c>
      <c r="BB64" t="s">
        <v>154</v>
      </c>
      <c r="BC64" t="s">
        <v>907</v>
      </c>
      <c r="BD64" t="s">
        <v>107</v>
      </c>
      <c r="BE64" t="s">
        <v>108</v>
      </c>
      <c r="BF64" t="s">
        <v>658</v>
      </c>
      <c r="BG64" t="s">
        <v>235</v>
      </c>
      <c r="BH64">
        <v>7</v>
      </c>
      <c r="BL64">
        <v>4</v>
      </c>
      <c r="BN64">
        <v>1</v>
      </c>
      <c r="BX64">
        <v>3</v>
      </c>
      <c r="BY64" t="s">
        <v>110</v>
      </c>
      <c r="BZ64" t="s">
        <v>907</v>
      </c>
      <c r="CA64" t="s">
        <v>907</v>
      </c>
      <c r="CB64" t="s">
        <v>84</v>
      </c>
      <c r="CC64" t="s">
        <v>84</v>
      </c>
      <c r="CD64" t="s">
        <v>659</v>
      </c>
      <c r="CE64" t="s">
        <v>4250</v>
      </c>
      <c r="CF64" t="s">
        <v>660</v>
      </c>
      <c r="CG64" t="s">
        <v>907</v>
      </c>
      <c r="CH64">
        <v>2</v>
      </c>
      <c r="CI64" t="s">
        <v>95</v>
      </c>
      <c r="CJ64" t="s">
        <v>907</v>
      </c>
      <c r="CK64" t="s">
        <v>289</v>
      </c>
      <c r="CL64" t="s">
        <v>661</v>
      </c>
      <c r="CM64" t="s">
        <v>115</v>
      </c>
      <c r="CN64" t="s">
        <v>3883</v>
      </c>
      <c r="CO64" t="s">
        <v>95</v>
      </c>
      <c r="CP64" t="s">
        <v>907</v>
      </c>
      <c r="CQ64" t="s">
        <v>116</v>
      </c>
      <c r="CR64" t="s">
        <v>84</v>
      </c>
      <c r="CS64" t="s">
        <v>117</v>
      </c>
      <c r="CT64" t="s">
        <v>163</v>
      </c>
      <c r="CU64" t="s">
        <v>3869</v>
      </c>
      <c r="CV64" t="s">
        <v>119</v>
      </c>
      <c r="CW64" t="s">
        <v>662</v>
      </c>
      <c r="CX64" t="s">
        <v>166</v>
      </c>
      <c r="CY64" t="s">
        <v>663</v>
      </c>
      <c r="CZ64" t="s">
        <v>265</v>
      </c>
      <c r="DA64">
        <v>0</v>
      </c>
      <c r="DB64" s="10">
        <v>0</v>
      </c>
      <c r="DC64" t="s">
        <v>169</v>
      </c>
      <c r="DD64" t="s">
        <v>907</v>
      </c>
      <c r="DE64">
        <v>16</v>
      </c>
      <c r="DF64">
        <v>16</v>
      </c>
      <c r="DG64" t="s">
        <v>95</v>
      </c>
      <c r="DH64" t="s">
        <v>95</v>
      </c>
      <c r="DI64" t="s">
        <v>907</v>
      </c>
      <c r="DJ64" t="s">
        <v>907</v>
      </c>
      <c r="DK64" t="s">
        <v>907</v>
      </c>
      <c r="DL64" t="s">
        <v>907</v>
      </c>
      <c r="DM64" t="s">
        <v>125</v>
      </c>
      <c r="DN64" t="s">
        <v>170</v>
      </c>
      <c r="DO64" t="s">
        <v>664</v>
      </c>
      <c r="DP64" t="s">
        <v>95</v>
      </c>
      <c r="DQ64" t="s">
        <v>128</v>
      </c>
      <c r="DR64" t="s">
        <v>907</v>
      </c>
      <c r="DS64" t="s">
        <v>172</v>
      </c>
      <c r="DT64" t="s">
        <v>665</v>
      </c>
      <c r="DU64" t="s">
        <v>84</v>
      </c>
      <c r="DV64" t="s">
        <v>651</v>
      </c>
      <c r="DW64" t="s">
        <v>533</v>
      </c>
      <c r="DX64" t="s">
        <v>95</v>
      </c>
      <c r="FQ64">
        <v>565908965</v>
      </c>
      <c r="FR64" t="s">
        <v>666</v>
      </c>
      <c r="FS64" s="1">
        <v>45924.644826388889</v>
      </c>
      <c r="FV64" t="s">
        <v>134</v>
      </c>
      <c r="FW64" t="s">
        <v>135</v>
      </c>
      <c r="FX64" t="s">
        <v>136</v>
      </c>
      <c r="FZ64">
        <v>156</v>
      </c>
    </row>
    <row r="65" spans="1:182" hidden="1" x14ac:dyDescent="0.3">
      <c r="A65" s="1">
        <v>45924.655058449083</v>
      </c>
      <c r="B65" s="1">
        <v>45924.690482129627</v>
      </c>
      <c r="D65" t="s">
        <v>84</v>
      </c>
      <c r="E65" t="s">
        <v>798</v>
      </c>
      <c r="F65" t="s">
        <v>855</v>
      </c>
      <c r="G65" t="s">
        <v>176</v>
      </c>
      <c r="H65" t="s">
        <v>4122</v>
      </c>
      <c r="I65" t="s">
        <v>856</v>
      </c>
      <c r="J65" t="s">
        <v>857</v>
      </c>
      <c r="K65" t="s">
        <v>90</v>
      </c>
      <c r="L65" t="s">
        <v>858</v>
      </c>
      <c r="M65" t="s">
        <v>859</v>
      </c>
      <c r="N65" t="s">
        <v>860</v>
      </c>
      <c r="O65">
        <v>-15.295506400000001</v>
      </c>
      <c r="P65">
        <v>23.002445999999999</v>
      </c>
      <c r="Q65">
        <v>1020.337524414062</v>
      </c>
      <c r="R65">
        <v>4.0640000000000001</v>
      </c>
      <c r="S65" t="s">
        <v>84</v>
      </c>
      <c r="T65" t="s">
        <v>182</v>
      </c>
      <c r="U65">
        <v>6</v>
      </c>
      <c r="V65" t="s">
        <v>95</v>
      </c>
      <c r="W65" t="s">
        <v>907</v>
      </c>
      <c r="X65">
        <v>58</v>
      </c>
      <c r="Y65">
        <v>1</v>
      </c>
      <c r="Z65">
        <v>1</v>
      </c>
      <c r="AA65" t="s">
        <v>96</v>
      </c>
      <c r="AB65" t="s">
        <v>489</v>
      </c>
      <c r="AC65" t="s">
        <v>98</v>
      </c>
      <c r="AD65" t="s">
        <v>280</v>
      </c>
      <c r="AE65" t="s">
        <v>101</v>
      </c>
      <c r="AF65" t="s">
        <v>907</v>
      </c>
      <c r="AG65">
        <v>500</v>
      </c>
      <c r="AH65" t="s">
        <v>3873</v>
      </c>
      <c r="AI65" t="s">
        <v>907</v>
      </c>
      <c r="AJ65" t="s">
        <v>907</v>
      </c>
      <c r="AK65" t="s">
        <v>789</v>
      </c>
      <c r="AL65" t="s">
        <v>907</v>
      </c>
      <c r="AM65" t="s">
        <v>907</v>
      </c>
      <c r="AN65" t="s">
        <v>907</v>
      </c>
      <c r="AQ65" t="s">
        <v>907</v>
      </c>
      <c r="AR65" t="s">
        <v>907</v>
      </c>
      <c r="AS65">
        <v>0</v>
      </c>
      <c r="AT65">
        <v>0</v>
      </c>
      <c r="AU65">
        <v>0</v>
      </c>
      <c r="AV65">
        <v>0</v>
      </c>
      <c r="AW65">
        <v>0</v>
      </c>
      <c r="AX65">
        <v>0</v>
      </c>
      <c r="AY65">
        <v>0</v>
      </c>
      <c r="AZ65" t="s">
        <v>106</v>
      </c>
      <c r="BA65" t="s">
        <v>907</v>
      </c>
      <c r="BB65" t="s">
        <v>3866</v>
      </c>
      <c r="BC65" t="s">
        <v>907</v>
      </c>
      <c r="BD65" t="s">
        <v>907</v>
      </c>
      <c r="BE65" t="s">
        <v>907</v>
      </c>
      <c r="BF65" t="s">
        <v>907</v>
      </c>
      <c r="BG65" t="s">
        <v>526</v>
      </c>
      <c r="BH65">
        <v>112</v>
      </c>
      <c r="BL65">
        <v>55</v>
      </c>
      <c r="BN65">
        <v>5</v>
      </c>
      <c r="BP65">
        <v>15</v>
      </c>
      <c r="BR65">
        <v>16</v>
      </c>
      <c r="BT65">
        <v>5</v>
      </c>
      <c r="BV65">
        <v>4</v>
      </c>
      <c r="BX65">
        <v>12</v>
      </c>
      <c r="BY65" t="s">
        <v>189</v>
      </c>
      <c r="BZ65">
        <v>4</v>
      </c>
      <c r="CA65">
        <v>65</v>
      </c>
      <c r="CB65" t="s">
        <v>84</v>
      </c>
      <c r="CC65" t="s">
        <v>84</v>
      </c>
      <c r="CD65" t="s">
        <v>861</v>
      </c>
      <c r="CE65" t="s">
        <v>4250</v>
      </c>
      <c r="CF65" t="s">
        <v>862</v>
      </c>
      <c r="CG65" t="s">
        <v>907</v>
      </c>
      <c r="CH65">
        <v>2</v>
      </c>
      <c r="CI65" t="s">
        <v>84</v>
      </c>
      <c r="CJ65" t="s">
        <v>586</v>
      </c>
      <c r="CK65" t="s">
        <v>289</v>
      </c>
      <c r="CL65" t="s">
        <v>263</v>
      </c>
      <c r="CM65" t="s">
        <v>193</v>
      </c>
      <c r="CN65" t="s">
        <v>3874</v>
      </c>
      <c r="CO65" t="s">
        <v>95</v>
      </c>
      <c r="CP65" t="s">
        <v>907</v>
      </c>
      <c r="CQ65" t="s">
        <v>116</v>
      </c>
      <c r="CR65" t="s">
        <v>84</v>
      </c>
      <c r="CS65" t="s">
        <v>117</v>
      </c>
      <c r="CT65" t="s">
        <v>163</v>
      </c>
      <c r="CU65" t="s">
        <v>438</v>
      </c>
      <c r="CV65" t="s">
        <v>907</v>
      </c>
      <c r="CW65" t="s">
        <v>907</v>
      </c>
      <c r="CX65" t="s">
        <v>166</v>
      </c>
      <c r="CY65" t="s">
        <v>167</v>
      </c>
      <c r="CZ65" t="s">
        <v>780</v>
      </c>
      <c r="DA65">
        <v>0</v>
      </c>
      <c r="DB65" s="10">
        <v>0</v>
      </c>
      <c r="DC65" t="s">
        <v>169</v>
      </c>
      <c r="DD65" t="s">
        <v>907</v>
      </c>
      <c r="DE65">
        <v>1</v>
      </c>
      <c r="DF65">
        <v>15</v>
      </c>
      <c r="DG65" t="s">
        <v>95</v>
      </c>
      <c r="DH65" t="s">
        <v>95</v>
      </c>
      <c r="DI65" t="s">
        <v>907</v>
      </c>
      <c r="DJ65" t="s">
        <v>907</v>
      </c>
      <c r="DK65" t="s">
        <v>907</v>
      </c>
      <c r="DL65" t="s">
        <v>907</v>
      </c>
      <c r="DM65" t="s">
        <v>291</v>
      </c>
      <c r="DN65" t="s">
        <v>907</v>
      </c>
      <c r="DO65" t="s">
        <v>907</v>
      </c>
      <c r="DP65">
        <v>3</v>
      </c>
      <c r="DQ65" t="s">
        <v>441</v>
      </c>
      <c r="DR65" t="s">
        <v>907</v>
      </c>
      <c r="DS65" t="s">
        <v>172</v>
      </c>
      <c r="DT65" t="s">
        <v>863</v>
      </c>
      <c r="DU65" t="s">
        <v>84</v>
      </c>
      <c r="DV65" t="s">
        <v>864</v>
      </c>
      <c r="DW65" t="s">
        <v>370</v>
      </c>
      <c r="DX65" t="s">
        <v>95</v>
      </c>
      <c r="FQ65">
        <v>565915928</v>
      </c>
      <c r="FR65" t="s">
        <v>865</v>
      </c>
      <c r="FS65" s="1">
        <v>45924.650347222218</v>
      </c>
      <c r="FV65" t="s">
        <v>134</v>
      </c>
      <c r="FW65" t="s">
        <v>135</v>
      </c>
      <c r="FX65" t="s">
        <v>136</v>
      </c>
      <c r="FZ65">
        <v>175</v>
      </c>
    </row>
    <row r="66" spans="1:182" hidden="1" x14ac:dyDescent="0.3">
      <c r="A66" s="1">
        <v>45924.514527361112</v>
      </c>
      <c r="B66" s="1">
        <v>45924.521875266197</v>
      </c>
      <c r="D66" t="s">
        <v>84</v>
      </c>
      <c r="E66" t="s">
        <v>535</v>
      </c>
      <c r="F66" t="s">
        <v>709</v>
      </c>
      <c r="G66" t="s">
        <v>176</v>
      </c>
      <c r="H66" t="s">
        <v>4122</v>
      </c>
      <c r="I66" t="s">
        <v>701</v>
      </c>
      <c r="J66" t="s">
        <v>710</v>
      </c>
      <c r="K66" t="s">
        <v>90</v>
      </c>
      <c r="L66" t="s">
        <v>670</v>
      </c>
      <c r="M66" t="s">
        <v>141</v>
      </c>
      <c r="N66" t="s">
        <v>711</v>
      </c>
      <c r="O66">
        <v>-15.345685100000001</v>
      </c>
      <c r="P66">
        <v>23.128852299999998</v>
      </c>
      <c r="Q66">
        <v>1029.32861328125</v>
      </c>
      <c r="R66">
        <v>4.51</v>
      </c>
      <c r="S66" t="s">
        <v>84</v>
      </c>
      <c r="T66" t="s">
        <v>182</v>
      </c>
      <c r="U66">
        <v>8</v>
      </c>
      <c r="V66" t="s">
        <v>95</v>
      </c>
      <c r="W66" t="s">
        <v>907</v>
      </c>
      <c r="X66">
        <v>23</v>
      </c>
      <c r="Y66">
        <v>15</v>
      </c>
      <c r="Z66">
        <v>3</v>
      </c>
      <c r="AA66" t="s">
        <v>96</v>
      </c>
      <c r="AB66" t="s">
        <v>351</v>
      </c>
      <c r="AC66" t="s">
        <v>98</v>
      </c>
      <c r="AD66" t="s">
        <v>99</v>
      </c>
      <c r="AE66" t="s">
        <v>100</v>
      </c>
      <c r="AF66" t="s">
        <v>907</v>
      </c>
      <c r="AG66">
        <v>0</v>
      </c>
      <c r="AH66" t="s">
        <v>100</v>
      </c>
      <c r="AI66" t="s">
        <v>907</v>
      </c>
      <c r="AJ66" s="5">
        <v>0</v>
      </c>
      <c r="AK66" t="s">
        <v>102</v>
      </c>
      <c r="AL66" t="s">
        <v>907</v>
      </c>
      <c r="AM66" t="s">
        <v>253</v>
      </c>
      <c r="AN66" t="s">
        <v>907</v>
      </c>
      <c r="AO66">
        <v>0</v>
      </c>
      <c r="AP66" t="s">
        <v>712</v>
      </c>
      <c r="AQ66" t="s">
        <v>253</v>
      </c>
      <c r="AR66" t="s">
        <v>95</v>
      </c>
      <c r="AS66">
        <v>0</v>
      </c>
      <c r="AT66">
        <v>0</v>
      </c>
      <c r="AU66">
        <v>0</v>
      </c>
      <c r="AV66">
        <v>0</v>
      </c>
      <c r="AW66">
        <v>12</v>
      </c>
      <c r="AX66">
        <v>0</v>
      </c>
      <c r="AY66">
        <v>0</v>
      </c>
      <c r="AZ66" t="s">
        <v>106</v>
      </c>
      <c r="BA66" t="s">
        <v>95</v>
      </c>
      <c r="BB66" t="s">
        <v>154</v>
      </c>
      <c r="BC66" t="s">
        <v>907</v>
      </c>
      <c r="BD66" t="s">
        <v>107</v>
      </c>
      <c r="BE66" t="s">
        <v>108</v>
      </c>
      <c r="BF66" t="s">
        <v>713</v>
      </c>
      <c r="BG66" t="s">
        <v>235</v>
      </c>
      <c r="BH66">
        <v>42</v>
      </c>
      <c r="BY66" t="s">
        <v>110</v>
      </c>
      <c r="BZ66" t="s">
        <v>907</v>
      </c>
      <c r="CA66" t="s">
        <v>907</v>
      </c>
      <c r="CB66" t="s">
        <v>84</v>
      </c>
      <c r="CC66" t="s">
        <v>84</v>
      </c>
      <c r="CD66" t="s">
        <v>237</v>
      </c>
      <c r="CE66" t="s">
        <v>4250</v>
      </c>
      <c r="CF66" t="s">
        <v>714</v>
      </c>
      <c r="CG66" t="s">
        <v>907</v>
      </c>
      <c r="CH66">
        <v>2</v>
      </c>
      <c r="CI66" t="s">
        <v>95</v>
      </c>
      <c r="CJ66" t="s">
        <v>907</v>
      </c>
      <c r="CK66" t="s">
        <v>289</v>
      </c>
      <c r="CL66" t="s">
        <v>4262</v>
      </c>
      <c r="CM66" t="s">
        <v>115</v>
      </c>
      <c r="CN66" t="s">
        <v>3883</v>
      </c>
      <c r="CO66" t="s">
        <v>95</v>
      </c>
      <c r="CP66" t="s">
        <v>907</v>
      </c>
      <c r="CQ66" t="s">
        <v>116</v>
      </c>
      <c r="CR66" t="s">
        <v>84</v>
      </c>
      <c r="CS66" t="s">
        <v>117</v>
      </c>
      <c r="CT66" t="s">
        <v>163</v>
      </c>
      <c r="CU66" t="s">
        <v>3869</v>
      </c>
      <c r="CV66" t="s">
        <v>119</v>
      </c>
      <c r="CW66" t="s">
        <v>715</v>
      </c>
      <c r="CX66" t="s">
        <v>166</v>
      </c>
      <c r="CY66" t="s">
        <v>549</v>
      </c>
      <c r="CZ66" t="s">
        <v>559</v>
      </c>
      <c r="DA66">
        <v>0</v>
      </c>
      <c r="DB66" s="10">
        <v>0</v>
      </c>
      <c r="DC66" t="s">
        <v>169</v>
      </c>
      <c r="DD66" t="s">
        <v>907</v>
      </c>
      <c r="DE66">
        <v>10</v>
      </c>
      <c r="DF66">
        <v>16</v>
      </c>
      <c r="DG66" t="s">
        <v>95</v>
      </c>
      <c r="DH66" t="s">
        <v>95</v>
      </c>
      <c r="DI66" t="s">
        <v>907</v>
      </c>
      <c r="DJ66" t="s">
        <v>907</v>
      </c>
      <c r="DK66" t="s">
        <v>907</v>
      </c>
      <c r="DL66" t="s">
        <v>907</v>
      </c>
      <c r="DM66" t="s">
        <v>125</v>
      </c>
      <c r="DN66" t="s">
        <v>170</v>
      </c>
      <c r="DO66" t="s">
        <v>664</v>
      </c>
      <c r="DP66">
        <v>5</v>
      </c>
      <c r="DQ66" t="s">
        <v>128</v>
      </c>
      <c r="DR66" t="s">
        <v>907</v>
      </c>
      <c r="DS66" t="s">
        <v>716</v>
      </c>
      <c r="DT66" t="s">
        <v>717</v>
      </c>
      <c r="DU66" t="s">
        <v>84</v>
      </c>
      <c r="DV66" t="s">
        <v>225</v>
      </c>
      <c r="DW66" t="s">
        <v>533</v>
      </c>
      <c r="DX66" t="s">
        <v>95</v>
      </c>
      <c r="FQ66">
        <v>565909039</v>
      </c>
      <c r="FR66" t="s">
        <v>718</v>
      </c>
      <c r="FS66" s="1">
        <v>45924.644872685189</v>
      </c>
      <c r="FV66" t="s">
        <v>134</v>
      </c>
      <c r="FW66" t="s">
        <v>135</v>
      </c>
      <c r="FX66" t="s">
        <v>136</v>
      </c>
      <c r="FZ66">
        <v>161</v>
      </c>
    </row>
    <row r="67" spans="1:182" hidden="1" x14ac:dyDescent="0.3">
      <c r="A67" s="1">
        <v>45926.490101493058</v>
      </c>
      <c r="B67" s="1">
        <v>45926.503294259259</v>
      </c>
      <c r="D67" t="s">
        <v>84</v>
      </c>
      <c r="E67" t="s">
        <v>297</v>
      </c>
      <c r="F67" t="s">
        <v>4044</v>
      </c>
      <c r="G67" t="s">
        <v>176</v>
      </c>
      <c r="H67" t="s">
        <v>4121</v>
      </c>
      <c r="I67" t="s">
        <v>3070</v>
      </c>
      <c r="J67" t="s">
        <v>3071</v>
      </c>
      <c r="K67" t="s">
        <v>90</v>
      </c>
      <c r="L67" t="s">
        <v>3072</v>
      </c>
      <c r="M67" t="s">
        <v>1871</v>
      </c>
      <c r="N67" t="s">
        <v>3073</v>
      </c>
      <c r="O67">
        <v>-15.2475883</v>
      </c>
      <c r="P67">
        <v>22.961678299999999</v>
      </c>
      <c r="Q67">
        <v>999.1</v>
      </c>
      <c r="R67">
        <v>4.46</v>
      </c>
      <c r="S67" t="s">
        <v>84</v>
      </c>
      <c r="T67" t="s">
        <v>94</v>
      </c>
      <c r="U67">
        <v>3</v>
      </c>
      <c r="V67" t="s">
        <v>95</v>
      </c>
      <c r="W67" t="s">
        <v>907</v>
      </c>
      <c r="X67">
        <v>3</v>
      </c>
      <c r="Y67">
        <v>2</v>
      </c>
      <c r="Z67">
        <v>1</v>
      </c>
      <c r="AA67" t="s">
        <v>96</v>
      </c>
      <c r="AB67" t="s">
        <v>97</v>
      </c>
      <c r="AC67" t="s">
        <v>98</v>
      </c>
      <c r="AD67" t="s">
        <v>280</v>
      </c>
      <c r="AE67" t="s">
        <v>101</v>
      </c>
      <c r="AF67" t="s">
        <v>907</v>
      </c>
      <c r="AG67">
        <v>2000</v>
      </c>
      <c r="AH67" t="s">
        <v>3873</v>
      </c>
      <c r="AI67" t="s">
        <v>907</v>
      </c>
      <c r="AJ67" t="s">
        <v>907</v>
      </c>
      <c r="AK67" t="s">
        <v>102</v>
      </c>
      <c r="AL67" t="s">
        <v>907</v>
      </c>
      <c r="AM67" t="s">
        <v>4130</v>
      </c>
      <c r="AN67" t="s">
        <v>907</v>
      </c>
      <c r="AQ67" t="s">
        <v>1154</v>
      </c>
      <c r="AR67" t="s">
        <v>95</v>
      </c>
      <c r="AS67">
        <v>0</v>
      </c>
      <c r="AT67">
        <v>0</v>
      </c>
      <c r="AU67">
        <v>0</v>
      </c>
      <c r="AV67">
        <v>0</v>
      </c>
      <c r="AW67">
        <v>0</v>
      </c>
      <c r="AX67">
        <v>0</v>
      </c>
      <c r="AY67">
        <v>0</v>
      </c>
      <c r="AZ67" t="s">
        <v>929</v>
      </c>
      <c r="BA67" t="s">
        <v>95</v>
      </c>
      <c r="BB67" t="s">
        <v>154</v>
      </c>
      <c r="BC67" t="s">
        <v>907</v>
      </c>
      <c r="BD67" t="s">
        <v>107</v>
      </c>
      <c r="BE67" t="s">
        <v>258</v>
      </c>
      <c r="BF67" t="s">
        <v>4045</v>
      </c>
      <c r="BG67" t="s">
        <v>235</v>
      </c>
      <c r="BH67">
        <v>21</v>
      </c>
      <c r="BL67">
        <v>52</v>
      </c>
      <c r="BN67">
        <v>3</v>
      </c>
      <c r="BP67">
        <v>1</v>
      </c>
      <c r="BR67">
        <v>4</v>
      </c>
      <c r="BT67">
        <v>5</v>
      </c>
      <c r="BV67">
        <v>0</v>
      </c>
      <c r="BX67">
        <v>2</v>
      </c>
      <c r="BY67" t="s">
        <v>189</v>
      </c>
      <c r="BZ67">
        <v>3</v>
      </c>
      <c r="CA67">
        <v>2</v>
      </c>
      <c r="CB67" t="s">
        <v>84</v>
      </c>
      <c r="CC67" t="s">
        <v>84</v>
      </c>
      <c r="CD67" t="s">
        <v>3074</v>
      </c>
      <c r="CE67" t="s">
        <v>4251</v>
      </c>
      <c r="CF67" t="s">
        <v>4046</v>
      </c>
      <c r="CG67" t="s">
        <v>907</v>
      </c>
      <c r="CH67">
        <v>2</v>
      </c>
      <c r="CI67" t="s">
        <v>95</v>
      </c>
      <c r="CJ67" t="s">
        <v>907</v>
      </c>
      <c r="CK67" t="s">
        <v>289</v>
      </c>
      <c r="CL67" t="s">
        <v>879</v>
      </c>
      <c r="CM67" t="s">
        <v>547</v>
      </c>
      <c r="CN67" t="s">
        <v>421</v>
      </c>
      <c r="CO67" t="s">
        <v>95</v>
      </c>
      <c r="CP67" t="s">
        <v>907</v>
      </c>
      <c r="CQ67" t="s">
        <v>116</v>
      </c>
      <c r="CR67" t="s">
        <v>84</v>
      </c>
      <c r="CS67" t="s">
        <v>117</v>
      </c>
      <c r="CT67" t="s">
        <v>264</v>
      </c>
      <c r="CU67" t="s">
        <v>438</v>
      </c>
      <c r="CV67" t="s">
        <v>119</v>
      </c>
      <c r="CW67" t="s">
        <v>1566</v>
      </c>
      <c r="CX67" t="s">
        <v>166</v>
      </c>
      <c r="CY67" t="s">
        <v>167</v>
      </c>
      <c r="CZ67" t="s">
        <v>3066</v>
      </c>
      <c r="DA67">
        <v>0</v>
      </c>
      <c r="DB67" s="10">
        <v>0</v>
      </c>
      <c r="DC67" t="s">
        <v>123</v>
      </c>
      <c r="DD67" t="s">
        <v>2514</v>
      </c>
      <c r="DE67" t="s">
        <v>907</v>
      </c>
      <c r="DF67" t="s">
        <v>907</v>
      </c>
      <c r="DG67" t="s">
        <v>95</v>
      </c>
      <c r="DH67" t="s">
        <v>95</v>
      </c>
      <c r="DI67" t="s">
        <v>907</v>
      </c>
      <c r="DJ67" t="s">
        <v>907</v>
      </c>
      <c r="DK67" t="s">
        <v>907</v>
      </c>
      <c r="DL67" t="s">
        <v>907</v>
      </c>
      <c r="DM67" t="s">
        <v>291</v>
      </c>
      <c r="DN67" t="s">
        <v>907</v>
      </c>
      <c r="DO67" t="s">
        <v>907</v>
      </c>
      <c r="DP67">
        <v>13</v>
      </c>
      <c r="DQ67" t="s">
        <v>441</v>
      </c>
      <c r="DR67" t="s">
        <v>907</v>
      </c>
      <c r="DS67" t="s">
        <v>3075</v>
      </c>
      <c r="DT67" t="s">
        <v>1459</v>
      </c>
      <c r="DU67" t="s">
        <v>95</v>
      </c>
      <c r="DV67" t="s">
        <v>907</v>
      </c>
      <c r="DW67" t="s">
        <v>907</v>
      </c>
      <c r="DX67" t="s">
        <v>907</v>
      </c>
      <c r="FQ67">
        <v>567957944</v>
      </c>
      <c r="FR67" t="s">
        <v>3076</v>
      </c>
      <c r="FS67" s="1">
        <v>45927.344490740739</v>
      </c>
      <c r="FV67" t="s">
        <v>134</v>
      </c>
      <c r="FW67" t="s">
        <v>135</v>
      </c>
      <c r="FX67" t="s">
        <v>136</v>
      </c>
      <c r="FZ67">
        <v>445</v>
      </c>
    </row>
    <row r="68" spans="1:182" hidden="1" x14ac:dyDescent="0.3">
      <c r="A68" s="1">
        <v>45926.45633390046</v>
      </c>
      <c r="B68" s="1">
        <v>45926.480461608793</v>
      </c>
      <c r="D68" t="s">
        <v>84</v>
      </c>
      <c r="E68" t="s">
        <v>901</v>
      </c>
      <c r="F68" t="s">
        <v>2812</v>
      </c>
      <c r="G68" t="s">
        <v>176</v>
      </c>
      <c r="H68" t="s">
        <v>4122</v>
      </c>
      <c r="I68" t="s">
        <v>2813</v>
      </c>
      <c r="J68" t="s">
        <v>2814</v>
      </c>
      <c r="K68" t="s">
        <v>90</v>
      </c>
      <c r="L68" t="s">
        <v>2815</v>
      </c>
      <c r="M68" t="s">
        <v>1871</v>
      </c>
      <c r="N68" t="s">
        <v>2816</v>
      </c>
      <c r="O68">
        <v>-15.1968464</v>
      </c>
      <c r="P68">
        <v>22.953539299999999</v>
      </c>
      <c r="Q68">
        <v>1047.69091796875</v>
      </c>
      <c r="R68">
        <v>8.2919999999999998</v>
      </c>
      <c r="S68" t="s">
        <v>84</v>
      </c>
      <c r="T68" t="s">
        <v>182</v>
      </c>
      <c r="U68">
        <v>9</v>
      </c>
      <c r="V68" t="s">
        <v>95</v>
      </c>
      <c r="W68" t="s">
        <v>907</v>
      </c>
      <c r="X68">
        <v>25</v>
      </c>
      <c r="Y68">
        <v>4</v>
      </c>
      <c r="Z68">
        <v>4</v>
      </c>
      <c r="AA68" t="s">
        <v>96</v>
      </c>
      <c r="AB68" t="s">
        <v>97</v>
      </c>
      <c r="AC68" t="s">
        <v>144</v>
      </c>
      <c r="AD68" t="s">
        <v>99</v>
      </c>
      <c r="AE68" t="s">
        <v>431</v>
      </c>
      <c r="AF68" t="s">
        <v>907</v>
      </c>
      <c r="AG68">
        <v>3000</v>
      </c>
      <c r="AH68" t="s">
        <v>2817</v>
      </c>
      <c r="AI68" t="s">
        <v>907</v>
      </c>
      <c r="AJ68" s="5">
        <v>6000</v>
      </c>
      <c r="AK68" t="s">
        <v>102</v>
      </c>
      <c r="AL68" t="s">
        <v>907</v>
      </c>
      <c r="AM68" t="s">
        <v>2818</v>
      </c>
      <c r="AN68" t="s">
        <v>907</v>
      </c>
      <c r="AO68" t="s">
        <v>2819</v>
      </c>
      <c r="AP68" t="s">
        <v>2820</v>
      </c>
      <c r="AQ68" t="s">
        <v>2821</v>
      </c>
      <c r="AR68" t="s">
        <v>95</v>
      </c>
      <c r="AS68">
        <v>0</v>
      </c>
      <c r="AT68">
        <v>0</v>
      </c>
      <c r="AU68">
        <v>0</v>
      </c>
      <c r="AV68">
        <v>25</v>
      </c>
      <c r="AW68">
        <v>0</v>
      </c>
      <c r="AX68">
        <v>0</v>
      </c>
      <c r="AY68">
        <v>0</v>
      </c>
      <c r="AZ68" t="s">
        <v>153</v>
      </c>
      <c r="BA68" t="s">
        <v>95</v>
      </c>
      <c r="BB68" t="s">
        <v>308</v>
      </c>
      <c r="BC68" t="s">
        <v>907</v>
      </c>
      <c r="BD68" t="s">
        <v>107</v>
      </c>
      <c r="BE68" t="s">
        <v>363</v>
      </c>
      <c r="BF68" t="s">
        <v>2822</v>
      </c>
      <c r="BG68" t="s">
        <v>156</v>
      </c>
      <c r="BH68">
        <v>56</v>
      </c>
      <c r="BL68">
        <v>22</v>
      </c>
      <c r="BN68">
        <v>3</v>
      </c>
      <c r="BP68">
        <v>5</v>
      </c>
      <c r="BR68">
        <v>4</v>
      </c>
      <c r="BT68">
        <v>3</v>
      </c>
      <c r="BV68">
        <v>3</v>
      </c>
      <c r="BX68">
        <v>16</v>
      </c>
      <c r="BY68" t="s">
        <v>110</v>
      </c>
      <c r="BZ68" t="s">
        <v>907</v>
      </c>
      <c r="CA68" t="s">
        <v>907</v>
      </c>
      <c r="CB68" t="s">
        <v>84</v>
      </c>
      <c r="CC68" t="s">
        <v>84</v>
      </c>
      <c r="CD68" t="s">
        <v>2823</v>
      </c>
      <c r="CE68" t="s">
        <v>4252</v>
      </c>
      <c r="CF68" t="s">
        <v>2824</v>
      </c>
      <c r="CG68" t="s">
        <v>907</v>
      </c>
      <c r="CH68">
        <v>2</v>
      </c>
      <c r="CI68" t="s">
        <v>84</v>
      </c>
      <c r="CJ68" t="s">
        <v>586</v>
      </c>
      <c r="CK68" t="s">
        <v>289</v>
      </c>
      <c r="CL68" t="s">
        <v>2825</v>
      </c>
      <c r="CM68" t="s">
        <v>193</v>
      </c>
      <c r="CN68" t="s">
        <v>3903</v>
      </c>
      <c r="CO68" t="s">
        <v>95</v>
      </c>
      <c r="CP68" t="s">
        <v>907</v>
      </c>
      <c r="CQ68" t="s">
        <v>116</v>
      </c>
      <c r="CR68" t="s">
        <v>84</v>
      </c>
      <c r="CS68" t="s">
        <v>117</v>
      </c>
      <c r="CT68" t="s">
        <v>163</v>
      </c>
      <c r="CU68" t="s">
        <v>3869</v>
      </c>
      <c r="CV68" t="s">
        <v>812</v>
      </c>
      <c r="CW68" t="s">
        <v>715</v>
      </c>
      <c r="CX68" t="s">
        <v>166</v>
      </c>
      <c r="CY68" t="s">
        <v>167</v>
      </c>
      <c r="CZ68" t="s">
        <v>483</v>
      </c>
      <c r="DA68">
        <v>0</v>
      </c>
      <c r="DB68" s="10">
        <v>0</v>
      </c>
      <c r="DC68" t="s">
        <v>169</v>
      </c>
      <c r="DD68" t="s">
        <v>907</v>
      </c>
      <c r="DE68">
        <v>6</v>
      </c>
      <c r="DF68">
        <v>20</v>
      </c>
      <c r="DG68" t="s">
        <v>84</v>
      </c>
      <c r="DH68" t="s">
        <v>95</v>
      </c>
      <c r="DI68" t="s">
        <v>907</v>
      </c>
      <c r="DJ68" t="s">
        <v>907</v>
      </c>
      <c r="DK68" t="s">
        <v>907</v>
      </c>
      <c r="DL68" t="s">
        <v>907</v>
      </c>
      <c r="DM68" t="s">
        <v>291</v>
      </c>
      <c r="DN68" t="s">
        <v>907</v>
      </c>
      <c r="DO68" t="s">
        <v>907</v>
      </c>
      <c r="DP68">
        <v>1</v>
      </c>
      <c r="DQ68" t="s">
        <v>441</v>
      </c>
      <c r="DR68" t="s">
        <v>907</v>
      </c>
      <c r="DS68" t="s">
        <v>917</v>
      </c>
      <c r="DT68" t="s">
        <v>636</v>
      </c>
      <c r="DU68" t="s">
        <v>84</v>
      </c>
      <c r="DV68" t="s">
        <v>884</v>
      </c>
      <c r="DW68" t="s">
        <v>933</v>
      </c>
      <c r="DX68" t="s">
        <v>95</v>
      </c>
      <c r="FQ68">
        <v>567429451</v>
      </c>
      <c r="FR68" t="s">
        <v>2826</v>
      </c>
      <c r="FS68" s="1">
        <v>45926.556192129632</v>
      </c>
      <c r="FV68" t="s">
        <v>134</v>
      </c>
      <c r="FW68" t="s">
        <v>135</v>
      </c>
      <c r="FX68" t="s">
        <v>136</v>
      </c>
      <c r="FZ68">
        <v>405</v>
      </c>
    </row>
    <row r="69" spans="1:182" hidden="1" x14ac:dyDescent="0.3">
      <c r="A69" s="1">
        <v>45924.62356728009</v>
      </c>
      <c r="B69" s="1">
        <v>45924.644062974527</v>
      </c>
      <c r="D69" t="s">
        <v>84</v>
      </c>
      <c r="E69" t="s">
        <v>798</v>
      </c>
      <c r="F69" t="s">
        <v>844</v>
      </c>
      <c r="G69" t="s">
        <v>176</v>
      </c>
      <c r="H69" t="s">
        <v>4122</v>
      </c>
      <c r="I69" t="s">
        <v>845</v>
      </c>
      <c r="J69" t="s">
        <v>846</v>
      </c>
      <c r="K69" t="s">
        <v>90</v>
      </c>
      <c r="L69" t="s">
        <v>847</v>
      </c>
      <c r="M69" t="s">
        <v>848</v>
      </c>
      <c r="N69" t="s">
        <v>849</v>
      </c>
      <c r="O69">
        <v>-15.303931199999999</v>
      </c>
      <c r="P69">
        <v>23.0154663</v>
      </c>
      <c r="Q69">
        <v>1049.48095703125</v>
      </c>
      <c r="R69">
        <v>4.9980000000000002</v>
      </c>
      <c r="S69" t="s">
        <v>84</v>
      </c>
      <c r="T69" t="s">
        <v>182</v>
      </c>
      <c r="U69">
        <v>7</v>
      </c>
      <c r="V69" t="s">
        <v>95</v>
      </c>
      <c r="W69" t="s">
        <v>907</v>
      </c>
      <c r="X69">
        <v>18</v>
      </c>
      <c r="Y69">
        <v>2</v>
      </c>
      <c r="Z69">
        <v>1</v>
      </c>
      <c r="AA69" t="s">
        <v>504</v>
      </c>
      <c r="AB69" t="s">
        <v>351</v>
      </c>
      <c r="AC69" t="s">
        <v>98</v>
      </c>
      <c r="AD69" t="s">
        <v>280</v>
      </c>
      <c r="AE69" t="s">
        <v>101</v>
      </c>
      <c r="AF69" t="s">
        <v>907</v>
      </c>
      <c r="AG69">
        <v>550</v>
      </c>
      <c r="AH69" t="s">
        <v>3873</v>
      </c>
      <c r="AI69" t="s">
        <v>907</v>
      </c>
      <c r="AJ69" t="s">
        <v>907</v>
      </c>
      <c r="AK69" t="s">
        <v>304</v>
      </c>
      <c r="AL69" t="s">
        <v>907</v>
      </c>
      <c r="AM69" t="s">
        <v>907</v>
      </c>
      <c r="AN69" t="s">
        <v>907</v>
      </c>
      <c r="AQ69" t="s">
        <v>907</v>
      </c>
      <c r="AR69" t="s">
        <v>907</v>
      </c>
      <c r="AS69">
        <v>0</v>
      </c>
      <c r="AT69">
        <v>0</v>
      </c>
      <c r="AU69">
        <v>0</v>
      </c>
      <c r="AV69">
        <v>0</v>
      </c>
      <c r="AW69">
        <v>0</v>
      </c>
      <c r="AX69">
        <v>0</v>
      </c>
      <c r="AY69">
        <v>0</v>
      </c>
      <c r="AZ69" t="s">
        <v>106</v>
      </c>
      <c r="BA69" t="s">
        <v>907</v>
      </c>
      <c r="BB69" t="s">
        <v>308</v>
      </c>
      <c r="BC69" t="s">
        <v>907</v>
      </c>
      <c r="BD69" t="s">
        <v>907</v>
      </c>
      <c r="BE69" t="s">
        <v>907</v>
      </c>
      <c r="BF69" t="s">
        <v>907</v>
      </c>
      <c r="BG69" t="s">
        <v>156</v>
      </c>
      <c r="BH69">
        <v>65</v>
      </c>
      <c r="BL69">
        <v>26</v>
      </c>
      <c r="BN69">
        <v>3</v>
      </c>
      <c r="BP69">
        <v>8</v>
      </c>
      <c r="BR69">
        <v>9</v>
      </c>
      <c r="BT69">
        <v>9</v>
      </c>
      <c r="BV69">
        <v>7</v>
      </c>
      <c r="BX69">
        <v>12</v>
      </c>
      <c r="BY69" t="s">
        <v>189</v>
      </c>
      <c r="BZ69">
        <v>8</v>
      </c>
      <c r="CA69">
        <v>3</v>
      </c>
      <c r="CB69" t="s">
        <v>84</v>
      </c>
      <c r="CC69" t="s">
        <v>84</v>
      </c>
      <c r="CD69" t="s">
        <v>850</v>
      </c>
      <c r="CE69" t="s">
        <v>4249</v>
      </c>
      <c r="CF69" t="s">
        <v>3898</v>
      </c>
      <c r="CG69" t="s">
        <v>907</v>
      </c>
      <c r="CH69">
        <v>2</v>
      </c>
      <c r="CI69" t="s">
        <v>84</v>
      </c>
      <c r="CJ69" t="s">
        <v>586</v>
      </c>
      <c r="CK69" t="s">
        <v>851</v>
      </c>
      <c r="CL69" t="s">
        <v>4262</v>
      </c>
      <c r="CM69" t="s">
        <v>193</v>
      </c>
      <c r="CN69" t="s">
        <v>3874</v>
      </c>
      <c r="CO69" t="s">
        <v>95</v>
      </c>
      <c r="CP69" t="s">
        <v>907</v>
      </c>
      <c r="CQ69" t="s">
        <v>116</v>
      </c>
      <c r="CR69" t="s">
        <v>95</v>
      </c>
      <c r="CS69" t="s">
        <v>907</v>
      </c>
      <c r="CT69" t="s">
        <v>907</v>
      </c>
      <c r="CU69" t="s">
        <v>907</v>
      </c>
      <c r="CV69" t="s">
        <v>907</v>
      </c>
      <c r="CW69" t="s">
        <v>907</v>
      </c>
      <c r="CX69" t="s">
        <v>166</v>
      </c>
      <c r="CY69" t="s">
        <v>167</v>
      </c>
      <c r="CZ69" t="s">
        <v>780</v>
      </c>
      <c r="DA69">
        <v>3</v>
      </c>
      <c r="DB69" s="10">
        <v>18.5</v>
      </c>
      <c r="DC69" t="s">
        <v>169</v>
      </c>
      <c r="DD69" t="s">
        <v>907</v>
      </c>
      <c r="DE69">
        <v>1</v>
      </c>
      <c r="DF69">
        <v>17</v>
      </c>
      <c r="DG69" t="s">
        <v>95</v>
      </c>
      <c r="DH69" t="s">
        <v>95</v>
      </c>
      <c r="DI69" t="s">
        <v>907</v>
      </c>
      <c r="DJ69" t="s">
        <v>907</v>
      </c>
      <c r="DK69" t="s">
        <v>907</v>
      </c>
      <c r="DL69" t="s">
        <v>907</v>
      </c>
      <c r="DM69" t="s">
        <v>291</v>
      </c>
      <c r="DN69" t="s">
        <v>907</v>
      </c>
      <c r="DO69" t="s">
        <v>907</v>
      </c>
      <c r="DP69">
        <v>2</v>
      </c>
      <c r="DQ69" t="s">
        <v>128</v>
      </c>
      <c r="DR69" t="s">
        <v>907</v>
      </c>
      <c r="DS69" t="s">
        <v>852</v>
      </c>
      <c r="DT69" t="s">
        <v>853</v>
      </c>
      <c r="DU69" t="s">
        <v>95</v>
      </c>
      <c r="DV69" t="s">
        <v>907</v>
      </c>
      <c r="DW69" t="s">
        <v>907</v>
      </c>
      <c r="DX69" t="s">
        <v>907</v>
      </c>
      <c r="FQ69">
        <v>565915913</v>
      </c>
      <c r="FR69" t="s">
        <v>854</v>
      </c>
      <c r="FS69" s="1">
        <v>45924.650335648148</v>
      </c>
      <c r="FV69" t="s">
        <v>134</v>
      </c>
      <c r="FW69" t="s">
        <v>135</v>
      </c>
      <c r="FX69" t="s">
        <v>136</v>
      </c>
      <c r="FZ69">
        <v>174</v>
      </c>
    </row>
    <row r="70" spans="1:182" x14ac:dyDescent="0.3">
      <c r="A70" s="1">
        <v>45925.428475011577</v>
      </c>
      <c r="B70" s="1">
        <v>45925.847736932868</v>
      </c>
      <c r="D70" t="s">
        <v>84</v>
      </c>
      <c r="E70" t="s">
        <v>85</v>
      </c>
      <c r="F70" t="s">
        <v>2389</v>
      </c>
      <c r="G70" t="s">
        <v>176</v>
      </c>
      <c r="H70" t="s">
        <v>4122</v>
      </c>
      <c r="I70" t="s">
        <v>2390</v>
      </c>
      <c r="J70" t="s">
        <v>2391</v>
      </c>
      <c r="K70" t="s">
        <v>90</v>
      </c>
      <c r="L70" t="s">
        <v>2392</v>
      </c>
      <c r="M70" t="s">
        <v>141</v>
      </c>
      <c r="N70" t="s">
        <v>2393</v>
      </c>
      <c r="O70">
        <v>-15.3859096</v>
      </c>
      <c r="P70">
        <v>23.184895000000001</v>
      </c>
      <c r="Q70">
        <v>1034.063110351562</v>
      </c>
      <c r="R70">
        <v>4.3369999999999997</v>
      </c>
      <c r="S70" t="s">
        <v>84</v>
      </c>
      <c r="T70" t="s">
        <v>182</v>
      </c>
      <c r="U70">
        <v>5</v>
      </c>
      <c r="V70" t="s">
        <v>724</v>
      </c>
      <c r="W70" t="s">
        <v>2394</v>
      </c>
      <c r="X70">
        <v>8</v>
      </c>
      <c r="Y70">
        <v>70</v>
      </c>
      <c r="Z70">
        <v>5</v>
      </c>
      <c r="AA70" t="s">
        <v>96</v>
      </c>
      <c r="AB70" t="s">
        <v>97</v>
      </c>
      <c r="AC70" t="s">
        <v>144</v>
      </c>
      <c r="AD70" t="s">
        <v>520</v>
      </c>
      <c r="AE70" t="s">
        <v>100</v>
      </c>
      <c r="AF70" t="s">
        <v>907</v>
      </c>
      <c r="AG70">
        <v>0</v>
      </c>
      <c r="AH70" t="s">
        <v>147</v>
      </c>
      <c r="AI70" t="s">
        <v>907</v>
      </c>
      <c r="AJ70" s="5">
        <v>0</v>
      </c>
      <c r="AK70" t="s">
        <v>102</v>
      </c>
      <c r="AL70" t="s">
        <v>907</v>
      </c>
      <c r="AM70" t="s">
        <v>149</v>
      </c>
      <c r="AN70" t="s">
        <v>907</v>
      </c>
      <c r="AO70">
        <v>0</v>
      </c>
      <c r="AP70">
        <v>0</v>
      </c>
      <c r="AQ70" t="s">
        <v>149</v>
      </c>
      <c r="AR70" t="s">
        <v>84</v>
      </c>
      <c r="AS70">
        <v>0</v>
      </c>
      <c r="AT70">
        <v>0</v>
      </c>
      <c r="AU70">
        <v>0</v>
      </c>
      <c r="AV70">
        <v>0</v>
      </c>
      <c r="AW70">
        <v>0</v>
      </c>
      <c r="AX70">
        <v>0</v>
      </c>
      <c r="AY70">
        <v>0</v>
      </c>
      <c r="AZ70" t="s">
        <v>284</v>
      </c>
      <c r="BA70" t="s">
        <v>95</v>
      </c>
      <c r="BB70" t="s">
        <v>154</v>
      </c>
      <c r="BC70" t="s">
        <v>907</v>
      </c>
      <c r="BD70" t="s">
        <v>107</v>
      </c>
      <c r="BE70" t="s">
        <v>108</v>
      </c>
      <c r="BF70" t="s">
        <v>309</v>
      </c>
      <c r="BG70" t="s">
        <v>235</v>
      </c>
      <c r="BH70">
        <v>180</v>
      </c>
      <c r="BY70" t="s">
        <v>110</v>
      </c>
      <c r="BZ70" t="s">
        <v>907</v>
      </c>
      <c r="CA70" t="s">
        <v>907</v>
      </c>
      <c r="CB70" t="s">
        <v>84</v>
      </c>
      <c r="CC70" t="s">
        <v>84</v>
      </c>
      <c r="CD70" t="s">
        <v>2395</v>
      </c>
      <c r="CE70" t="s">
        <v>4250</v>
      </c>
      <c r="CF70" t="s">
        <v>2396</v>
      </c>
      <c r="CG70" t="s">
        <v>907</v>
      </c>
      <c r="CH70">
        <v>39</v>
      </c>
      <c r="CI70" t="s">
        <v>84</v>
      </c>
      <c r="CJ70" t="s">
        <v>160</v>
      </c>
      <c r="CK70" t="s">
        <v>289</v>
      </c>
      <c r="CL70" t="s">
        <v>2397</v>
      </c>
      <c r="CM70" t="s">
        <v>115</v>
      </c>
      <c r="CN70" t="s">
        <v>3868</v>
      </c>
      <c r="CO70" t="s">
        <v>95</v>
      </c>
      <c r="CP70" t="s">
        <v>907</v>
      </c>
      <c r="CQ70" t="s">
        <v>116</v>
      </c>
      <c r="CR70" t="s">
        <v>84</v>
      </c>
      <c r="CS70" t="s">
        <v>117</v>
      </c>
      <c r="CT70" t="s">
        <v>163</v>
      </c>
      <c r="CU70" t="s">
        <v>3869</v>
      </c>
      <c r="CV70" t="s">
        <v>119</v>
      </c>
      <c r="CW70" t="s">
        <v>559</v>
      </c>
      <c r="CX70" t="s">
        <v>166</v>
      </c>
      <c r="CY70" t="s">
        <v>549</v>
      </c>
      <c r="CZ70" t="s">
        <v>168</v>
      </c>
      <c r="DA70">
        <v>0</v>
      </c>
      <c r="DB70" s="10">
        <v>0</v>
      </c>
      <c r="DC70" t="s">
        <v>169</v>
      </c>
      <c r="DD70" t="s">
        <v>907</v>
      </c>
      <c r="DE70">
        <v>5</v>
      </c>
      <c r="DF70">
        <v>16</v>
      </c>
      <c r="DG70" t="s">
        <v>84</v>
      </c>
      <c r="DH70" t="s">
        <v>95</v>
      </c>
      <c r="DI70" t="s">
        <v>907</v>
      </c>
      <c r="DJ70" t="s">
        <v>907</v>
      </c>
      <c r="DK70" t="s">
        <v>907</v>
      </c>
      <c r="DL70" t="s">
        <v>907</v>
      </c>
      <c r="DM70" t="s">
        <v>125</v>
      </c>
      <c r="DN70" t="s">
        <v>170</v>
      </c>
      <c r="DO70" t="s">
        <v>171</v>
      </c>
      <c r="DP70">
        <v>17</v>
      </c>
      <c r="DQ70" t="s">
        <v>128</v>
      </c>
      <c r="DR70" t="s">
        <v>907</v>
      </c>
      <c r="DS70" t="s">
        <v>716</v>
      </c>
      <c r="DT70" t="s">
        <v>552</v>
      </c>
      <c r="DU70" t="s">
        <v>84</v>
      </c>
      <c r="DV70" t="s">
        <v>225</v>
      </c>
      <c r="DW70" t="s">
        <v>533</v>
      </c>
      <c r="DX70" t="s">
        <v>95</v>
      </c>
      <c r="FQ70">
        <v>566893260</v>
      </c>
      <c r="FR70" t="s">
        <v>2398</v>
      </c>
      <c r="FS70" s="1">
        <v>45925.765081018522</v>
      </c>
      <c r="FV70" t="s">
        <v>134</v>
      </c>
      <c r="FW70" t="s">
        <v>135</v>
      </c>
      <c r="FX70" t="s">
        <v>136</v>
      </c>
      <c r="FZ70">
        <v>332</v>
      </c>
    </row>
    <row r="71" spans="1:182" hidden="1" x14ac:dyDescent="0.3">
      <c r="A71" s="1">
        <v>45925.527716898148</v>
      </c>
      <c r="B71" s="1">
        <v>45925.548907789351</v>
      </c>
      <c r="D71" t="s">
        <v>84</v>
      </c>
      <c r="E71" t="s">
        <v>297</v>
      </c>
      <c r="F71" t="s">
        <v>2529</v>
      </c>
      <c r="G71" t="s">
        <v>176</v>
      </c>
      <c r="H71" t="s">
        <v>4122</v>
      </c>
      <c r="I71" t="s">
        <v>2530</v>
      </c>
      <c r="J71" t="s">
        <v>2531</v>
      </c>
      <c r="K71" t="s">
        <v>90</v>
      </c>
      <c r="L71" t="s">
        <v>2532</v>
      </c>
      <c r="M71" t="s">
        <v>1871</v>
      </c>
      <c r="N71" t="s">
        <v>2533</v>
      </c>
      <c r="O71">
        <v>-15.1974667</v>
      </c>
      <c r="P71">
        <v>22.973391700000001</v>
      </c>
      <c r="Q71">
        <v>1092.3</v>
      </c>
      <c r="R71">
        <v>4.8159999999999998</v>
      </c>
      <c r="S71" t="s">
        <v>84</v>
      </c>
      <c r="T71" t="s">
        <v>94</v>
      </c>
      <c r="U71">
        <v>9</v>
      </c>
      <c r="V71" t="s">
        <v>95</v>
      </c>
      <c r="W71" t="s">
        <v>907</v>
      </c>
      <c r="X71">
        <v>34</v>
      </c>
      <c r="Y71">
        <v>1</v>
      </c>
      <c r="Z71">
        <v>1</v>
      </c>
      <c r="AA71" t="s">
        <v>96</v>
      </c>
      <c r="AB71" t="s">
        <v>97</v>
      </c>
      <c r="AC71" t="s">
        <v>98</v>
      </c>
      <c r="AD71" t="s">
        <v>280</v>
      </c>
      <c r="AE71" t="s">
        <v>100</v>
      </c>
      <c r="AF71" t="s">
        <v>907</v>
      </c>
      <c r="AG71">
        <v>400</v>
      </c>
      <c r="AH71" t="s">
        <v>3873</v>
      </c>
      <c r="AI71" t="s">
        <v>907</v>
      </c>
      <c r="AJ71" t="s">
        <v>907</v>
      </c>
      <c r="AK71" t="s">
        <v>102</v>
      </c>
      <c r="AL71" t="s">
        <v>907</v>
      </c>
      <c r="AM71" t="s">
        <v>2534</v>
      </c>
      <c r="AN71" t="s">
        <v>907</v>
      </c>
      <c r="AO71" t="s">
        <v>267</v>
      </c>
      <c r="AP71" t="s">
        <v>2535</v>
      </c>
      <c r="AQ71" t="s">
        <v>643</v>
      </c>
      <c r="AR71" t="s">
        <v>95</v>
      </c>
      <c r="AS71">
        <v>0</v>
      </c>
      <c r="AT71">
        <v>0</v>
      </c>
      <c r="AU71">
        <v>0</v>
      </c>
      <c r="AV71">
        <v>3</v>
      </c>
      <c r="AW71">
        <v>0</v>
      </c>
      <c r="AX71">
        <v>2</v>
      </c>
      <c r="AY71">
        <v>0</v>
      </c>
      <c r="AZ71" t="s">
        <v>284</v>
      </c>
      <c r="BA71" t="s">
        <v>95</v>
      </c>
      <c r="BB71" t="s">
        <v>154</v>
      </c>
      <c r="BC71" t="s">
        <v>907</v>
      </c>
      <c r="BD71" t="s">
        <v>107</v>
      </c>
      <c r="BE71" t="s">
        <v>258</v>
      </c>
      <c r="BF71" t="s">
        <v>4004</v>
      </c>
      <c r="BG71" t="s">
        <v>235</v>
      </c>
      <c r="BH71">
        <v>25</v>
      </c>
      <c r="BL71">
        <v>10</v>
      </c>
      <c r="BN71">
        <v>2</v>
      </c>
      <c r="BP71">
        <v>3</v>
      </c>
      <c r="BR71">
        <v>0</v>
      </c>
      <c r="BT71">
        <v>3</v>
      </c>
      <c r="BV71">
        <v>0</v>
      </c>
      <c r="BX71">
        <v>7</v>
      </c>
      <c r="BY71" t="s">
        <v>110</v>
      </c>
      <c r="BZ71" t="s">
        <v>907</v>
      </c>
      <c r="CA71" t="s">
        <v>907</v>
      </c>
      <c r="CB71" t="s">
        <v>84</v>
      </c>
      <c r="CC71" t="s">
        <v>84</v>
      </c>
      <c r="CD71" t="s">
        <v>2461</v>
      </c>
      <c r="CE71" t="s">
        <v>4251</v>
      </c>
      <c r="CF71" t="s">
        <v>2536</v>
      </c>
      <c r="CG71" t="s">
        <v>907</v>
      </c>
      <c r="CH71">
        <v>2</v>
      </c>
      <c r="CI71" t="s">
        <v>84</v>
      </c>
      <c r="CJ71" t="s">
        <v>262</v>
      </c>
      <c r="CK71" t="s">
        <v>289</v>
      </c>
      <c r="CL71" t="s">
        <v>2483</v>
      </c>
      <c r="CM71" t="s">
        <v>193</v>
      </c>
      <c r="CN71" t="s">
        <v>381</v>
      </c>
      <c r="CO71" t="s">
        <v>95</v>
      </c>
      <c r="CP71" t="s">
        <v>907</v>
      </c>
      <c r="CQ71" t="s">
        <v>116</v>
      </c>
      <c r="CR71" t="s">
        <v>84</v>
      </c>
      <c r="CS71" t="s">
        <v>117</v>
      </c>
      <c r="CT71" t="s">
        <v>163</v>
      </c>
      <c r="CU71" t="s">
        <v>3869</v>
      </c>
      <c r="CV71" t="s">
        <v>119</v>
      </c>
      <c r="CW71" t="s">
        <v>2537</v>
      </c>
      <c r="CX71" t="s">
        <v>166</v>
      </c>
      <c r="CY71" t="s">
        <v>167</v>
      </c>
      <c r="CZ71" t="s">
        <v>2538</v>
      </c>
      <c r="DA71">
        <v>1</v>
      </c>
      <c r="DB71" s="10">
        <v>4000</v>
      </c>
      <c r="DC71" t="s">
        <v>169</v>
      </c>
      <c r="DD71" t="s">
        <v>907</v>
      </c>
      <c r="DE71">
        <v>2</v>
      </c>
      <c r="DF71">
        <v>15</v>
      </c>
      <c r="DG71" t="s">
        <v>95</v>
      </c>
      <c r="DH71" t="s">
        <v>95</v>
      </c>
      <c r="DI71" t="s">
        <v>907</v>
      </c>
      <c r="DJ71" t="s">
        <v>907</v>
      </c>
      <c r="DK71" t="s">
        <v>907</v>
      </c>
      <c r="DL71" t="s">
        <v>907</v>
      </c>
      <c r="DM71" t="s">
        <v>291</v>
      </c>
      <c r="DN71" t="s">
        <v>907</v>
      </c>
      <c r="DO71" t="s">
        <v>907</v>
      </c>
      <c r="DP71">
        <v>20</v>
      </c>
      <c r="DQ71" t="s">
        <v>441</v>
      </c>
      <c r="DR71" t="s">
        <v>907</v>
      </c>
      <c r="DS71" t="s">
        <v>2539</v>
      </c>
      <c r="DT71" t="s">
        <v>1017</v>
      </c>
      <c r="DU71" t="s">
        <v>95</v>
      </c>
      <c r="DV71" t="s">
        <v>907</v>
      </c>
      <c r="DW71" t="s">
        <v>907</v>
      </c>
      <c r="DX71" t="s">
        <v>907</v>
      </c>
      <c r="FQ71">
        <v>566956953</v>
      </c>
      <c r="FR71" t="s">
        <v>2540</v>
      </c>
      <c r="FS71" s="1">
        <v>45925.844768518517</v>
      </c>
      <c r="FV71" t="s">
        <v>134</v>
      </c>
      <c r="FW71" t="s">
        <v>135</v>
      </c>
      <c r="FX71" t="s">
        <v>136</v>
      </c>
      <c r="FZ71">
        <v>362</v>
      </c>
    </row>
    <row r="72" spans="1:182" hidden="1" x14ac:dyDescent="0.3">
      <c r="A72" s="1">
        <v>45924.625003738423</v>
      </c>
      <c r="B72" s="1">
        <v>45924.636677337963</v>
      </c>
      <c r="D72" t="s">
        <v>84</v>
      </c>
      <c r="E72" t="s">
        <v>535</v>
      </c>
      <c r="F72" t="s">
        <v>580</v>
      </c>
      <c r="G72" t="s">
        <v>176</v>
      </c>
      <c r="H72" t="s">
        <v>4121</v>
      </c>
      <c r="I72" t="s">
        <v>581</v>
      </c>
      <c r="J72" t="s">
        <v>582</v>
      </c>
      <c r="K72" t="s">
        <v>90</v>
      </c>
      <c r="L72" t="s">
        <v>539</v>
      </c>
      <c r="M72" t="s">
        <v>540</v>
      </c>
      <c r="N72" t="s">
        <v>583</v>
      </c>
      <c r="O72">
        <v>-15.345687699999999</v>
      </c>
      <c r="P72">
        <v>23.128879900000001</v>
      </c>
      <c r="Q72">
        <v>1024.276000976562</v>
      </c>
      <c r="R72">
        <v>4.3849999999999998</v>
      </c>
      <c r="S72" t="s">
        <v>84</v>
      </c>
      <c r="T72" t="s">
        <v>182</v>
      </c>
      <c r="U72">
        <v>5</v>
      </c>
      <c r="V72" t="s">
        <v>95</v>
      </c>
      <c r="W72" t="s">
        <v>907</v>
      </c>
      <c r="X72">
        <v>5</v>
      </c>
      <c r="Y72">
        <v>30</v>
      </c>
      <c r="Z72">
        <v>2.5</v>
      </c>
      <c r="AA72" t="s">
        <v>96</v>
      </c>
      <c r="AB72" t="s">
        <v>97</v>
      </c>
      <c r="AC72" t="s">
        <v>144</v>
      </c>
      <c r="AD72" t="s">
        <v>145</v>
      </c>
      <c r="AE72" t="s">
        <v>100</v>
      </c>
      <c r="AF72" t="s">
        <v>907</v>
      </c>
      <c r="AG72">
        <v>0</v>
      </c>
      <c r="AH72" t="s">
        <v>147</v>
      </c>
      <c r="AI72" t="s">
        <v>907</v>
      </c>
      <c r="AJ72" s="5">
        <v>0</v>
      </c>
      <c r="AK72" t="s">
        <v>102</v>
      </c>
      <c r="AL72" t="s">
        <v>907</v>
      </c>
      <c r="AM72" t="s">
        <v>149</v>
      </c>
      <c r="AN72" t="s">
        <v>907</v>
      </c>
      <c r="AO72" t="s">
        <v>584</v>
      </c>
      <c r="AP72">
        <v>0</v>
      </c>
      <c r="AQ72" t="s">
        <v>543</v>
      </c>
      <c r="AR72" t="s">
        <v>95</v>
      </c>
      <c r="AS72">
        <v>0</v>
      </c>
      <c r="AT72">
        <v>50</v>
      </c>
      <c r="AU72">
        <v>0</v>
      </c>
      <c r="AV72">
        <v>0</v>
      </c>
      <c r="AW72">
        <v>0</v>
      </c>
      <c r="AX72">
        <v>0</v>
      </c>
      <c r="AY72">
        <v>0</v>
      </c>
      <c r="AZ72" t="s">
        <v>284</v>
      </c>
      <c r="BA72" t="s">
        <v>95</v>
      </c>
      <c r="BB72" t="s">
        <v>154</v>
      </c>
      <c r="BC72" t="s">
        <v>907</v>
      </c>
      <c r="BD72" t="s">
        <v>107</v>
      </c>
      <c r="BE72" t="s">
        <v>108</v>
      </c>
      <c r="BF72" t="s">
        <v>585</v>
      </c>
      <c r="BG72" t="s">
        <v>235</v>
      </c>
      <c r="BH72">
        <v>39</v>
      </c>
      <c r="BY72" t="s">
        <v>110</v>
      </c>
      <c r="BZ72" t="s">
        <v>907</v>
      </c>
      <c r="CA72" t="s">
        <v>907</v>
      </c>
      <c r="CB72" t="s">
        <v>84</v>
      </c>
      <c r="CC72" t="s">
        <v>84</v>
      </c>
      <c r="CD72" t="s">
        <v>545</v>
      </c>
      <c r="CE72" t="s">
        <v>4250</v>
      </c>
      <c r="CF72" t="s">
        <v>3888</v>
      </c>
      <c r="CG72">
        <v>0</v>
      </c>
      <c r="CH72">
        <v>2</v>
      </c>
      <c r="CI72" t="s">
        <v>84</v>
      </c>
      <c r="CJ72" t="s">
        <v>586</v>
      </c>
      <c r="CK72" t="s">
        <v>289</v>
      </c>
      <c r="CL72" t="s">
        <v>4262</v>
      </c>
      <c r="CM72" t="s">
        <v>115</v>
      </c>
      <c r="CN72" t="s">
        <v>3886</v>
      </c>
      <c r="CO72" t="s">
        <v>95</v>
      </c>
      <c r="CP72" t="s">
        <v>907</v>
      </c>
      <c r="CQ72" t="s">
        <v>116</v>
      </c>
      <c r="CR72" t="s">
        <v>84</v>
      </c>
      <c r="CS72" t="s">
        <v>117</v>
      </c>
      <c r="CT72" t="s">
        <v>163</v>
      </c>
      <c r="CU72" t="s">
        <v>3869</v>
      </c>
      <c r="CV72" t="s">
        <v>119</v>
      </c>
      <c r="CW72" t="s">
        <v>587</v>
      </c>
      <c r="CX72" t="s">
        <v>166</v>
      </c>
      <c r="CY72" t="s">
        <v>588</v>
      </c>
      <c r="CZ72" t="s">
        <v>559</v>
      </c>
      <c r="DA72">
        <v>2</v>
      </c>
      <c r="DB72" s="10">
        <v>4000</v>
      </c>
      <c r="DC72" t="s">
        <v>169</v>
      </c>
      <c r="DD72" t="s">
        <v>907</v>
      </c>
      <c r="DE72">
        <v>5</v>
      </c>
      <c r="DF72">
        <v>15</v>
      </c>
      <c r="DG72" t="s">
        <v>95</v>
      </c>
      <c r="DH72" t="s">
        <v>95</v>
      </c>
      <c r="DI72" t="s">
        <v>907</v>
      </c>
      <c r="DJ72" t="s">
        <v>907</v>
      </c>
      <c r="DK72" t="s">
        <v>907</v>
      </c>
      <c r="DL72" t="s">
        <v>907</v>
      </c>
      <c r="DM72" t="s">
        <v>125</v>
      </c>
      <c r="DN72" t="s">
        <v>242</v>
      </c>
      <c r="DO72" t="s">
        <v>171</v>
      </c>
      <c r="DP72">
        <v>7</v>
      </c>
      <c r="DQ72" t="s">
        <v>128</v>
      </c>
      <c r="DR72" t="s">
        <v>907</v>
      </c>
      <c r="DS72" t="s">
        <v>551</v>
      </c>
      <c r="DT72" t="s">
        <v>552</v>
      </c>
      <c r="DU72" t="s">
        <v>84</v>
      </c>
      <c r="DV72" t="s">
        <v>225</v>
      </c>
      <c r="DW72" t="s">
        <v>533</v>
      </c>
      <c r="DX72" t="s">
        <v>95</v>
      </c>
      <c r="FQ72">
        <v>565908884</v>
      </c>
      <c r="FR72" t="s">
        <v>589</v>
      </c>
      <c r="FS72" s="1">
        <v>45924.644745370373</v>
      </c>
      <c r="FV72" t="s">
        <v>134</v>
      </c>
      <c r="FW72" t="s">
        <v>135</v>
      </c>
      <c r="FX72" t="s">
        <v>136</v>
      </c>
      <c r="FZ72">
        <v>150</v>
      </c>
    </row>
    <row r="73" spans="1:182" x14ac:dyDescent="0.3">
      <c r="A73" s="1">
        <v>45925.671980300933</v>
      </c>
      <c r="B73" s="1">
        <v>45925.695360682868</v>
      </c>
      <c r="D73" t="s">
        <v>84</v>
      </c>
      <c r="E73" t="s">
        <v>1226</v>
      </c>
      <c r="F73" t="s">
        <v>2311</v>
      </c>
      <c r="G73" t="s">
        <v>176</v>
      </c>
      <c r="H73" t="s">
        <v>4122</v>
      </c>
      <c r="I73" t="s">
        <v>2312</v>
      </c>
      <c r="J73" t="s">
        <v>2313</v>
      </c>
      <c r="K73" t="s">
        <v>90</v>
      </c>
      <c r="L73" t="s">
        <v>2306</v>
      </c>
      <c r="M73" t="s">
        <v>2314</v>
      </c>
      <c r="N73" t="s">
        <v>2315</v>
      </c>
      <c r="O73">
        <v>-15.2335067</v>
      </c>
      <c r="P73">
        <v>22.991869999999999</v>
      </c>
      <c r="Q73">
        <v>1007.2</v>
      </c>
      <c r="R73">
        <v>3.98</v>
      </c>
      <c r="S73" t="s">
        <v>84</v>
      </c>
      <c r="T73" t="s">
        <v>94</v>
      </c>
      <c r="U73">
        <v>7</v>
      </c>
      <c r="V73" t="s">
        <v>95</v>
      </c>
      <c r="W73" t="s">
        <v>907</v>
      </c>
      <c r="X73">
        <v>6</v>
      </c>
      <c r="Y73">
        <v>100</v>
      </c>
      <c r="Z73">
        <v>4</v>
      </c>
      <c r="AA73" t="s">
        <v>251</v>
      </c>
      <c r="AB73" t="s">
        <v>351</v>
      </c>
      <c r="AC73" t="s">
        <v>98</v>
      </c>
      <c r="AD73" t="s">
        <v>252</v>
      </c>
      <c r="AE73" t="s">
        <v>100</v>
      </c>
      <c r="AF73" t="s">
        <v>907</v>
      </c>
      <c r="AG73">
        <v>3000</v>
      </c>
      <c r="AH73" t="s">
        <v>2316</v>
      </c>
      <c r="AI73" t="s">
        <v>1232</v>
      </c>
      <c r="AJ73" s="5">
        <v>8000</v>
      </c>
      <c r="AK73" t="s">
        <v>102</v>
      </c>
      <c r="AL73" t="s">
        <v>907</v>
      </c>
      <c r="AM73" t="s">
        <v>1760</v>
      </c>
      <c r="AN73" t="s">
        <v>907</v>
      </c>
      <c r="AO73" t="s">
        <v>2317</v>
      </c>
      <c r="AP73" t="s">
        <v>2143</v>
      </c>
      <c r="AQ73" t="s">
        <v>2318</v>
      </c>
      <c r="AR73" t="s">
        <v>84</v>
      </c>
      <c r="AS73">
        <v>0</v>
      </c>
      <c r="AT73">
        <v>0</v>
      </c>
      <c r="AU73">
        <v>0</v>
      </c>
      <c r="AV73">
        <v>10</v>
      </c>
      <c r="AW73">
        <v>0</v>
      </c>
      <c r="AX73">
        <v>0</v>
      </c>
      <c r="AY73">
        <v>0</v>
      </c>
      <c r="AZ73" t="s">
        <v>929</v>
      </c>
      <c r="BA73" t="s">
        <v>452</v>
      </c>
      <c r="BB73" t="s">
        <v>154</v>
      </c>
      <c r="BC73" t="s">
        <v>907</v>
      </c>
      <c r="BD73" t="s">
        <v>107</v>
      </c>
      <c r="BE73" t="s">
        <v>258</v>
      </c>
      <c r="BF73" t="s">
        <v>2319</v>
      </c>
      <c r="BG73" t="s">
        <v>156</v>
      </c>
      <c r="BH73">
        <v>44</v>
      </c>
      <c r="BL73">
        <v>52</v>
      </c>
      <c r="BN73">
        <v>1</v>
      </c>
      <c r="BP73">
        <v>5</v>
      </c>
      <c r="BR73">
        <v>6</v>
      </c>
      <c r="BT73">
        <v>7</v>
      </c>
      <c r="BV73">
        <v>5</v>
      </c>
      <c r="BX73">
        <v>8</v>
      </c>
      <c r="BY73" t="s">
        <v>189</v>
      </c>
      <c r="BZ73">
        <v>2</v>
      </c>
      <c r="CA73">
        <v>15</v>
      </c>
      <c r="CB73" t="s">
        <v>84</v>
      </c>
      <c r="CC73" t="s">
        <v>84</v>
      </c>
      <c r="CD73" t="s">
        <v>778</v>
      </c>
      <c r="CE73" t="s">
        <v>4250</v>
      </c>
      <c r="CF73" t="s">
        <v>3989</v>
      </c>
      <c r="CG73" t="s">
        <v>907</v>
      </c>
      <c r="CH73">
        <v>2</v>
      </c>
      <c r="CI73" t="s">
        <v>95</v>
      </c>
      <c r="CJ73" t="s">
        <v>907</v>
      </c>
      <c r="CK73" t="s">
        <v>289</v>
      </c>
      <c r="CL73" t="s">
        <v>367</v>
      </c>
      <c r="CM73" t="s">
        <v>193</v>
      </c>
      <c r="CN73" t="s">
        <v>421</v>
      </c>
      <c r="CO73" t="s">
        <v>95</v>
      </c>
      <c r="CP73" t="s">
        <v>907</v>
      </c>
      <c r="CQ73" t="s">
        <v>116</v>
      </c>
      <c r="CR73" t="s">
        <v>84</v>
      </c>
      <c r="CS73" t="s">
        <v>117</v>
      </c>
      <c r="CT73" t="s">
        <v>907</v>
      </c>
      <c r="CU73" t="s">
        <v>3869</v>
      </c>
      <c r="CV73" t="s">
        <v>812</v>
      </c>
      <c r="CW73" t="s">
        <v>1622</v>
      </c>
      <c r="CX73" t="s">
        <v>166</v>
      </c>
      <c r="CY73" t="s">
        <v>167</v>
      </c>
      <c r="CZ73" t="s">
        <v>2320</v>
      </c>
      <c r="DA73">
        <v>1</v>
      </c>
      <c r="DB73" s="10">
        <v>4200</v>
      </c>
      <c r="DC73" t="s">
        <v>169</v>
      </c>
      <c r="DD73" t="s">
        <v>907</v>
      </c>
      <c r="DE73">
        <v>2</v>
      </c>
      <c r="DF73">
        <v>12</v>
      </c>
      <c r="DG73" t="s">
        <v>95</v>
      </c>
      <c r="DH73" t="s">
        <v>95</v>
      </c>
      <c r="DI73" t="s">
        <v>907</v>
      </c>
      <c r="DJ73" t="s">
        <v>907</v>
      </c>
      <c r="DK73" t="s">
        <v>907</v>
      </c>
      <c r="DL73" t="s">
        <v>907</v>
      </c>
      <c r="DM73" t="s">
        <v>291</v>
      </c>
      <c r="DN73" t="s">
        <v>907</v>
      </c>
      <c r="DO73" t="s">
        <v>907</v>
      </c>
      <c r="DP73">
        <v>200</v>
      </c>
      <c r="DQ73" t="s">
        <v>441</v>
      </c>
      <c r="DR73" t="s">
        <v>907</v>
      </c>
      <c r="DS73" t="s">
        <v>1362</v>
      </c>
      <c r="DT73" t="s">
        <v>2321</v>
      </c>
      <c r="DU73" t="s">
        <v>84</v>
      </c>
      <c r="DV73" t="s">
        <v>864</v>
      </c>
      <c r="DW73" t="s">
        <v>2105</v>
      </c>
      <c r="DX73" t="s">
        <v>95</v>
      </c>
      <c r="FQ73">
        <v>566875522</v>
      </c>
      <c r="FR73" t="s">
        <v>2322</v>
      </c>
      <c r="FS73" s="1">
        <v>45925.743935185194</v>
      </c>
      <c r="FV73" t="s">
        <v>134</v>
      </c>
      <c r="FW73" t="s">
        <v>135</v>
      </c>
      <c r="FX73" t="s">
        <v>136</v>
      </c>
      <c r="FZ73">
        <v>325</v>
      </c>
    </row>
    <row r="74" spans="1:182" hidden="1" x14ac:dyDescent="0.3">
      <c r="A74" s="1">
        <v>45930.439693356479</v>
      </c>
      <c r="B74" s="1">
        <v>45930.459836724527</v>
      </c>
      <c r="D74" t="s">
        <v>84</v>
      </c>
      <c r="E74" t="s">
        <v>901</v>
      </c>
      <c r="F74" t="s">
        <v>3592</v>
      </c>
      <c r="G74" t="s">
        <v>176</v>
      </c>
      <c r="H74" t="s">
        <v>4122</v>
      </c>
      <c r="I74" t="s">
        <v>3435</v>
      </c>
      <c r="J74" t="s">
        <v>3593</v>
      </c>
      <c r="K74" t="s">
        <v>90</v>
      </c>
      <c r="L74" t="s">
        <v>3594</v>
      </c>
      <c r="M74" t="s">
        <v>3523</v>
      </c>
      <c r="N74" t="s">
        <v>3595</v>
      </c>
      <c r="O74">
        <v>-15.242374999999999</v>
      </c>
      <c r="P74">
        <v>22.877438300000001</v>
      </c>
      <c r="Q74">
        <v>1023.7</v>
      </c>
      <c r="R74">
        <v>4.0199999999999996</v>
      </c>
      <c r="S74" t="s">
        <v>84</v>
      </c>
      <c r="T74" t="s">
        <v>182</v>
      </c>
      <c r="U74">
        <v>13</v>
      </c>
      <c r="V74" t="s">
        <v>95</v>
      </c>
      <c r="W74" t="s">
        <v>907</v>
      </c>
      <c r="X74">
        <v>35</v>
      </c>
      <c r="Y74">
        <v>7</v>
      </c>
      <c r="Z74">
        <v>4</v>
      </c>
      <c r="AA74" t="s">
        <v>96</v>
      </c>
      <c r="AB74" t="s">
        <v>351</v>
      </c>
      <c r="AC74" t="s">
        <v>98</v>
      </c>
      <c r="AD74" t="s">
        <v>252</v>
      </c>
      <c r="AE74" t="s">
        <v>101</v>
      </c>
      <c r="AF74" t="s">
        <v>907</v>
      </c>
      <c r="AG74">
        <v>4000</v>
      </c>
      <c r="AH74" t="s">
        <v>3873</v>
      </c>
      <c r="AI74" t="s">
        <v>907</v>
      </c>
      <c r="AJ74" t="s">
        <v>907</v>
      </c>
      <c r="AK74" t="s">
        <v>102</v>
      </c>
      <c r="AL74" t="s">
        <v>907</v>
      </c>
      <c r="AM74" t="s">
        <v>4130</v>
      </c>
      <c r="AN74" t="s">
        <v>907</v>
      </c>
      <c r="AQ74" t="s">
        <v>3571</v>
      </c>
      <c r="AR74" t="s">
        <v>95</v>
      </c>
      <c r="AS74">
        <v>0</v>
      </c>
      <c r="AT74">
        <v>0</v>
      </c>
      <c r="AU74">
        <v>0</v>
      </c>
      <c r="AV74">
        <v>0</v>
      </c>
      <c r="AW74">
        <v>0</v>
      </c>
      <c r="AX74">
        <v>0</v>
      </c>
      <c r="AY74">
        <v>0</v>
      </c>
      <c r="AZ74" t="s">
        <v>629</v>
      </c>
      <c r="BA74" t="s">
        <v>95</v>
      </c>
      <c r="BB74" t="s">
        <v>308</v>
      </c>
      <c r="BC74" t="s">
        <v>907</v>
      </c>
      <c r="BD74" t="s">
        <v>107</v>
      </c>
      <c r="BE74" t="s">
        <v>258</v>
      </c>
      <c r="BF74" t="s">
        <v>3572</v>
      </c>
      <c r="BG74" t="s">
        <v>3596</v>
      </c>
      <c r="BH74">
        <v>33</v>
      </c>
      <c r="BL74">
        <v>22</v>
      </c>
      <c r="BN74">
        <v>2</v>
      </c>
      <c r="BP74">
        <v>0</v>
      </c>
      <c r="BR74">
        <v>0</v>
      </c>
      <c r="BT74">
        <v>3</v>
      </c>
      <c r="BV74">
        <v>0</v>
      </c>
      <c r="BX74">
        <v>6</v>
      </c>
      <c r="BY74" t="s">
        <v>110</v>
      </c>
      <c r="BZ74" t="s">
        <v>907</v>
      </c>
      <c r="CA74" t="s">
        <v>907</v>
      </c>
      <c r="CB74" t="s">
        <v>84</v>
      </c>
      <c r="CC74" t="s">
        <v>84</v>
      </c>
      <c r="CD74" t="s">
        <v>334</v>
      </c>
      <c r="CE74" t="s">
        <v>4249</v>
      </c>
      <c r="CF74" t="s">
        <v>3573</v>
      </c>
      <c r="CG74" t="s">
        <v>907</v>
      </c>
      <c r="CH74">
        <v>2</v>
      </c>
      <c r="CI74" t="s">
        <v>95</v>
      </c>
      <c r="CJ74" t="s">
        <v>907</v>
      </c>
      <c r="CK74" t="s">
        <v>289</v>
      </c>
      <c r="CL74" t="s">
        <v>263</v>
      </c>
      <c r="CM74" t="s">
        <v>547</v>
      </c>
      <c r="CN74" t="s">
        <v>421</v>
      </c>
      <c r="CO74" t="s">
        <v>95</v>
      </c>
      <c r="CP74" t="s">
        <v>907</v>
      </c>
      <c r="CQ74" t="s">
        <v>116</v>
      </c>
      <c r="CR74" t="s">
        <v>95</v>
      </c>
      <c r="CS74" t="s">
        <v>907</v>
      </c>
      <c r="CT74" t="s">
        <v>907</v>
      </c>
      <c r="CU74" t="s">
        <v>907</v>
      </c>
      <c r="CV74" t="s">
        <v>812</v>
      </c>
      <c r="CW74" t="s">
        <v>439</v>
      </c>
      <c r="CX74" t="s">
        <v>166</v>
      </c>
      <c r="CY74" t="s">
        <v>167</v>
      </c>
      <c r="CZ74" t="s">
        <v>439</v>
      </c>
      <c r="DA74">
        <v>1</v>
      </c>
      <c r="DB74" s="10">
        <v>4500</v>
      </c>
      <c r="DC74" t="s">
        <v>169</v>
      </c>
      <c r="DD74" t="s">
        <v>907</v>
      </c>
      <c r="DE74">
        <v>1</v>
      </c>
      <c r="DF74">
        <v>25</v>
      </c>
      <c r="DG74" t="s">
        <v>95</v>
      </c>
      <c r="DH74" t="s">
        <v>95</v>
      </c>
      <c r="DI74" t="s">
        <v>907</v>
      </c>
      <c r="DJ74" t="s">
        <v>907</v>
      </c>
      <c r="DK74" t="s">
        <v>907</v>
      </c>
      <c r="DL74" t="s">
        <v>907</v>
      </c>
      <c r="DM74" t="s">
        <v>125</v>
      </c>
      <c r="DN74" t="s">
        <v>200</v>
      </c>
      <c r="DO74" t="s">
        <v>3574</v>
      </c>
      <c r="DP74">
        <v>0</v>
      </c>
      <c r="DQ74" t="s">
        <v>202</v>
      </c>
      <c r="DR74" t="s">
        <v>907</v>
      </c>
      <c r="DS74" t="s">
        <v>383</v>
      </c>
      <c r="DT74" t="s">
        <v>271</v>
      </c>
      <c r="DU74" t="s">
        <v>84</v>
      </c>
      <c r="DV74" t="s">
        <v>294</v>
      </c>
      <c r="DW74" t="s">
        <v>370</v>
      </c>
      <c r="DX74" t="s">
        <v>84</v>
      </c>
      <c r="FQ74">
        <v>569919667</v>
      </c>
      <c r="FR74" t="s">
        <v>3597</v>
      </c>
      <c r="FS74" s="1">
        <v>45930.397673611107</v>
      </c>
      <c r="FV74" t="s">
        <v>134</v>
      </c>
      <c r="FW74" t="s">
        <v>135</v>
      </c>
      <c r="FX74" t="s">
        <v>136</v>
      </c>
      <c r="FZ74">
        <v>563</v>
      </c>
    </row>
    <row r="75" spans="1:182" hidden="1" x14ac:dyDescent="0.3">
      <c r="A75" s="1">
        <v>45924.606456006943</v>
      </c>
      <c r="B75" s="1">
        <v>45924.623451921303</v>
      </c>
      <c r="D75" t="s">
        <v>84</v>
      </c>
      <c r="E75" t="s">
        <v>798</v>
      </c>
      <c r="F75" t="s">
        <v>835</v>
      </c>
      <c r="G75" t="s">
        <v>176</v>
      </c>
      <c r="H75" t="s">
        <v>4122</v>
      </c>
      <c r="I75" t="s">
        <v>836</v>
      </c>
      <c r="J75" t="s">
        <v>837</v>
      </c>
      <c r="K75" t="s">
        <v>90</v>
      </c>
      <c r="L75" t="s">
        <v>838</v>
      </c>
      <c r="M75" t="s">
        <v>839</v>
      </c>
      <c r="N75" t="s">
        <v>840</v>
      </c>
      <c r="O75">
        <v>-15.3038933</v>
      </c>
      <c r="P75">
        <v>23.015347500000001</v>
      </c>
      <c r="Q75">
        <v>1035.8935546875</v>
      </c>
      <c r="R75">
        <v>4.0620000000000003</v>
      </c>
      <c r="S75" t="s">
        <v>84</v>
      </c>
      <c r="T75" t="s">
        <v>182</v>
      </c>
      <c r="U75">
        <v>1</v>
      </c>
      <c r="V75" t="s">
        <v>95</v>
      </c>
      <c r="W75" t="s">
        <v>907</v>
      </c>
      <c r="X75">
        <v>33</v>
      </c>
      <c r="Y75">
        <v>2</v>
      </c>
      <c r="Z75">
        <v>2</v>
      </c>
      <c r="AA75" t="s">
        <v>504</v>
      </c>
      <c r="AB75" t="s">
        <v>351</v>
      </c>
      <c r="AC75" t="s">
        <v>98</v>
      </c>
      <c r="AD75" t="s">
        <v>280</v>
      </c>
      <c r="AE75" t="s">
        <v>304</v>
      </c>
      <c r="AF75" t="s">
        <v>907</v>
      </c>
      <c r="AG75">
        <v>0</v>
      </c>
      <c r="AH75" t="s">
        <v>3873</v>
      </c>
      <c r="AI75" t="s">
        <v>907</v>
      </c>
      <c r="AJ75" t="s">
        <v>907</v>
      </c>
      <c r="AK75" t="s">
        <v>304</v>
      </c>
      <c r="AL75" t="s">
        <v>907</v>
      </c>
      <c r="AM75" t="s">
        <v>907</v>
      </c>
      <c r="AN75" t="s">
        <v>907</v>
      </c>
      <c r="AQ75" t="s">
        <v>907</v>
      </c>
      <c r="AR75" t="s">
        <v>907</v>
      </c>
      <c r="AS75">
        <v>0</v>
      </c>
      <c r="AT75">
        <v>0</v>
      </c>
      <c r="AU75">
        <v>0</v>
      </c>
      <c r="AV75">
        <v>0</v>
      </c>
      <c r="AW75">
        <v>0</v>
      </c>
      <c r="AX75">
        <v>0</v>
      </c>
      <c r="AY75">
        <v>0</v>
      </c>
      <c r="AZ75" t="s">
        <v>106</v>
      </c>
      <c r="BA75" t="s">
        <v>907</v>
      </c>
      <c r="BB75" t="s">
        <v>232</v>
      </c>
      <c r="BC75" t="s">
        <v>95</v>
      </c>
      <c r="BD75" t="s">
        <v>907</v>
      </c>
      <c r="BE75" t="s">
        <v>907</v>
      </c>
      <c r="BF75" t="s">
        <v>907</v>
      </c>
      <c r="BG75" t="s">
        <v>235</v>
      </c>
      <c r="BH75">
        <v>21</v>
      </c>
      <c r="BL75">
        <v>5</v>
      </c>
      <c r="BN75">
        <v>2</v>
      </c>
      <c r="BP75">
        <v>4</v>
      </c>
      <c r="BR75">
        <v>2</v>
      </c>
      <c r="BT75">
        <v>2</v>
      </c>
      <c r="BV75">
        <v>3</v>
      </c>
      <c r="BX75">
        <v>5</v>
      </c>
      <c r="BY75" t="s">
        <v>110</v>
      </c>
      <c r="BZ75" t="s">
        <v>907</v>
      </c>
      <c r="CA75" t="s">
        <v>907</v>
      </c>
      <c r="CB75" t="s">
        <v>84</v>
      </c>
      <c r="CC75" t="s">
        <v>84</v>
      </c>
      <c r="CD75" t="s">
        <v>841</v>
      </c>
      <c r="CE75" t="s">
        <v>4252</v>
      </c>
      <c r="CF75" t="s">
        <v>511</v>
      </c>
      <c r="CG75" t="s">
        <v>907</v>
      </c>
      <c r="CH75">
        <v>2</v>
      </c>
      <c r="CI75" t="s">
        <v>95</v>
      </c>
      <c r="CJ75" t="s">
        <v>907</v>
      </c>
      <c r="CK75" t="s">
        <v>289</v>
      </c>
      <c r="CL75" t="s">
        <v>456</v>
      </c>
      <c r="CM75" t="s">
        <v>193</v>
      </c>
      <c r="CN75" t="s">
        <v>3874</v>
      </c>
      <c r="CO75" t="s">
        <v>95</v>
      </c>
      <c r="CP75" t="s">
        <v>907</v>
      </c>
      <c r="CQ75" t="s">
        <v>116</v>
      </c>
      <c r="CR75" t="s">
        <v>84</v>
      </c>
      <c r="CS75" t="s">
        <v>117</v>
      </c>
      <c r="CT75" t="s">
        <v>163</v>
      </c>
      <c r="CU75" t="s">
        <v>3869</v>
      </c>
      <c r="CV75" t="s">
        <v>907</v>
      </c>
      <c r="CW75" t="s">
        <v>907</v>
      </c>
      <c r="CX75" t="s">
        <v>290</v>
      </c>
      <c r="CY75" t="s">
        <v>907</v>
      </c>
      <c r="CZ75" t="s">
        <v>907</v>
      </c>
      <c r="DA75" t="s">
        <v>907</v>
      </c>
      <c r="DB75" t="s">
        <v>907</v>
      </c>
      <c r="DC75" t="s">
        <v>907</v>
      </c>
      <c r="DD75" t="s">
        <v>907</v>
      </c>
      <c r="DE75" t="s">
        <v>907</v>
      </c>
      <c r="DF75" t="s">
        <v>907</v>
      </c>
      <c r="DG75" t="s">
        <v>95</v>
      </c>
      <c r="DH75" t="s">
        <v>95</v>
      </c>
      <c r="DI75" t="s">
        <v>907</v>
      </c>
      <c r="DJ75" t="s">
        <v>907</v>
      </c>
      <c r="DK75" t="s">
        <v>907</v>
      </c>
      <c r="DL75" t="s">
        <v>907</v>
      </c>
      <c r="DM75" t="s">
        <v>291</v>
      </c>
      <c r="DN75" t="s">
        <v>907</v>
      </c>
      <c r="DO75" t="s">
        <v>907</v>
      </c>
      <c r="DP75">
        <v>2</v>
      </c>
      <c r="DQ75" t="s">
        <v>128</v>
      </c>
      <c r="DR75" t="s">
        <v>907</v>
      </c>
      <c r="DS75" t="s">
        <v>172</v>
      </c>
      <c r="DT75" t="s">
        <v>842</v>
      </c>
      <c r="DU75" t="s">
        <v>95</v>
      </c>
      <c r="DV75" t="s">
        <v>907</v>
      </c>
      <c r="DW75" t="s">
        <v>907</v>
      </c>
      <c r="DX75" t="s">
        <v>907</v>
      </c>
      <c r="FQ75">
        <v>565915903</v>
      </c>
      <c r="FR75" t="s">
        <v>843</v>
      </c>
      <c r="FS75" s="1">
        <v>45924.650335648148</v>
      </c>
      <c r="FV75" t="s">
        <v>134</v>
      </c>
      <c r="FW75" t="s">
        <v>135</v>
      </c>
      <c r="FX75" t="s">
        <v>136</v>
      </c>
      <c r="FZ75">
        <v>173</v>
      </c>
    </row>
    <row r="76" spans="1:182" hidden="1" x14ac:dyDescent="0.3">
      <c r="A76" s="1">
        <v>45929.555212106483</v>
      </c>
      <c r="B76" s="1">
        <v>45929.573056527777</v>
      </c>
      <c r="D76" t="s">
        <v>84</v>
      </c>
      <c r="E76" t="s">
        <v>1878</v>
      </c>
      <c r="F76" t="s">
        <v>3180</v>
      </c>
      <c r="G76" t="s">
        <v>176</v>
      </c>
      <c r="H76" t="s">
        <v>4121</v>
      </c>
      <c r="I76" t="s">
        <v>3181</v>
      </c>
      <c r="J76" t="s">
        <v>3182</v>
      </c>
      <c r="K76" t="s">
        <v>90</v>
      </c>
      <c r="L76" t="s">
        <v>4060</v>
      </c>
      <c r="M76" t="s">
        <v>277</v>
      </c>
      <c r="N76" t="s">
        <v>3183</v>
      </c>
      <c r="O76">
        <v>-15.395975399999999</v>
      </c>
      <c r="P76">
        <v>23.040584200000001</v>
      </c>
      <c r="Q76">
        <v>1024.8</v>
      </c>
      <c r="R76">
        <v>3.24</v>
      </c>
      <c r="S76" t="s">
        <v>84</v>
      </c>
      <c r="T76" t="s">
        <v>182</v>
      </c>
      <c r="U76">
        <v>7</v>
      </c>
      <c r="V76" t="s">
        <v>95</v>
      </c>
      <c r="W76" t="s">
        <v>907</v>
      </c>
      <c r="X76">
        <v>10</v>
      </c>
      <c r="Y76">
        <v>2</v>
      </c>
      <c r="Z76">
        <v>1</v>
      </c>
      <c r="AA76" t="s">
        <v>96</v>
      </c>
      <c r="AB76" t="s">
        <v>489</v>
      </c>
      <c r="AC76" t="s">
        <v>98</v>
      </c>
      <c r="AD76" t="s">
        <v>99</v>
      </c>
      <c r="AE76" t="s">
        <v>101</v>
      </c>
      <c r="AF76" t="s">
        <v>907</v>
      </c>
      <c r="AG76">
        <v>750</v>
      </c>
      <c r="AH76" t="s">
        <v>3873</v>
      </c>
      <c r="AI76" t="s">
        <v>907</v>
      </c>
      <c r="AJ76" t="s">
        <v>907</v>
      </c>
      <c r="AK76" t="s">
        <v>148</v>
      </c>
      <c r="AL76" t="s">
        <v>907</v>
      </c>
      <c r="AM76" t="s">
        <v>4130</v>
      </c>
      <c r="AN76" t="s">
        <v>907</v>
      </c>
      <c r="AQ76" t="s">
        <v>3184</v>
      </c>
      <c r="AR76" t="s">
        <v>95</v>
      </c>
      <c r="AS76">
        <v>0</v>
      </c>
      <c r="AT76">
        <v>0</v>
      </c>
      <c r="AU76">
        <v>0</v>
      </c>
      <c r="AV76">
        <v>0</v>
      </c>
      <c r="AW76">
        <v>0</v>
      </c>
      <c r="AX76">
        <v>0</v>
      </c>
      <c r="AY76">
        <v>0</v>
      </c>
      <c r="AZ76" t="s">
        <v>1003</v>
      </c>
      <c r="BA76" t="s">
        <v>452</v>
      </c>
      <c r="BB76" t="s">
        <v>308</v>
      </c>
      <c r="BC76" t="s">
        <v>907</v>
      </c>
      <c r="BD76" t="s">
        <v>107</v>
      </c>
      <c r="BE76" t="s">
        <v>258</v>
      </c>
      <c r="BF76" t="s">
        <v>3185</v>
      </c>
      <c r="BG76" t="s">
        <v>526</v>
      </c>
      <c r="BH76">
        <v>38</v>
      </c>
      <c r="BL76">
        <v>10</v>
      </c>
      <c r="BN76">
        <v>2</v>
      </c>
      <c r="BP76">
        <v>8</v>
      </c>
      <c r="BR76">
        <v>10</v>
      </c>
      <c r="BT76">
        <v>4</v>
      </c>
      <c r="BV76">
        <v>0</v>
      </c>
      <c r="BX76">
        <v>4</v>
      </c>
      <c r="BY76" t="s">
        <v>189</v>
      </c>
      <c r="BZ76">
        <v>4</v>
      </c>
      <c r="CA76">
        <v>14</v>
      </c>
      <c r="CB76" t="s">
        <v>84</v>
      </c>
      <c r="CC76" t="s">
        <v>84</v>
      </c>
      <c r="CD76" t="s">
        <v>3186</v>
      </c>
      <c r="CE76" t="s">
        <v>4249</v>
      </c>
      <c r="CF76" t="s">
        <v>4061</v>
      </c>
      <c r="CG76" t="s">
        <v>907</v>
      </c>
      <c r="CH76">
        <v>2</v>
      </c>
      <c r="CI76" t="s">
        <v>84</v>
      </c>
      <c r="CJ76" t="s">
        <v>546</v>
      </c>
      <c r="CK76" t="s">
        <v>289</v>
      </c>
      <c r="CL76" t="s">
        <v>4262</v>
      </c>
      <c r="CM76" t="s">
        <v>193</v>
      </c>
      <c r="CN76" t="s">
        <v>3874</v>
      </c>
      <c r="CO76" t="s">
        <v>95</v>
      </c>
      <c r="CP76" t="s">
        <v>907</v>
      </c>
      <c r="CQ76" t="s">
        <v>116</v>
      </c>
      <c r="CR76" t="s">
        <v>84</v>
      </c>
      <c r="CS76" t="s">
        <v>117</v>
      </c>
      <c r="CT76" t="s">
        <v>163</v>
      </c>
      <c r="CU76" t="s">
        <v>3869</v>
      </c>
      <c r="CV76" t="s">
        <v>290</v>
      </c>
      <c r="CW76" t="s">
        <v>907</v>
      </c>
      <c r="CX76" t="s">
        <v>907</v>
      </c>
      <c r="CY76" t="s">
        <v>907</v>
      </c>
      <c r="CZ76" t="s">
        <v>907</v>
      </c>
      <c r="DA76" t="s">
        <v>907</v>
      </c>
      <c r="DB76" t="s">
        <v>907</v>
      </c>
      <c r="DC76" t="s">
        <v>907</v>
      </c>
      <c r="DD76" t="s">
        <v>907</v>
      </c>
      <c r="DE76" t="s">
        <v>907</v>
      </c>
      <c r="DF76" t="s">
        <v>907</v>
      </c>
      <c r="DG76" t="s">
        <v>95</v>
      </c>
      <c r="DH76" t="s">
        <v>95</v>
      </c>
      <c r="DI76" t="s">
        <v>907</v>
      </c>
      <c r="DJ76" t="s">
        <v>907</v>
      </c>
      <c r="DK76" t="s">
        <v>907</v>
      </c>
      <c r="DL76" t="s">
        <v>907</v>
      </c>
      <c r="DM76" t="s">
        <v>291</v>
      </c>
      <c r="DN76" t="s">
        <v>907</v>
      </c>
      <c r="DO76" t="s">
        <v>907</v>
      </c>
      <c r="DP76">
        <v>2</v>
      </c>
      <c r="DQ76" t="s">
        <v>128</v>
      </c>
      <c r="DR76" t="s">
        <v>907</v>
      </c>
      <c r="DS76" t="s">
        <v>172</v>
      </c>
      <c r="DT76" t="s">
        <v>650</v>
      </c>
      <c r="DU76" t="s">
        <v>84</v>
      </c>
      <c r="DV76" t="s">
        <v>131</v>
      </c>
      <c r="DW76" t="s">
        <v>2062</v>
      </c>
      <c r="DX76" t="s">
        <v>95</v>
      </c>
      <c r="FQ76">
        <v>569368927</v>
      </c>
      <c r="FR76" t="s">
        <v>3187</v>
      </c>
      <c r="FS76" s="1">
        <v>45929.596458333333</v>
      </c>
      <c r="FV76" t="s">
        <v>134</v>
      </c>
      <c r="FW76" t="s">
        <v>135</v>
      </c>
      <c r="FX76" t="s">
        <v>136</v>
      </c>
      <c r="FZ76">
        <v>486</v>
      </c>
    </row>
    <row r="77" spans="1:182" hidden="1" x14ac:dyDescent="0.3">
      <c r="A77" s="1">
        <v>45925.469274525472</v>
      </c>
      <c r="B77" s="1">
        <v>45925.492590208327</v>
      </c>
      <c r="D77" t="s">
        <v>84</v>
      </c>
      <c r="E77" t="s">
        <v>497</v>
      </c>
      <c r="F77" t="s">
        <v>1990</v>
      </c>
      <c r="G77" t="s">
        <v>176</v>
      </c>
      <c r="H77" t="s">
        <v>4122</v>
      </c>
      <c r="I77" t="s">
        <v>1868</v>
      </c>
      <c r="J77" t="s">
        <v>1991</v>
      </c>
      <c r="K77" t="s">
        <v>90</v>
      </c>
      <c r="L77" t="s">
        <v>1992</v>
      </c>
      <c r="M77" t="s">
        <v>1993</v>
      </c>
      <c r="N77" t="s">
        <v>1994</v>
      </c>
      <c r="O77">
        <v>-15.1646588</v>
      </c>
      <c r="P77">
        <v>22.997735899999999</v>
      </c>
      <c r="Q77">
        <v>1035.655883789062</v>
      </c>
      <c r="R77">
        <v>4.6529999999999996</v>
      </c>
      <c r="S77" t="s">
        <v>84</v>
      </c>
      <c r="T77" t="s">
        <v>182</v>
      </c>
      <c r="U77">
        <v>4</v>
      </c>
      <c r="V77" t="s">
        <v>95</v>
      </c>
      <c r="W77" t="s">
        <v>907</v>
      </c>
      <c r="X77">
        <v>30</v>
      </c>
      <c r="Y77">
        <v>2</v>
      </c>
      <c r="Z77">
        <v>2</v>
      </c>
      <c r="AA77" t="s">
        <v>96</v>
      </c>
      <c r="AB77" t="s">
        <v>351</v>
      </c>
      <c r="AC77" t="s">
        <v>98</v>
      </c>
      <c r="AD77" t="s">
        <v>280</v>
      </c>
      <c r="AE77" t="s">
        <v>101</v>
      </c>
      <c r="AF77" t="s">
        <v>907</v>
      </c>
      <c r="AG77">
        <v>80</v>
      </c>
      <c r="AH77" t="s">
        <v>304</v>
      </c>
      <c r="AI77" t="s">
        <v>907</v>
      </c>
      <c r="AJ77" s="5">
        <v>1250</v>
      </c>
      <c r="AK77" t="s">
        <v>148</v>
      </c>
      <c r="AL77" t="s">
        <v>907</v>
      </c>
      <c r="AM77" t="s">
        <v>466</v>
      </c>
      <c r="AN77" t="s">
        <v>907</v>
      </c>
      <c r="AO77" t="s">
        <v>1995</v>
      </c>
      <c r="AP77" t="s">
        <v>1996</v>
      </c>
      <c r="AQ77" t="s">
        <v>466</v>
      </c>
      <c r="AR77" t="s">
        <v>95</v>
      </c>
      <c r="AS77">
        <v>10</v>
      </c>
      <c r="AT77">
        <v>0</v>
      </c>
      <c r="AU77">
        <v>0</v>
      </c>
      <c r="AV77">
        <v>15</v>
      </c>
      <c r="AW77">
        <v>0</v>
      </c>
      <c r="AX77">
        <v>0</v>
      </c>
      <c r="AY77">
        <v>0</v>
      </c>
      <c r="AZ77" t="s">
        <v>929</v>
      </c>
      <c r="BA77" t="s">
        <v>95</v>
      </c>
      <c r="BB77" t="s">
        <v>154</v>
      </c>
      <c r="BC77" t="s">
        <v>907</v>
      </c>
      <c r="BD77" t="s">
        <v>107</v>
      </c>
      <c r="BE77" t="s">
        <v>470</v>
      </c>
      <c r="BF77" t="s">
        <v>3963</v>
      </c>
      <c r="BG77" t="s">
        <v>235</v>
      </c>
      <c r="BH77">
        <v>50</v>
      </c>
      <c r="BN77">
        <v>2</v>
      </c>
      <c r="BP77">
        <v>25</v>
      </c>
      <c r="BT77">
        <v>11</v>
      </c>
      <c r="BX77">
        <v>12</v>
      </c>
      <c r="BY77" t="s">
        <v>110</v>
      </c>
      <c r="BZ77" t="s">
        <v>907</v>
      </c>
      <c r="CA77" t="s">
        <v>907</v>
      </c>
      <c r="CB77" t="s">
        <v>84</v>
      </c>
      <c r="CC77" t="s">
        <v>84</v>
      </c>
      <c r="CD77" t="s">
        <v>1997</v>
      </c>
      <c r="CE77" t="s">
        <v>1998</v>
      </c>
      <c r="CF77" t="s">
        <v>1999</v>
      </c>
      <c r="CG77" t="s">
        <v>907</v>
      </c>
      <c r="CH77">
        <v>2</v>
      </c>
      <c r="CI77" t="s">
        <v>84</v>
      </c>
      <c r="CJ77" t="s">
        <v>262</v>
      </c>
      <c r="CK77" t="s">
        <v>289</v>
      </c>
      <c r="CL77" t="s">
        <v>1655</v>
      </c>
      <c r="CM77" t="s">
        <v>547</v>
      </c>
      <c r="CN77" t="s">
        <v>381</v>
      </c>
      <c r="CO77" t="s">
        <v>95</v>
      </c>
      <c r="CP77" t="s">
        <v>907</v>
      </c>
      <c r="CQ77" t="s">
        <v>116</v>
      </c>
      <c r="CR77" t="s">
        <v>84</v>
      </c>
      <c r="CS77" t="s">
        <v>117</v>
      </c>
      <c r="CT77" t="s">
        <v>160</v>
      </c>
      <c r="CU77" t="s">
        <v>793</v>
      </c>
      <c r="CV77" t="s">
        <v>812</v>
      </c>
      <c r="CW77" t="s">
        <v>907</v>
      </c>
      <c r="CX77" t="s">
        <v>166</v>
      </c>
      <c r="CY77" t="s">
        <v>167</v>
      </c>
      <c r="CZ77" t="s">
        <v>2000</v>
      </c>
      <c r="DA77">
        <v>2</v>
      </c>
      <c r="DB77" s="10">
        <v>15</v>
      </c>
      <c r="DC77" t="s">
        <v>169</v>
      </c>
      <c r="DD77" t="s">
        <v>907</v>
      </c>
      <c r="DE77">
        <v>1</v>
      </c>
      <c r="DF77">
        <v>21</v>
      </c>
      <c r="DG77" t="s">
        <v>95</v>
      </c>
      <c r="DH77" t="s">
        <v>95</v>
      </c>
      <c r="DI77" t="s">
        <v>907</v>
      </c>
      <c r="DJ77" t="s">
        <v>907</v>
      </c>
      <c r="DK77" t="s">
        <v>907</v>
      </c>
      <c r="DL77" t="s">
        <v>907</v>
      </c>
      <c r="DM77" t="s">
        <v>291</v>
      </c>
      <c r="DN77" t="s">
        <v>907</v>
      </c>
      <c r="DO77" t="s">
        <v>907</v>
      </c>
      <c r="DP77">
        <v>2</v>
      </c>
      <c r="DQ77" t="s">
        <v>128</v>
      </c>
      <c r="DR77" t="s">
        <v>907</v>
      </c>
      <c r="DS77" t="s">
        <v>882</v>
      </c>
      <c r="DT77" t="s">
        <v>1889</v>
      </c>
      <c r="DU77" t="s">
        <v>84</v>
      </c>
      <c r="DV77" t="s">
        <v>294</v>
      </c>
      <c r="DW77" t="s">
        <v>132</v>
      </c>
      <c r="DX77" t="s">
        <v>95</v>
      </c>
      <c r="FQ77">
        <v>566860751</v>
      </c>
      <c r="FR77" t="s">
        <v>2001</v>
      </c>
      <c r="FS77" s="1">
        <v>45925.728217592587</v>
      </c>
      <c r="FV77" t="s">
        <v>134</v>
      </c>
      <c r="FW77" t="s">
        <v>135</v>
      </c>
      <c r="FX77" t="s">
        <v>136</v>
      </c>
      <c r="FZ77">
        <v>296</v>
      </c>
    </row>
    <row r="78" spans="1:182" x14ac:dyDescent="0.3">
      <c r="A78" s="1">
        <v>45923.43014895833</v>
      </c>
      <c r="B78" s="1">
        <v>45923.453275185188</v>
      </c>
      <c r="D78" t="s">
        <v>84</v>
      </c>
      <c r="E78" t="s">
        <v>1226</v>
      </c>
      <c r="F78" t="s">
        <v>1244</v>
      </c>
      <c r="G78" t="s">
        <v>176</v>
      </c>
      <c r="H78" t="s">
        <v>4121</v>
      </c>
      <c r="I78" t="s">
        <v>1245</v>
      </c>
      <c r="J78" t="s">
        <v>1246</v>
      </c>
      <c r="K78" t="s">
        <v>90</v>
      </c>
      <c r="L78" t="s">
        <v>3913</v>
      </c>
      <c r="M78" t="s">
        <v>277</v>
      </c>
      <c r="N78" t="s">
        <v>1247</v>
      </c>
      <c r="O78">
        <v>-15.4675867</v>
      </c>
      <c r="P78">
        <v>23.220258300000001</v>
      </c>
      <c r="Q78">
        <v>1004</v>
      </c>
      <c r="R78">
        <v>4.6660000000000004</v>
      </c>
      <c r="S78" t="s">
        <v>84</v>
      </c>
      <c r="T78" t="s">
        <v>182</v>
      </c>
      <c r="U78">
        <v>6</v>
      </c>
      <c r="V78" t="s">
        <v>95</v>
      </c>
      <c r="W78" t="s">
        <v>907</v>
      </c>
      <c r="X78">
        <v>15</v>
      </c>
      <c r="Y78">
        <v>12</v>
      </c>
      <c r="Z78">
        <v>7</v>
      </c>
      <c r="AA78" t="s">
        <v>251</v>
      </c>
      <c r="AB78" t="s">
        <v>97</v>
      </c>
      <c r="AC78" t="s">
        <v>98</v>
      </c>
      <c r="AD78" t="s">
        <v>520</v>
      </c>
      <c r="AE78" t="s">
        <v>100</v>
      </c>
      <c r="AF78" t="s">
        <v>907</v>
      </c>
      <c r="AG78" s="3">
        <v>2000</v>
      </c>
      <c r="AH78" t="s">
        <v>1248</v>
      </c>
      <c r="AI78" t="s">
        <v>907</v>
      </c>
      <c r="AJ78" s="5">
        <v>1500</v>
      </c>
      <c r="AK78" t="s">
        <v>102</v>
      </c>
      <c r="AL78" t="s">
        <v>907</v>
      </c>
      <c r="AM78" t="s">
        <v>253</v>
      </c>
      <c r="AN78" t="s">
        <v>907</v>
      </c>
      <c r="AO78" t="s">
        <v>1249</v>
      </c>
      <c r="AP78" t="s">
        <v>1250</v>
      </c>
      <c r="AQ78" t="s">
        <v>149</v>
      </c>
      <c r="AR78" t="s">
        <v>95</v>
      </c>
      <c r="AS78">
        <v>6</v>
      </c>
      <c r="AT78">
        <v>5</v>
      </c>
      <c r="AU78">
        <v>0</v>
      </c>
      <c r="AV78">
        <v>50</v>
      </c>
      <c r="AW78">
        <v>50</v>
      </c>
      <c r="AX78">
        <v>0</v>
      </c>
      <c r="AY78">
        <v>0</v>
      </c>
      <c r="AZ78" t="s">
        <v>284</v>
      </c>
      <c r="BA78" t="s">
        <v>95</v>
      </c>
      <c r="BB78" t="s">
        <v>308</v>
      </c>
      <c r="BC78" t="s">
        <v>907</v>
      </c>
      <c r="BD78" t="s">
        <v>107</v>
      </c>
      <c r="BE78" t="s">
        <v>363</v>
      </c>
      <c r="BF78" t="s">
        <v>1146</v>
      </c>
      <c r="BG78" t="s">
        <v>156</v>
      </c>
      <c r="BH78">
        <v>49</v>
      </c>
      <c r="BL78">
        <v>52</v>
      </c>
      <c r="BN78">
        <v>1</v>
      </c>
      <c r="BP78">
        <v>4</v>
      </c>
      <c r="BR78">
        <v>4</v>
      </c>
      <c r="BT78">
        <v>8</v>
      </c>
      <c r="BV78">
        <v>4</v>
      </c>
      <c r="BX78">
        <v>8</v>
      </c>
      <c r="BY78" t="s">
        <v>189</v>
      </c>
      <c r="BZ78">
        <v>2</v>
      </c>
      <c r="CA78">
        <v>39</v>
      </c>
      <c r="CB78" t="s">
        <v>84</v>
      </c>
      <c r="CC78" t="s">
        <v>84</v>
      </c>
      <c r="CD78" t="s">
        <v>334</v>
      </c>
      <c r="CE78" t="s">
        <v>4251</v>
      </c>
      <c r="CF78" t="s">
        <v>3918</v>
      </c>
      <c r="CG78" t="s">
        <v>907</v>
      </c>
      <c r="CH78">
        <v>2</v>
      </c>
      <c r="CI78" t="s">
        <v>95</v>
      </c>
      <c r="CJ78" t="s">
        <v>907</v>
      </c>
      <c r="CK78" t="s">
        <v>289</v>
      </c>
      <c r="CL78" t="s">
        <v>367</v>
      </c>
      <c r="CM78" t="s">
        <v>193</v>
      </c>
      <c r="CN78" t="s">
        <v>3870</v>
      </c>
      <c r="CO78" t="s">
        <v>95</v>
      </c>
      <c r="CP78" t="s">
        <v>907</v>
      </c>
      <c r="CQ78" t="s">
        <v>116</v>
      </c>
      <c r="CR78" t="s">
        <v>84</v>
      </c>
      <c r="CS78" t="s">
        <v>117</v>
      </c>
      <c r="CT78" t="s">
        <v>907</v>
      </c>
      <c r="CU78" t="s">
        <v>438</v>
      </c>
      <c r="CV78" t="s">
        <v>119</v>
      </c>
      <c r="CW78" t="s">
        <v>1251</v>
      </c>
      <c r="CX78" t="s">
        <v>166</v>
      </c>
      <c r="CY78" t="s">
        <v>167</v>
      </c>
      <c r="CZ78" t="s">
        <v>1252</v>
      </c>
      <c r="DA78">
        <v>1</v>
      </c>
      <c r="DB78" s="10">
        <v>4600</v>
      </c>
      <c r="DC78" t="s">
        <v>169</v>
      </c>
      <c r="DD78" t="s">
        <v>907</v>
      </c>
      <c r="DE78">
        <v>4</v>
      </c>
      <c r="DF78">
        <v>19</v>
      </c>
      <c r="DG78" t="s">
        <v>84</v>
      </c>
      <c r="DH78" t="s">
        <v>95</v>
      </c>
      <c r="DI78" t="s">
        <v>907</v>
      </c>
      <c r="DJ78" t="s">
        <v>907</v>
      </c>
      <c r="DK78" t="s">
        <v>907</v>
      </c>
      <c r="DL78" t="s">
        <v>907</v>
      </c>
      <c r="DM78" t="s">
        <v>125</v>
      </c>
      <c r="DN78" t="s">
        <v>1240</v>
      </c>
      <c r="DO78" t="s">
        <v>342</v>
      </c>
      <c r="DP78">
        <v>2</v>
      </c>
      <c r="DQ78" t="s">
        <v>202</v>
      </c>
      <c r="DR78" t="s">
        <v>907</v>
      </c>
      <c r="DS78" t="s">
        <v>1253</v>
      </c>
      <c r="DT78" t="s">
        <v>1254</v>
      </c>
      <c r="DU78" t="s">
        <v>84</v>
      </c>
      <c r="DV78" t="s">
        <v>344</v>
      </c>
      <c r="DW78" t="s">
        <v>132</v>
      </c>
      <c r="DX78" t="s">
        <v>95</v>
      </c>
      <c r="FQ78">
        <v>566012850</v>
      </c>
      <c r="FR78" t="s">
        <v>1255</v>
      </c>
      <c r="FS78" s="1">
        <v>45924.733865740738</v>
      </c>
      <c r="FV78" t="s">
        <v>134</v>
      </c>
      <c r="FW78" t="s">
        <v>135</v>
      </c>
      <c r="FX78" t="s">
        <v>136</v>
      </c>
      <c r="FZ78">
        <v>209</v>
      </c>
    </row>
    <row r="79" spans="1:182" x14ac:dyDescent="0.3">
      <c r="A79" s="1">
        <v>45929.47965616898</v>
      </c>
      <c r="B79" s="1">
        <v>45929.488192731478</v>
      </c>
      <c r="D79" t="s">
        <v>84</v>
      </c>
      <c r="E79" t="s">
        <v>297</v>
      </c>
      <c r="F79" t="s">
        <v>3357</v>
      </c>
      <c r="G79" t="s">
        <v>176</v>
      </c>
      <c r="H79" t="s">
        <v>4122</v>
      </c>
      <c r="I79">
        <v>0</v>
      </c>
      <c r="J79" t="s">
        <v>3358</v>
      </c>
      <c r="K79" t="s">
        <v>90</v>
      </c>
      <c r="L79" t="s">
        <v>3359</v>
      </c>
      <c r="M79" t="s">
        <v>277</v>
      </c>
      <c r="N79" t="s">
        <v>3360</v>
      </c>
      <c r="O79">
        <v>-15.3512428</v>
      </c>
      <c r="P79">
        <v>23.0684179</v>
      </c>
      <c r="Q79">
        <v>1031.202026367188</v>
      </c>
      <c r="R79">
        <v>4.9400000000000004</v>
      </c>
      <c r="S79" t="s">
        <v>84</v>
      </c>
      <c r="T79" t="s">
        <v>94</v>
      </c>
      <c r="U79">
        <v>4</v>
      </c>
      <c r="V79" t="s">
        <v>95</v>
      </c>
      <c r="W79" t="s">
        <v>907</v>
      </c>
      <c r="X79">
        <v>30</v>
      </c>
      <c r="Y79">
        <v>2</v>
      </c>
      <c r="Z79">
        <v>1</v>
      </c>
      <c r="AA79" t="s">
        <v>96</v>
      </c>
      <c r="AB79" t="s">
        <v>351</v>
      </c>
      <c r="AC79" t="s">
        <v>98</v>
      </c>
      <c r="AD79" t="s">
        <v>145</v>
      </c>
      <c r="AE79" t="s">
        <v>101</v>
      </c>
      <c r="AF79" t="s">
        <v>907</v>
      </c>
      <c r="AG79">
        <v>1500</v>
      </c>
      <c r="AH79" t="s">
        <v>3873</v>
      </c>
      <c r="AI79" t="s">
        <v>907</v>
      </c>
      <c r="AJ79" t="s">
        <v>907</v>
      </c>
      <c r="AK79" t="s">
        <v>102</v>
      </c>
      <c r="AL79" t="s">
        <v>907</v>
      </c>
      <c r="AM79" t="s">
        <v>4130</v>
      </c>
      <c r="AN79" t="s">
        <v>907</v>
      </c>
      <c r="AQ79" t="s">
        <v>1431</v>
      </c>
      <c r="AR79" t="s">
        <v>95</v>
      </c>
      <c r="AS79">
        <v>0</v>
      </c>
      <c r="AT79">
        <v>0</v>
      </c>
      <c r="AU79">
        <v>0</v>
      </c>
      <c r="AV79">
        <v>0</v>
      </c>
      <c r="AW79">
        <v>0</v>
      </c>
      <c r="AX79">
        <v>0</v>
      </c>
      <c r="AY79">
        <v>0</v>
      </c>
      <c r="AZ79" t="s">
        <v>106</v>
      </c>
      <c r="BA79" t="s">
        <v>95</v>
      </c>
      <c r="BB79" t="s">
        <v>3866</v>
      </c>
      <c r="BC79" t="s">
        <v>907</v>
      </c>
      <c r="BD79" t="s">
        <v>107</v>
      </c>
      <c r="BE79" t="s">
        <v>258</v>
      </c>
      <c r="BF79" t="s">
        <v>4080</v>
      </c>
      <c r="BG79" t="s">
        <v>2033</v>
      </c>
      <c r="BH79">
        <v>19</v>
      </c>
      <c r="BL79">
        <v>9</v>
      </c>
      <c r="BN79">
        <v>0</v>
      </c>
      <c r="BP79">
        <v>0</v>
      </c>
      <c r="BR79">
        <v>0</v>
      </c>
      <c r="BT79">
        <v>4</v>
      </c>
      <c r="BV79">
        <v>0</v>
      </c>
      <c r="BX79">
        <v>6</v>
      </c>
      <c r="BY79" t="s">
        <v>189</v>
      </c>
      <c r="BZ79">
        <v>1</v>
      </c>
      <c r="CA79">
        <v>6</v>
      </c>
      <c r="CB79" t="s">
        <v>84</v>
      </c>
      <c r="CC79" t="s">
        <v>84</v>
      </c>
      <c r="CD79" t="s">
        <v>3361</v>
      </c>
      <c r="CE79" t="s">
        <v>4250</v>
      </c>
      <c r="CF79" t="s">
        <v>3362</v>
      </c>
      <c r="CG79" t="s">
        <v>907</v>
      </c>
      <c r="CH79">
        <v>2</v>
      </c>
      <c r="CI79" t="s">
        <v>95</v>
      </c>
      <c r="CJ79" t="s">
        <v>907</v>
      </c>
      <c r="CK79" t="s">
        <v>289</v>
      </c>
      <c r="CL79" t="s">
        <v>3363</v>
      </c>
      <c r="CM79" t="s">
        <v>193</v>
      </c>
      <c r="CN79" t="s">
        <v>421</v>
      </c>
      <c r="CO79" t="s">
        <v>95</v>
      </c>
      <c r="CP79" t="s">
        <v>907</v>
      </c>
      <c r="CQ79" t="s">
        <v>116</v>
      </c>
      <c r="CR79" t="s">
        <v>84</v>
      </c>
      <c r="CS79" t="s">
        <v>117</v>
      </c>
      <c r="CT79" t="s">
        <v>907</v>
      </c>
      <c r="CU79" t="s">
        <v>438</v>
      </c>
      <c r="CV79" t="s">
        <v>812</v>
      </c>
      <c r="CW79" t="s">
        <v>907</v>
      </c>
      <c r="CX79" t="s">
        <v>119</v>
      </c>
      <c r="CY79" t="s">
        <v>121</v>
      </c>
      <c r="CZ79" t="s">
        <v>2573</v>
      </c>
      <c r="DA79">
        <v>2</v>
      </c>
      <c r="DB79" s="10">
        <v>6000</v>
      </c>
      <c r="DC79" t="s">
        <v>123</v>
      </c>
      <c r="DD79" t="s">
        <v>2514</v>
      </c>
      <c r="DE79">
        <v>5</v>
      </c>
      <c r="DF79">
        <v>20</v>
      </c>
      <c r="DG79" t="s">
        <v>95</v>
      </c>
      <c r="DH79" t="s">
        <v>95</v>
      </c>
      <c r="DI79" t="s">
        <v>907</v>
      </c>
      <c r="DJ79" t="s">
        <v>907</v>
      </c>
      <c r="DK79" t="s">
        <v>907</v>
      </c>
      <c r="DL79" t="s">
        <v>907</v>
      </c>
      <c r="DM79" t="s">
        <v>291</v>
      </c>
      <c r="DN79" t="s">
        <v>907</v>
      </c>
      <c r="DO79" t="s">
        <v>907</v>
      </c>
      <c r="DP79">
        <v>8</v>
      </c>
      <c r="DQ79" t="s">
        <v>441</v>
      </c>
      <c r="DR79" t="s">
        <v>907</v>
      </c>
      <c r="DS79" t="s">
        <v>2766</v>
      </c>
      <c r="DT79" t="s">
        <v>2486</v>
      </c>
      <c r="DU79" t="s">
        <v>95</v>
      </c>
      <c r="DV79" t="s">
        <v>907</v>
      </c>
      <c r="DW79" t="s">
        <v>907</v>
      </c>
      <c r="DX79" t="s">
        <v>907</v>
      </c>
      <c r="FQ79">
        <v>569761206</v>
      </c>
      <c r="FR79" t="s">
        <v>3364</v>
      </c>
      <c r="FS79" s="1">
        <v>45930.229097222233</v>
      </c>
      <c r="FV79" t="s">
        <v>134</v>
      </c>
      <c r="FW79" t="s">
        <v>135</v>
      </c>
      <c r="FX79" t="s">
        <v>136</v>
      </c>
      <c r="FZ79">
        <v>536</v>
      </c>
    </row>
    <row r="80" spans="1:182" hidden="1" x14ac:dyDescent="0.3">
      <c r="A80" s="1">
        <v>45930.463879976851</v>
      </c>
      <c r="B80" s="1">
        <v>45930.473032939823</v>
      </c>
      <c r="D80" t="s">
        <v>84</v>
      </c>
      <c r="E80" t="s">
        <v>901</v>
      </c>
      <c r="F80" t="s">
        <v>3576</v>
      </c>
      <c r="G80" t="s">
        <v>176</v>
      </c>
      <c r="H80" t="s">
        <v>4121</v>
      </c>
      <c r="I80" t="s">
        <v>3577</v>
      </c>
      <c r="J80" t="s">
        <v>3578</v>
      </c>
      <c r="K80" t="s">
        <v>90</v>
      </c>
      <c r="L80" t="s">
        <v>3579</v>
      </c>
      <c r="M80" t="s">
        <v>3523</v>
      </c>
      <c r="N80" t="s">
        <v>3580</v>
      </c>
      <c r="O80">
        <v>-15.242410599999999</v>
      </c>
      <c r="P80">
        <v>22.877389399999998</v>
      </c>
      <c r="Q80">
        <v>1033.446899414062</v>
      </c>
      <c r="R80">
        <v>5.62</v>
      </c>
      <c r="S80" t="s">
        <v>95</v>
      </c>
      <c r="T80" t="s">
        <v>907</v>
      </c>
      <c r="U80" t="s">
        <v>907</v>
      </c>
      <c r="V80" t="s">
        <v>95</v>
      </c>
      <c r="W80" t="s">
        <v>907</v>
      </c>
      <c r="X80">
        <v>4</v>
      </c>
      <c r="Y80">
        <v>3</v>
      </c>
      <c r="Z80">
        <v>2</v>
      </c>
      <c r="AA80" t="s">
        <v>96</v>
      </c>
      <c r="AB80" t="s">
        <v>351</v>
      </c>
      <c r="AC80" t="s">
        <v>98</v>
      </c>
      <c r="AD80" t="s">
        <v>252</v>
      </c>
      <c r="AE80" t="s">
        <v>101</v>
      </c>
      <c r="AF80" t="s">
        <v>907</v>
      </c>
      <c r="AG80">
        <v>500</v>
      </c>
      <c r="AH80" t="s">
        <v>3873</v>
      </c>
      <c r="AI80" t="s">
        <v>907</v>
      </c>
      <c r="AJ80" t="s">
        <v>907</v>
      </c>
      <c r="AK80" t="s">
        <v>102</v>
      </c>
      <c r="AL80" t="s">
        <v>907</v>
      </c>
      <c r="AM80" t="s">
        <v>4130</v>
      </c>
      <c r="AN80" t="s">
        <v>907</v>
      </c>
      <c r="AQ80" t="s">
        <v>3581</v>
      </c>
      <c r="AR80" t="s">
        <v>95</v>
      </c>
      <c r="AS80">
        <v>0</v>
      </c>
      <c r="AT80">
        <v>0</v>
      </c>
      <c r="AU80">
        <v>0</v>
      </c>
      <c r="AV80">
        <v>0</v>
      </c>
      <c r="AW80">
        <v>0</v>
      </c>
      <c r="AX80">
        <v>0</v>
      </c>
      <c r="AY80">
        <v>0</v>
      </c>
      <c r="AZ80" t="s">
        <v>629</v>
      </c>
      <c r="BA80" t="s">
        <v>95</v>
      </c>
      <c r="BB80" t="s">
        <v>308</v>
      </c>
      <c r="BC80" t="s">
        <v>907</v>
      </c>
      <c r="BD80" t="s">
        <v>107</v>
      </c>
      <c r="BE80" t="s">
        <v>258</v>
      </c>
      <c r="BF80" t="s">
        <v>875</v>
      </c>
      <c r="BG80" t="s">
        <v>2033</v>
      </c>
      <c r="BH80">
        <v>41</v>
      </c>
      <c r="BL80">
        <v>21</v>
      </c>
      <c r="BN80">
        <v>0</v>
      </c>
      <c r="BP80">
        <v>4</v>
      </c>
      <c r="BR80">
        <v>1</v>
      </c>
      <c r="BT80">
        <v>4</v>
      </c>
      <c r="BV80">
        <v>2</v>
      </c>
      <c r="BX80">
        <v>9</v>
      </c>
      <c r="BY80" t="s">
        <v>110</v>
      </c>
      <c r="BZ80" t="s">
        <v>907</v>
      </c>
      <c r="CA80" t="s">
        <v>907</v>
      </c>
      <c r="CB80" t="s">
        <v>84</v>
      </c>
      <c r="CC80" t="s">
        <v>84</v>
      </c>
      <c r="CD80" t="s">
        <v>334</v>
      </c>
      <c r="CE80" t="s">
        <v>4251</v>
      </c>
      <c r="CF80" t="s">
        <v>3582</v>
      </c>
      <c r="CG80" t="s">
        <v>907</v>
      </c>
      <c r="CH80">
        <v>2</v>
      </c>
      <c r="CI80" t="s">
        <v>84</v>
      </c>
      <c r="CJ80" t="s">
        <v>405</v>
      </c>
      <c r="CK80" t="s">
        <v>289</v>
      </c>
      <c r="CL80" t="s">
        <v>263</v>
      </c>
      <c r="CM80" t="s">
        <v>547</v>
      </c>
      <c r="CN80" t="s">
        <v>194</v>
      </c>
      <c r="CO80" t="s">
        <v>95</v>
      </c>
      <c r="CP80" t="s">
        <v>907</v>
      </c>
      <c r="CQ80" t="s">
        <v>116</v>
      </c>
      <c r="CR80" t="s">
        <v>95</v>
      </c>
      <c r="CS80" t="s">
        <v>907</v>
      </c>
      <c r="CT80" t="s">
        <v>907</v>
      </c>
      <c r="CU80" t="s">
        <v>907</v>
      </c>
      <c r="CV80" t="s">
        <v>812</v>
      </c>
      <c r="CW80" t="s">
        <v>439</v>
      </c>
      <c r="CX80" t="s">
        <v>166</v>
      </c>
      <c r="CY80" t="s">
        <v>167</v>
      </c>
      <c r="CZ80" t="s">
        <v>439</v>
      </c>
      <c r="DA80">
        <v>1</v>
      </c>
      <c r="DB80" s="10">
        <v>7000</v>
      </c>
      <c r="DC80" t="s">
        <v>169</v>
      </c>
      <c r="DD80" t="s">
        <v>907</v>
      </c>
      <c r="DE80">
        <v>2</v>
      </c>
      <c r="DF80">
        <v>25</v>
      </c>
      <c r="DG80" t="s">
        <v>95</v>
      </c>
      <c r="DH80" t="s">
        <v>95</v>
      </c>
      <c r="DI80" t="s">
        <v>907</v>
      </c>
      <c r="DJ80" t="s">
        <v>907</v>
      </c>
      <c r="DK80" t="s">
        <v>907</v>
      </c>
      <c r="DL80" t="s">
        <v>907</v>
      </c>
      <c r="DM80" t="s">
        <v>291</v>
      </c>
      <c r="DN80" t="s">
        <v>907</v>
      </c>
      <c r="DO80" t="s">
        <v>907</v>
      </c>
      <c r="DP80">
        <v>0</v>
      </c>
      <c r="DQ80" t="s">
        <v>441</v>
      </c>
      <c r="DR80" t="s">
        <v>907</v>
      </c>
      <c r="DS80" t="s">
        <v>442</v>
      </c>
      <c r="DT80" t="s">
        <v>271</v>
      </c>
      <c r="DU80" t="s">
        <v>84</v>
      </c>
      <c r="DV80" t="s">
        <v>864</v>
      </c>
      <c r="DW80" t="s">
        <v>370</v>
      </c>
      <c r="DX80" t="s">
        <v>95</v>
      </c>
      <c r="FQ80">
        <v>569919412</v>
      </c>
      <c r="FR80" t="s">
        <v>3583</v>
      </c>
      <c r="FS80" s="1">
        <v>45930.397453703707</v>
      </c>
      <c r="FV80" t="s">
        <v>134</v>
      </c>
      <c r="FW80" t="s">
        <v>135</v>
      </c>
      <c r="FX80" t="s">
        <v>136</v>
      </c>
      <c r="FZ80">
        <v>561</v>
      </c>
    </row>
    <row r="81" spans="1:182" x14ac:dyDescent="0.3">
      <c r="A81" s="1">
        <v>45925.505752152778</v>
      </c>
      <c r="B81" s="1">
        <v>45925.526212152778</v>
      </c>
      <c r="D81" t="s">
        <v>84</v>
      </c>
      <c r="E81" t="s">
        <v>297</v>
      </c>
      <c r="F81" t="s">
        <v>2518</v>
      </c>
      <c r="G81" t="s">
        <v>176</v>
      </c>
      <c r="H81" t="s">
        <v>4122</v>
      </c>
      <c r="I81" t="s">
        <v>2519</v>
      </c>
      <c r="J81" t="s">
        <v>2520</v>
      </c>
      <c r="K81" t="s">
        <v>90</v>
      </c>
      <c r="L81" t="s">
        <v>2521</v>
      </c>
      <c r="M81" t="s">
        <v>1871</v>
      </c>
      <c r="N81" t="s">
        <v>2522</v>
      </c>
      <c r="O81">
        <v>-15.197381699999999</v>
      </c>
      <c r="P81">
        <v>22.973545000000001</v>
      </c>
      <c r="Q81">
        <v>1002.2</v>
      </c>
      <c r="R81">
        <v>4.5659999999999998</v>
      </c>
      <c r="S81" t="s">
        <v>84</v>
      </c>
      <c r="T81" t="s">
        <v>94</v>
      </c>
      <c r="U81">
        <v>13</v>
      </c>
      <c r="V81" t="s">
        <v>95</v>
      </c>
      <c r="W81" t="s">
        <v>907</v>
      </c>
      <c r="X81">
        <v>20</v>
      </c>
      <c r="Y81">
        <v>1</v>
      </c>
      <c r="Z81">
        <v>1</v>
      </c>
      <c r="AA81" t="s">
        <v>96</v>
      </c>
      <c r="AB81" t="s">
        <v>351</v>
      </c>
      <c r="AC81" t="s">
        <v>98</v>
      </c>
      <c r="AD81" t="s">
        <v>280</v>
      </c>
      <c r="AE81" t="s">
        <v>100</v>
      </c>
      <c r="AF81" t="s">
        <v>907</v>
      </c>
      <c r="AG81">
        <v>7000</v>
      </c>
      <c r="AH81" t="s">
        <v>2020</v>
      </c>
      <c r="AI81" t="s">
        <v>907</v>
      </c>
      <c r="AJ81" s="5">
        <v>1500</v>
      </c>
      <c r="AK81" t="s">
        <v>102</v>
      </c>
      <c r="AL81" t="s">
        <v>907</v>
      </c>
      <c r="AM81" t="s">
        <v>643</v>
      </c>
      <c r="AN81" t="s">
        <v>907</v>
      </c>
      <c r="AO81" t="s">
        <v>267</v>
      </c>
      <c r="AP81" t="s">
        <v>2523</v>
      </c>
      <c r="AQ81" t="s">
        <v>643</v>
      </c>
      <c r="AR81" t="s">
        <v>84</v>
      </c>
      <c r="AS81">
        <v>0</v>
      </c>
      <c r="AT81">
        <v>0</v>
      </c>
      <c r="AU81">
        <v>0</v>
      </c>
      <c r="AV81">
        <v>4</v>
      </c>
      <c r="AW81">
        <v>0</v>
      </c>
      <c r="AX81">
        <v>0</v>
      </c>
      <c r="AY81">
        <v>0</v>
      </c>
      <c r="AZ81" t="s">
        <v>1003</v>
      </c>
      <c r="BA81" t="s">
        <v>1065</v>
      </c>
      <c r="BB81" t="s">
        <v>154</v>
      </c>
      <c r="BC81" t="s">
        <v>907</v>
      </c>
      <c r="BD81" t="s">
        <v>257</v>
      </c>
      <c r="BE81" t="s">
        <v>810</v>
      </c>
      <c r="BF81" t="s">
        <v>4003</v>
      </c>
      <c r="BG81" t="s">
        <v>156</v>
      </c>
      <c r="BH81">
        <v>56</v>
      </c>
      <c r="BL81">
        <v>36</v>
      </c>
      <c r="BN81">
        <v>3</v>
      </c>
      <c r="BP81">
        <v>3</v>
      </c>
      <c r="BR81">
        <v>0</v>
      </c>
      <c r="BT81">
        <v>7</v>
      </c>
      <c r="BV81">
        <v>0</v>
      </c>
      <c r="BX81">
        <v>7</v>
      </c>
      <c r="BY81" t="s">
        <v>189</v>
      </c>
      <c r="BZ81">
        <v>4</v>
      </c>
      <c r="CA81">
        <v>0</v>
      </c>
      <c r="CB81" t="s">
        <v>84</v>
      </c>
      <c r="CC81" t="s">
        <v>84</v>
      </c>
      <c r="CD81" t="s">
        <v>2461</v>
      </c>
      <c r="CE81" t="s">
        <v>4251</v>
      </c>
      <c r="CF81" t="s">
        <v>2524</v>
      </c>
      <c r="CG81" t="s">
        <v>907</v>
      </c>
      <c r="CH81">
        <v>2</v>
      </c>
      <c r="CI81" t="s">
        <v>84</v>
      </c>
      <c r="CJ81" t="s">
        <v>262</v>
      </c>
      <c r="CK81" t="s">
        <v>289</v>
      </c>
      <c r="CL81" t="s">
        <v>2525</v>
      </c>
      <c r="CM81" t="s">
        <v>193</v>
      </c>
      <c r="CN81" t="s">
        <v>421</v>
      </c>
      <c r="CO81" t="s">
        <v>95</v>
      </c>
      <c r="CP81" t="s">
        <v>907</v>
      </c>
      <c r="CQ81" t="s">
        <v>116</v>
      </c>
      <c r="CR81" t="s">
        <v>84</v>
      </c>
      <c r="CS81" t="s">
        <v>117</v>
      </c>
      <c r="CT81" t="s">
        <v>264</v>
      </c>
      <c r="CU81" t="s">
        <v>438</v>
      </c>
      <c r="CV81" t="s">
        <v>119</v>
      </c>
      <c r="CW81" t="s">
        <v>2526</v>
      </c>
      <c r="CX81" t="s">
        <v>166</v>
      </c>
      <c r="CY81" t="s">
        <v>167</v>
      </c>
      <c r="CZ81" t="s">
        <v>530</v>
      </c>
      <c r="DA81">
        <v>2</v>
      </c>
      <c r="DB81" s="10">
        <v>8000</v>
      </c>
      <c r="DC81" t="s">
        <v>123</v>
      </c>
      <c r="DD81" t="s">
        <v>2514</v>
      </c>
      <c r="DE81">
        <v>2</v>
      </c>
      <c r="DF81">
        <v>15</v>
      </c>
      <c r="DG81" t="s">
        <v>95</v>
      </c>
      <c r="DH81" t="s">
        <v>95</v>
      </c>
      <c r="DI81" t="s">
        <v>907</v>
      </c>
      <c r="DJ81" t="s">
        <v>907</v>
      </c>
      <c r="DK81" t="s">
        <v>907</v>
      </c>
      <c r="DL81" t="s">
        <v>907</v>
      </c>
      <c r="DM81" t="s">
        <v>291</v>
      </c>
      <c r="DN81" t="s">
        <v>907</v>
      </c>
      <c r="DO81" t="s">
        <v>907</v>
      </c>
      <c r="DP81">
        <v>16</v>
      </c>
      <c r="DQ81" t="s">
        <v>441</v>
      </c>
      <c r="DR81" t="s">
        <v>907</v>
      </c>
      <c r="DS81" t="s">
        <v>2527</v>
      </c>
      <c r="DT81" t="s">
        <v>1459</v>
      </c>
      <c r="DU81" t="s">
        <v>95</v>
      </c>
      <c r="DV81" t="s">
        <v>907</v>
      </c>
      <c r="DW81" t="s">
        <v>907</v>
      </c>
      <c r="DX81" t="s">
        <v>907</v>
      </c>
      <c r="FQ81">
        <v>566956945</v>
      </c>
      <c r="FR81" t="s">
        <v>2528</v>
      </c>
      <c r="FS81" s="1">
        <v>45925.84474537037</v>
      </c>
      <c r="FV81" t="s">
        <v>134</v>
      </c>
      <c r="FW81" t="s">
        <v>135</v>
      </c>
      <c r="FX81" t="s">
        <v>136</v>
      </c>
      <c r="FZ81">
        <v>361</v>
      </c>
    </row>
    <row r="82" spans="1:182" hidden="1" x14ac:dyDescent="0.3">
      <c r="A82" s="1">
        <v>45925.492829930547</v>
      </c>
      <c r="B82" s="1">
        <v>45925.516637210647</v>
      </c>
      <c r="D82" t="s">
        <v>84</v>
      </c>
      <c r="E82" t="s">
        <v>497</v>
      </c>
      <c r="F82" t="s">
        <v>2002</v>
      </c>
      <c r="G82" t="s">
        <v>176</v>
      </c>
      <c r="H82" t="s">
        <v>4122</v>
      </c>
      <c r="I82" t="s">
        <v>2003</v>
      </c>
      <c r="J82" t="s">
        <v>2004</v>
      </c>
      <c r="K82" t="s">
        <v>90</v>
      </c>
      <c r="L82" t="s">
        <v>1992</v>
      </c>
      <c r="M82" t="s">
        <v>2005</v>
      </c>
      <c r="N82" t="s">
        <v>2006</v>
      </c>
      <c r="O82">
        <v>-15.164702399999999</v>
      </c>
      <c r="P82">
        <v>22.997718299999999</v>
      </c>
      <c r="Q82">
        <v>1032.511840820312</v>
      </c>
      <c r="R82">
        <v>4.548</v>
      </c>
      <c r="S82" t="s">
        <v>84</v>
      </c>
      <c r="T82" t="s">
        <v>182</v>
      </c>
      <c r="U82">
        <v>4</v>
      </c>
      <c r="V82" t="s">
        <v>212</v>
      </c>
      <c r="W82" t="s">
        <v>2007</v>
      </c>
      <c r="X82">
        <v>50</v>
      </c>
      <c r="Y82">
        <v>2</v>
      </c>
      <c r="Z82">
        <v>2</v>
      </c>
      <c r="AA82" t="s">
        <v>96</v>
      </c>
      <c r="AB82" t="s">
        <v>351</v>
      </c>
      <c r="AC82" t="s">
        <v>98</v>
      </c>
      <c r="AD82" t="s">
        <v>280</v>
      </c>
      <c r="AE82" t="s">
        <v>100</v>
      </c>
      <c r="AF82" t="s">
        <v>907</v>
      </c>
      <c r="AG82">
        <v>300</v>
      </c>
      <c r="AH82" t="s">
        <v>304</v>
      </c>
      <c r="AI82" t="s">
        <v>907</v>
      </c>
      <c r="AJ82" s="5">
        <v>1000</v>
      </c>
      <c r="AK82" t="s">
        <v>148</v>
      </c>
      <c r="AL82" t="s">
        <v>907</v>
      </c>
      <c r="AM82" t="s">
        <v>2008</v>
      </c>
      <c r="AN82" t="s">
        <v>907</v>
      </c>
      <c r="AO82" t="s">
        <v>2009</v>
      </c>
      <c r="AP82" t="s">
        <v>2010</v>
      </c>
      <c r="AQ82" t="s">
        <v>466</v>
      </c>
      <c r="AR82" t="s">
        <v>95</v>
      </c>
      <c r="AS82">
        <v>0</v>
      </c>
      <c r="AT82">
        <v>0</v>
      </c>
      <c r="AU82">
        <v>0</v>
      </c>
      <c r="AV82">
        <v>50</v>
      </c>
      <c r="AW82">
        <v>0</v>
      </c>
      <c r="AX82">
        <v>0</v>
      </c>
      <c r="AY82">
        <v>0</v>
      </c>
      <c r="AZ82" t="s">
        <v>929</v>
      </c>
      <c r="BA82" t="s">
        <v>95</v>
      </c>
      <c r="BB82" t="s">
        <v>154</v>
      </c>
      <c r="BC82" t="s">
        <v>907</v>
      </c>
      <c r="BD82" t="s">
        <v>107</v>
      </c>
      <c r="BE82" t="s">
        <v>363</v>
      </c>
      <c r="BF82" t="s">
        <v>2011</v>
      </c>
      <c r="BG82" t="s">
        <v>235</v>
      </c>
      <c r="BH82">
        <v>85</v>
      </c>
      <c r="BN82">
        <v>4</v>
      </c>
      <c r="BP82">
        <v>53</v>
      </c>
      <c r="BT82">
        <v>6</v>
      </c>
      <c r="BX82">
        <v>18</v>
      </c>
      <c r="BY82" t="s">
        <v>189</v>
      </c>
      <c r="BZ82">
        <v>3</v>
      </c>
      <c r="CA82">
        <v>25</v>
      </c>
      <c r="CB82" t="s">
        <v>84</v>
      </c>
      <c r="CC82" t="s">
        <v>84</v>
      </c>
      <c r="CD82" t="s">
        <v>2012</v>
      </c>
      <c r="CE82" t="s">
        <v>4249</v>
      </c>
      <c r="CF82" t="s">
        <v>832</v>
      </c>
      <c r="CG82" t="s">
        <v>907</v>
      </c>
      <c r="CH82">
        <v>2</v>
      </c>
      <c r="CI82" t="s">
        <v>84</v>
      </c>
      <c r="CJ82" t="s">
        <v>160</v>
      </c>
      <c r="CK82" t="s">
        <v>289</v>
      </c>
      <c r="CL82" t="s">
        <v>456</v>
      </c>
      <c r="CM82" t="s">
        <v>193</v>
      </c>
      <c r="CN82" t="s">
        <v>421</v>
      </c>
      <c r="CO82" t="s">
        <v>95</v>
      </c>
      <c r="CP82" t="s">
        <v>907</v>
      </c>
      <c r="CQ82" t="s">
        <v>116</v>
      </c>
      <c r="CR82" t="s">
        <v>84</v>
      </c>
      <c r="CS82" t="s">
        <v>117</v>
      </c>
      <c r="CT82" t="s">
        <v>118</v>
      </c>
      <c r="CU82" t="s">
        <v>793</v>
      </c>
      <c r="CV82" t="s">
        <v>812</v>
      </c>
      <c r="CW82" t="s">
        <v>1016</v>
      </c>
      <c r="CX82" t="s">
        <v>166</v>
      </c>
      <c r="CY82" t="s">
        <v>121</v>
      </c>
      <c r="CZ82" t="s">
        <v>457</v>
      </c>
      <c r="DA82">
        <v>5</v>
      </c>
      <c r="DB82" s="10">
        <v>12000</v>
      </c>
      <c r="DC82" t="s">
        <v>169</v>
      </c>
      <c r="DD82" t="s">
        <v>907</v>
      </c>
      <c r="DE82">
        <v>1</v>
      </c>
      <c r="DF82">
        <v>2</v>
      </c>
      <c r="DG82" t="s">
        <v>95</v>
      </c>
      <c r="DH82" t="s">
        <v>95</v>
      </c>
      <c r="DI82" t="s">
        <v>907</v>
      </c>
      <c r="DJ82" t="s">
        <v>907</v>
      </c>
      <c r="DK82" t="s">
        <v>907</v>
      </c>
      <c r="DL82" t="s">
        <v>907</v>
      </c>
      <c r="DM82" t="s">
        <v>291</v>
      </c>
      <c r="DN82" t="s">
        <v>907</v>
      </c>
      <c r="DO82" t="s">
        <v>907</v>
      </c>
      <c r="DP82">
        <v>3</v>
      </c>
      <c r="DQ82" t="s">
        <v>128</v>
      </c>
      <c r="DR82" t="s">
        <v>907</v>
      </c>
      <c r="DS82" t="s">
        <v>882</v>
      </c>
      <c r="DT82" t="s">
        <v>1889</v>
      </c>
      <c r="DU82" t="s">
        <v>84</v>
      </c>
      <c r="DV82" t="s">
        <v>294</v>
      </c>
      <c r="DW82" t="s">
        <v>1120</v>
      </c>
      <c r="DX82" t="s">
        <v>95</v>
      </c>
      <c r="FQ82">
        <v>566860769</v>
      </c>
      <c r="FR82" t="s">
        <v>2013</v>
      </c>
      <c r="FS82" s="1">
        <v>45925.728229166663</v>
      </c>
      <c r="FV82" t="s">
        <v>134</v>
      </c>
      <c r="FW82" t="s">
        <v>135</v>
      </c>
      <c r="FX82" t="s">
        <v>136</v>
      </c>
      <c r="FZ82">
        <v>297</v>
      </c>
    </row>
    <row r="83" spans="1:182" hidden="1" x14ac:dyDescent="0.3">
      <c r="A83" s="1">
        <v>45925.549203333343</v>
      </c>
      <c r="B83" s="1">
        <v>45925.567922569448</v>
      </c>
      <c r="D83" t="s">
        <v>84</v>
      </c>
      <c r="E83" t="s">
        <v>297</v>
      </c>
      <c r="F83" t="s">
        <v>2541</v>
      </c>
      <c r="G83" t="s">
        <v>176</v>
      </c>
      <c r="H83" t="s">
        <v>4121</v>
      </c>
      <c r="I83" t="s">
        <v>2542</v>
      </c>
      <c r="J83" t="s">
        <v>2543</v>
      </c>
      <c r="K83" t="s">
        <v>90</v>
      </c>
      <c r="L83" t="s">
        <v>2544</v>
      </c>
      <c r="M83" t="s">
        <v>1871</v>
      </c>
      <c r="N83" t="s">
        <v>2545</v>
      </c>
      <c r="O83">
        <v>-15.197531700000001</v>
      </c>
      <c r="P83">
        <v>22.973373299999999</v>
      </c>
      <c r="Q83">
        <v>1040.5</v>
      </c>
      <c r="R83">
        <v>4.95</v>
      </c>
      <c r="S83" t="s">
        <v>84</v>
      </c>
      <c r="T83" t="s">
        <v>94</v>
      </c>
      <c r="U83">
        <v>3</v>
      </c>
      <c r="V83" t="s">
        <v>212</v>
      </c>
      <c r="W83" t="s">
        <v>2546</v>
      </c>
      <c r="X83">
        <v>4</v>
      </c>
      <c r="Y83">
        <v>1</v>
      </c>
      <c r="Z83">
        <v>1</v>
      </c>
      <c r="AA83" t="s">
        <v>465</v>
      </c>
      <c r="AB83" t="s">
        <v>97</v>
      </c>
      <c r="AC83" t="s">
        <v>98</v>
      </c>
      <c r="AD83" t="s">
        <v>280</v>
      </c>
      <c r="AE83" t="s">
        <v>304</v>
      </c>
      <c r="AF83" t="s">
        <v>907</v>
      </c>
      <c r="AG83">
        <v>5000</v>
      </c>
      <c r="AH83" t="s">
        <v>966</v>
      </c>
      <c r="AI83" t="s">
        <v>907</v>
      </c>
      <c r="AJ83" s="6">
        <v>600</v>
      </c>
      <c r="AK83" t="s">
        <v>102</v>
      </c>
      <c r="AL83" t="s">
        <v>907</v>
      </c>
      <c r="AM83" t="s">
        <v>2547</v>
      </c>
      <c r="AN83" t="s">
        <v>907</v>
      </c>
      <c r="AO83" t="s">
        <v>267</v>
      </c>
      <c r="AP83" t="s">
        <v>2548</v>
      </c>
      <c r="AQ83" t="s">
        <v>2549</v>
      </c>
      <c r="AR83" t="s">
        <v>84</v>
      </c>
      <c r="AS83">
        <v>0</v>
      </c>
      <c r="AT83">
        <v>0</v>
      </c>
      <c r="AU83">
        <v>0</v>
      </c>
      <c r="AV83">
        <v>0</v>
      </c>
      <c r="AW83">
        <v>0</v>
      </c>
      <c r="AX83">
        <v>0</v>
      </c>
      <c r="AY83">
        <v>0</v>
      </c>
      <c r="AZ83" t="s">
        <v>929</v>
      </c>
      <c r="BA83" t="s">
        <v>95</v>
      </c>
      <c r="BB83" t="s">
        <v>154</v>
      </c>
      <c r="BC83" t="s">
        <v>907</v>
      </c>
      <c r="BD83" t="s">
        <v>257</v>
      </c>
      <c r="BE83" t="s">
        <v>258</v>
      </c>
      <c r="BF83" t="s">
        <v>4005</v>
      </c>
      <c r="BG83" t="s">
        <v>156</v>
      </c>
      <c r="BH83">
        <v>53</v>
      </c>
      <c r="BL83">
        <v>30</v>
      </c>
      <c r="BN83">
        <v>2</v>
      </c>
      <c r="BP83">
        <v>15</v>
      </c>
      <c r="BR83">
        <v>0</v>
      </c>
      <c r="BT83">
        <v>0</v>
      </c>
      <c r="BV83">
        <v>0</v>
      </c>
      <c r="BX83">
        <v>6</v>
      </c>
      <c r="BY83" t="s">
        <v>189</v>
      </c>
      <c r="BZ83">
        <v>3</v>
      </c>
      <c r="CA83">
        <v>16</v>
      </c>
      <c r="CB83" t="s">
        <v>84</v>
      </c>
      <c r="CC83" t="s">
        <v>84</v>
      </c>
      <c r="CD83" t="s">
        <v>2550</v>
      </c>
      <c r="CE83" t="s">
        <v>1998</v>
      </c>
      <c r="CF83" t="s">
        <v>1577</v>
      </c>
      <c r="CG83" t="s">
        <v>907</v>
      </c>
      <c r="CH83">
        <v>2</v>
      </c>
      <c r="CI83" t="s">
        <v>84</v>
      </c>
      <c r="CJ83" t="s">
        <v>586</v>
      </c>
      <c r="CK83" t="s">
        <v>113</v>
      </c>
      <c r="CL83" t="s">
        <v>1196</v>
      </c>
      <c r="CM83" t="s">
        <v>193</v>
      </c>
      <c r="CN83" t="s">
        <v>3874</v>
      </c>
      <c r="CO83" t="s">
        <v>95</v>
      </c>
      <c r="CP83" t="s">
        <v>907</v>
      </c>
      <c r="CQ83" t="s">
        <v>116</v>
      </c>
      <c r="CR83" t="s">
        <v>84</v>
      </c>
      <c r="CS83" t="s">
        <v>117</v>
      </c>
      <c r="CT83" t="s">
        <v>264</v>
      </c>
      <c r="CU83" t="s">
        <v>3869</v>
      </c>
      <c r="CV83" t="s">
        <v>119</v>
      </c>
      <c r="CW83" t="s">
        <v>2551</v>
      </c>
      <c r="CX83" t="s">
        <v>166</v>
      </c>
      <c r="CY83" t="s">
        <v>167</v>
      </c>
      <c r="CZ83" t="s">
        <v>2552</v>
      </c>
      <c r="DA83">
        <v>4</v>
      </c>
      <c r="DB83" s="10">
        <v>14000</v>
      </c>
      <c r="DC83" t="s">
        <v>169</v>
      </c>
      <c r="DD83" t="s">
        <v>907</v>
      </c>
      <c r="DE83">
        <v>2</v>
      </c>
      <c r="DF83">
        <v>15</v>
      </c>
      <c r="DG83" t="s">
        <v>95</v>
      </c>
      <c r="DH83" t="s">
        <v>95</v>
      </c>
      <c r="DI83" t="s">
        <v>907</v>
      </c>
      <c r="DJ83" t="s">
        <v>907</v>
      </c>
      <c r="DK83" t="s">
        <v>907</v>
      </c>
      <c r="DL83" t="s">
        <v>907</v>
      </c>
      <c r="DM83" t="s">
        <v>291</v>
      </c>
      <c r="DN83" t="s">
        <v>907</v>
      </c>
      <c r="DO83" t="s">
        <v>907</v>
      </c>
      <c r="DP83">
        <v>20</v>
      </c>
      <c r="DQ83" t="s">
        <v>441</v>
      </c>
      <c r="DR83" t="s">
        <v>907</v>
      </c>
      <c r="DS83" t="s">
        <v>2553</v>
      </c>
      <c r="DT83" t="s">
        <v>2486</v>
      </c>
      <c r="DU83" t="s">
        <v>95</v>
      </c>
      <c r="DV83" t="s">
        <v>907</v>
      </c>
      <c r="DW83" t="s">
        <v>907</v>
      </c>
      <c r="DX83" t="s">
        <v>907</v>
      </c>
      <c r="FQ83">
        <v>566956960</v>
      </c>
      <c r="FR83" t="s">
        <v>2554</v>
      </c>
      <c r="FS83" s="1">
        <v>45925.844780092593</v>
      </c>
      <c r="FV83" t="s">
        <v>134</v>
      </c>
      <c r="FW83" t="s">
        <v>135</v>
      </c>
      <c r="FX83" t="s">
        <v>136</v>
      </c>
      <c r="FZ83">
        <v>363</v>
      </c>
    </row>
    <row r="84" spans="1:182" x14ac:dyDescent="0.3">
      <c r="A84" s="1">
        <v>45925.732784733787</v>
      </c>
      <c r="B84" s="1">
        <v>45925.847746307867</v>
      </c>
      <c r="D84" t="s">
        <v>84</v>
      </c>
      <c r="E84" t="s">
        <v>85</v>
      </c>
      <c r="F84" t="s">
        <v>2439</v>
      </c>
      <c r="G84" t="s">
        <v>176</v>
      </c>
      <c r="H84" t="s">
        <v>4122</v>
      </c>
      <c r="I84" t="s">
        <v>2440</v>
      </c>
      <c r="J84" t="s">
        <v>2441</v>
      </c>
      <c r="K84" t="s">
        <v>90</v>
      </c>
      <c r="L84" t="s">
        <v>2380</v>
      </c>
      <c r="M84" t="s">
        <v>141</v>
      </c>
      <c r="N84" t="s">
        <v>2442</v>
      </c>
      <c r="O84">
        <v>-15.295343600000001</v>
      </c>
      <c r="P84">
        <v>23.1757104</v>
      </c>
      <c r="Q84">
        <v>1061.8603515625</v>
      </c>
      <c r="R84">
        <v>3.9769999999999999</v>
      </c>
      <c r="S84" t="s">
        <v>84</v>
      </c>
      <c r="T84" t="s">
        <v>182</v>
      </c>
      <c r="U84">
        <v>4</v>
      </c>
      <c r="V84" t="s">
        <v>95</v>
      </c>
      <c r="W84" t="s">
        <v>907</v>
      </c>
      <c r="X84">
        <v>7</v>
      </c>
      <c r="Y84">
        <v>0.23</v>
      </c>
      <c r="Z84">
        <v>3</v>
      </c>
      <c r="AA84" t="s">
        <v>4180</v>
      </c>
      <c r="AB84" t="s">
        <v>97</v>
      </c>
      <c r="AC84" t="s">
        <v>144</v>
      </c>
      <c r="AD84" t="s">
        <v>520</v>
      </c>
      <c r="AE84" t="s">
        <v>100</v>
      </c>
      <c r="AF84" t="s">
        <v>907</v>
      </c>
      <c r="AG84">
        <v>0</v>
      </c>
      <c r="AH84" t="s">
        <v>100</v>
      </c>
      <c r="AI84" t="s">
        <v>907</v>
      </c>
      <c r="AJ84" s="5">
        <v>0</v>
      </c>
      <c r="AK84" t="s">
        <v>102</v>
      </c>
      <c r="AL84" t="s">
        <v>907</v>
      </c>
      <c r="AM84" t="s">
        <v>253</v>
      </c>
      <c r="AN84" t="s">
        <v>907</v>
      </c>
      <c r="AO84">
        <v>0</v>
      </c>
      <c r="AP84" t="s">
        <v>2443</v>
      </c>
      <c r="AQ84" t="s">
        <v>253</v>
      </c>
      <c r="AR84" t="s">
        <v>95</v>
      </c>
      <c r="AS84">
        <v>0</v>
      </c>
      <c r="AT84">
        <v>0</v>
      </c>
      <c r="AU84">
        <v>0</v>
      </c>
      <c r="AV84">
        <v>0</v>
      </c>
      <c r="AW84">
        <v>15</v>
      </c>
      <c r="AX84">
        <v>0</v>
      </c>
      <c r="AY84">
        <v>0</v>
      </c>
      <c r="AZ84" t="s">
        <v>1003</v>
      </c>
      <c r="BA84" t="s">
        <v>95</v>
      </c>
      <c r="BB84" t="s">
        <v>154</v>
      </c>
      <c r="BC84" t="s">
        <v>907</v>
      </c>
      <c r="BD84" t="s">
        <v>107</v>
      </c>
      <c r="BE84" t="s">
        <v>108</v>
      </c>
      <c r="BF84" t="s">
        <v>585</v>
      </c>
      <c r="BG84" t="s">
        <v>235</v>
      </c>
      <c r="BH84">
        <v>23</v>
      </c>
      <c r="BY84" t="s">
        <v>110</v>
      </c>
      <c r="BZ84" t="s">
        <v>907</v>
      </c>
      <c r="CA84" t="s">
        <v>907</v>
      </c>
      <c r="CB84" t="s">
        <v>84</v>
      </c>
      <c r="CC84" t="s">
        <v>84</v>
      </c>
      <c r="CD84" t="s">
        <v>545</v>
      </c>
      <c r="CE84" t="s">
        <v>4250</v>
      </c>
      <c r="CF84" t="s">
        <v>2444</v>
      </c>
      <c r="CG84" t="s">
        <v>907</v>
      </c>
      <c r="CH84">
        <v>0</v>
      </c>
      <c r="CI84" t="s">
        <v>84</v>
      </c>
      <c r="CJ84" t="s">
        <v>160</v>
      </c>
      <c r="CK84" t="s">
        <v>289</v>
      </c>
      <c r="CL84" t="s">
        <v>2445</v>
      </c>
      <c r="CM84" t="s">
        <v>162</v>
      </c>
      <c r="CN84" t="s">
        <v>3995</v>
      </c>
      <c r="CO84" t="s">
        <v>95</v>
      </c>
      <c r="CP84" t="s">
        <v>907</v>
      </c>
      <c r="CQ84" t="s">
        <v>116</v>
      </c>
      <c r="CR84" t="s">
        <v>84</v>
      </c>
      <c r="CS84" t="s">
        <v>117</v>
      </c>
      <c r="CT84" t="s">
        <v>160</v>
      </c>
      <c r="CU84" t="s">
        <v>438</v>
      </c>
      <c r="CV84" t="s">
        <v>119</v>
      </c>
      <c r="CW84" t="s">
        <v>240</v>
      </c>
      <c r="CX84" t="s">
        <v>166</v>
      </c>
      <c r="CY84" t="s">
        <v>549</v>
      </c>
      <c r="CZ84" t="s">
        <v>559</v>
      </c>
      <c r="DA84">
        <v>0</v>
      </c>
      <c r="DB84" s="10">
        <v>0</v>
      </c>
      <c r="DC84" t="s">
        <v>169</v>
      </c>
      <c r="DD84" t="s">
        <v>907</v>
      </c>
      <c r="DE84">
        <v>14</v>
      </c>
      <c r="DF84">
        <v>16</v>
      </c>
      <c r="DG84" t="s">
        <v>84</v>
      </c>
      <c r="DH84" t="s">
        <v>95</v>
      </c>
      <c r="DI84" t="s">
        <v>907</v>
      </c>
      <c r="DJ84" t="s">
        <v>907</v>
      </c>
      <c r="DK84" t="s">
        <v>907</v>
      </c>
      <c r="DL84" t="s">
        <v>907</v>
      </c>
      <c r="DM84" t="s">
        <v>125</v>
      </c>
      <c r="DN84" t="s">
        <v>170</v>
      </c>
      <c r="DO84" t="s">
        <v>324</v>
      </c>
      <c r="DP84">
        <v>6</v>
      </c>
      <c r="DQ84" t="s">
        <v>128</v>
      </c>
      <c r="DR84" t="s">
        <v>907</v>
      </c>
      <c r="DS84" t="s">
        <v>2446</v>
      </c>
      <c r="DT84" t="s">
        <v>621</v>
      </c>
      <c r="DU84" t="s">
        <v>95</v>
      </c>
      <c r="DV84" t="s">
        <v>907</v>
      </c>
      <c r="DW84" t="s">
        <v>907</v>
      </c>
      <c r="DX84" t="s">
        <v>907</v>
      </c>
      <c r="FQ84">
        <v>566893308</v>
      </c>
      <c r="FR84" t="s">
        <v>2447</v>
      </c>
      <c r="FS84" s="1">
        <v>45925.765150462961</v>
      </c>
      <c r="FV84" t="s">
        <v>134</v>
      </c>
      <c r="FW84" t="s">
        <v>135</v>
      </c>
      <c r="FX84" t="s">
        <v>136</v>
      </c>
      <c r="FZ84">
        <v>338</v>
      </c>
    </row>
    <row r="85" spans="1:182" hidden="1" x14ac:dyDescent="0.3">
      <c r="A85" s="1">
        <v>45924.56490459491</v>
      </c>
      <c r="B85" s="1">
        <v>45924.574115416668</v>
      </c>
      <c r="D85" t="s">
        <v>84</v>
      </c>
      <c r="E85" t="s">
        <v>535</v>
      </c>
      <c r="F85" t="s">
        <v>755</v>
      </c>
      <c r="G85" t="s">
        <v>176</v>
      </c>
      <c r="H85" t="s">
        <v>4122</v>
      </c>
      <c r="I85" t="s">
        <v>701</v>
      </c>
      <c r="J85" t="s">
        <v>756</v>
      </c>
      <c r="K85" t="s">
        <v>90</v>
      </c>
      <c r="L85" t="s">
        <v>670</v>
      </c>
      <c r="M85" t="s">
        <v>540</v>
      </c>
      <c r="N85" t="s">
        <v>757</v>
      </c>
      <c r="O85">
        <v>-15.345696</v>
      </c>
      <c r="P85">
        <v>23.128900099999999</v>
      </c>
      <c r="Q85">
        <v>1030.673950195312</v>
      </c>
      <c r="R85">
        <v>4.0430000000000001</v>
      </c>
      <c r="S85" t="s">
        <v>84</v>
      </c>
      <c r="T85" t="s">
        <v>182</v>
      </c>
      <c r="U85">
        <v>3</v>
      </c>
      <c r="V85" t="s">
        <v>95</v>
      </c>
      <c r="W85" t="s">
        <v>907</v>
      </c>
      <c r="X85">
        <v>22</v>
      </c>
      <c r="Y85">
        <v>30</v>
      </c>
      <c r="Z85">
        <v>3</v>
      </c>
      <c r="AA85" t="s">
        <v>96</v>
      </c>
      <c r="AB85" t="s">
        <v>489</v>
      </c>
      <c r="AC85" t="s">
        <v>98</v>
      </c>
      <c r="AD85" t="s">
        <v>99</v>
      </c>
      <c r="AE85" t="s">
        <v>100</v>
      </c>
      <c r="AF85" t="s">
        <v>907</v>
      </c>
      <c r="AG85">
        <v>0</v>
      </c>
      <c r="AH85" t="s">
        <v>100</v>
      </c>
      <c r="AI85" t="s">
        <v>907</v>
      </c>
      <c r="AJ85" s="5">
        <v>0</v>
      </c>
      <c r="AK85" t="s">
        <v>102</v>
      </c>
      <c r="AL85" t="s">
        <v>907</v>
      </c>
      <c r="AM85" t="s">
        <v>543</v>
      </c>
      <c r="AN85" t="s">
        <v>907</v>
      </c>
      <c r="AO85">
        <v>0</v>
      </c>
      <c r="AP85" t="s">
        <v>758</v>
      </c>
      <c r="AQ85" t="s">
        <v>543</v>
      </c>
      <c r="AR85" t="s">
        <v>95</v>
      </c>
      <c r="AS85">
        <v>0</v>
      </c>
      <c r="AT85">
        <v>0</v>
      </c>
      <c r="AU85">
        <v>0</v>
      </c>
      <c r="AV85">
        <v>0</v>
      </c>
      <c r="AW85">
        <v>35</v>
      </c>
      <c r="AX85">
        <v>0</v>
      </c>
      <c r="AY85">
        <v>0</v>
      </c>
      <c r="AZ85" t="s">
        <v>284</v>
      </c>
      <c r="BA85" t="s">
        <v>95</v>
      </c>
      <c r="BB85" t="s">
        <v>154</v>
      </c>
      <c r="BC85" t="s">
        <v>907</v>
      </c>
      <c r="BD85" t="s">
        <v>107</v>
      </c>
      <c r="BE85" t="s">
        <v>108</v>
      </c>
      <c r="BF85" t="s">
        <v>585</v>
      </c>
      <c r="BG85" t="s">
        <v>235</v>
      </c>
      <c r="BH85">
        <v>25</v>
      </c>
      <c r="BY85" t="s">
        <v>110</v>
      </c>
      <c r="BZ85" t="s">
        <v>907</v>
      </c>
      <c r="CA85" t="s">
        <v>907</v>
      </c>
      <c r="CB85" t="s">
        <v>84</v>
      </c>
      <c r="CC85" t="s">
        <v>84</v>
      </c>
      <c r="CD85" t="s">
        <v>545</v>
      </c>
      <c r="CE85" t="s">
        <v>4250</v>
      </c>
      <c r="CF85" t="s">
        <v>759</v>
      </c>
      <c r="CG85" t="s">
        <v>907</v>
      </c>
      <c r="CH85">
        <v>0</v>
      </c>
      <c r="CI85" t="s">
        <v>84</v>
      </c>
      <c r="CJ85" t="s">
        <v>586</v>
      </c>
      <c r="CK85" t="s">
        <v>289</v>
      </c>
      <c r="CL85" t="s">
        <v>760</v>
      </c>
      <c r="CM85" t="s">
        <v>115</v>
      </c>
      <c r="CN85" t="s">
        <v>3883</v>
      </c>
      <c r="CO85" t="s">
        <v>95</v>
      </c>
      <c r="CP85" t="s">
        <v>907</v>
      </c>
      <c r="CQ85" t="s">
        <v>116</v>
      </c>
      <c r="CR85" t="s">
        <v>84</v>
      </c>
      <c r="CS85" t="s">
        <v>117</v>
      </c>
      <c r="CT85" t="s">
        <v>163</v>
      </c>
      <c r="CU85" t="s">
        <v>3869</v>
      </c>
      <c r="CV85" t="s">
        <v>119</v>
      </c>
      <c r="CW85" t="s">
        <v>240</v>
      </c>
      <c r="CX85" t="s">
        <v>166</v>
      </c>
      <c r="CY85" t="s">
        <v>549</v>
      </c>
      <c r="CZ85" t="s">
        <v>559</v>
      </c>
      <c r="DA85">
        <v>3</v>
      </c>
      <c r="DB85" s="10">
        <v>10000</v>
      </c>
      <c r="DC85" t="s">
        <v>169</v>
      </c>
      <c r="DD85" t="s">
        <v>907</v>
      </c>
      <c r="DE85">
        <v>5</v>
      </c>
      <c r="DF85">
        <v>16</v>
      </c>
      <c r="DG85" t="s">
        <v>95</v>
      </c>
      <c r="DH85" t="s">
        <v>95</v>
      </c>
      <c r="DI85" t="s">
        <v>907</v>
      </c>
      <c r="DJ85" t="s">
        <v>907</v>
      </c>
      <c r="DK85" t="s">
        <v>907</v>
      </c>
      <c r="DL85" t="s">
        <v>907</v>
      </c>
      <c r="DM85" t="s">
        <v>125</v>
      </c>
      <c r="DN85" t="s">
        <v>170</v>
      </c>
      <c r="DO85" t="s">
        <v>324</v>
      </c>
      <c r="DP85">
        <v>6</v>
      </c>
      <c r="DQ85" t="s">
        <v>128</v>
      </c>
      <c r="DR85" t="s">
        <v>907</v>
      </c>
      <c r="DS85" t="s">
        <v>129</v>
      </c>
      <c r="DT85" t="s">
        <v>717</v>
      </c>
      <c r="DU85" t="s">
        <v>84</v>
      </c>
      <c r="DV85" t="s">
        <v>225</v>
      </c>
      <c r="DW85" t="s">
        <v>533</v>
      </c>
      <c r="DX85" t="s">
        <v>95</v>
      </c>
      <c r="FQ85">
        <v>565909105</v>
      </c>
      <c r="FR85" t="s">
        <v>761</v>
      </c>
      <c r="FS85" s="1">
        <v>45924.644930555558</v>
      </c>
      <c r="FV85" t="s">
        <v>134</v>
      </c>
      <c r="FW85" t="s">
        <v>135</v>
      </c>
      <c r="FX85" t="s">
        <v>136</v>
      </c>
      <c r="FZ85">
        <v>166</v>
      </c>
    </row>
    <row r="86" spans="1:182" x14ac:dyDescent="0.3">
      <c r="A86" s="1">
        <v>45924.574200914351</v>
      </c>
      <c r="B86" s="1">
        <v>45924.582303090283</v>
      </c>
      <c r="D86" t="s">
        <v>84</v>
      </c>
      <c r="E86" t="s">
        <v>535</v>
      </c>
      <c r="F86" t="s">
        <v>762</v>
      </c>
      <c r="G86" t="s">
        <v>176</v>
      </c>
      <c r="H86" t="s">
        <v>4122</v>
      </c>
      <c r="I86" t="s">
        <v>763</v>
      </c>
      <c r="J86" t="s">
        <v>764</v>
      </c>
      <c r="K86" t="s">
        <v>90</v>
      </c>
      <c r="L86" t="s">
        <v>670</v>
      </c>
      <c r="M86" t="s">
        <v>540</v>
      </c>
      <c r="N86" t="s">
        <v>765</v>
      </c>
      <c r="O86">
        <v>-15.345714600000001</v>
      </c>
      <c r="P86">
        <v>23.1288664</v>
      </c>
      <c r="Q86">
        <v>1029.882568359375</v>
      </c>
      <c r="R86">
        <v>7.87</v>
      </c>
      <c r="S86" t="s">
        <v>84</v>
      </c>
      <c r="T86" t="s">
        <v>182</v>
      </c>
      <c r="U86">
        <v>5</v>
      </c>
      <c r="V86" t="s">
        <v>95</v>
      </c>
      <c r="W86" t="s">
        <v>907</v>
      </c>
      <c r="X86">
        <v>25</v>
      </c>
      <c r="Y86">
        <v>20</v>
      </c>
      <c r="Z86">
        <v>3</v>
      </c>
      <c r="AA86" t="s">
        <v>96</v>
      </c>
      <c r="AB86" t="s">
        <v>97</v>
      </c>
      <c r="AC86" t="s">
        <v>98</v>
      </c>
      <c r="AD86" t="s">
        <v>99</v>
      </c>
      <c r="AE86" t="s">
        <v>100</v>
      </c>
      <c r="AF86" t="s">
        <v>907</v>
      </c>
      <c r="AG86">
        <v>0</v>
      </c>
      <c r="AH86" t="s">
        <v>100</v>
      </c>
      <c r="AI86" t="s">
        <v>907</v>
      </c>
      <c r="AJ86" s="5">
        <v>0</v>
      </c>
      <c r="AK86" t="s">
        <v>102</v>
      </c>
      <c r="AL86" t="s">
        <v>907</v>
      </c>
      <c r="AM86" t="s">
        <v>149</v>
      </c>
      <c r="AN86" t="s">
        <v>907</v>
      </c>
      <c r="AO86">
        <v>0</v>
      </c>
      <c r="AP86" t="s">
        <v>766</v>
      </c>
      <c r="AQ86" t="s">
        <v>543</v>
      </c>
      <c r="AR86" t="s">
        <v>95</v>
      </c>
      <c r="AS86">
        <v>0</v>
      </c>
      <c r="AT86">
        <v>0</v>
      </c>
      <c r="AU86">
        <v>0</v>
      </c>
      <c r="AV86">
        <v>0</v>
      </c>
      <c r="AW86">
        <v>85</v>
      </c>
      <c r="AX86">
        <v>0</v>
      </c>
      <c r="AY86">
        <v>0</v>
      </c>
      <c r="AZ86" t="s">
        <v>284</v>
      </c>
      <c r="BA86" t="s">
        <v>95</v>
      </c>
      <c r="BB86" t="s">
        <v>154</v>
      </c>
      <c r="BC86" t="s">
        <v>907</v>
      </c>
      <c r="BD86" t="s">
        <v>107</v>
      </c>
      <c r="BE86" t="s">
        <v>108</v>
      </c>
      <c r="BF86" t="s">
        <v>309</v>
      </c>
      <c r="BG86" t="s">
        <v>235</v>
      </c>
      <c r="BH86">
        <v>78</v>
      </c>
      <c r="BY86" t="s">
        <v>189</v>
      </c>
      <c r="BZ86">
        <v>4</v>
      </c>
      <c r="CA86">
        <v>65</v>
      </c>
      <c r="CB86" t="s">
        <v>84</v>
      </c>
      <c r="CC86" t="s">
        <v>84</v>
      </c>
      <c r="CD86" t="s">
        <v>545</v>
      </c>
      <c r="CE86" t="s">
        <v>4250</v>
      </c>
      <c r="CF86" t="s">
        <v>767</v>
      </c>
      <c r="CG86" t="s">
        <v>907</v>
      </c>
      <c r="CH86">
        <v>2</v>
      </c>
      <c r="CI86" t="s">
        <v>84</v>
      </c>
      <c r="CJ86" t="s">
        <v>546</v>
      </c>
      <c r="CK86" t="s">
        <v>289</v>
      </c>
      <c r="CL86" t="s">
        <v>768</v>
      </c>
      <c r="CM86" t="s">
        <v>547</v>
      </c>
      <c r="CN86" t="s">
        <v>3883</v>
      </c>
      <c r="CO86" t="s">
        <v>95</v>
      </c>
      <c r="CP86" t="s">
        <v>907</v>
      </c>
      <c r="CQ86" t="s">
        <v>116</v>
      </c>
      <c r="CR86" t="s">
        <v>84</v>
      </c>
      <c r="CS86" t="s">
        <v>117</v>
      </c>
      <c r="CT86" t="s">
        <v>163</v>
      </c>
      <c r="CU86" t="s">
        <v>3869</v>
      </c>
      <c r="CV86" t="s">
        <v>119</v>
      </c>
      <c r="CW86" t="s">
        <v>559</v>
      </c>
      <c r="CX86" t="s">
        <v>119</v>
      </c>
      <c r="CY86" t="s">
        <v>549</v>
      </c>
      <c r="CZ86" t="s">
        <v>265</v>
      </c>
      <c r="DA86">
        <v>4</v>
      </c>
      <c r="DB86" s="10">
        <v>18000</v>
      </c>
      <c r="DC86" t="s">
        <v>169</v>
      </c>
      <c r="DD86" t="s">
        <v>907</v>
      </c>
      <c r="DE86">
        <v>10</v>
      </c>
      <c r="DF86">
        <v>15</v>
      </c>
      <c r="DG86" t="s">
        <v>95</v>
      </c>
      <c r="DH86" t="s">
        <v>95</v>
      </c>
      <c r="DI86" t="s">
        <v>907</v>
      </c>
      <c r="DJ86" t="s">
        <v>907</v>
      </c>
      <c r="DK86" t="s">
        <v>907</v>
      </c>
      <c r="DL86" t="s">
        <v>907</v>
      </c>
      <c r="DM86" t="s">
        <v>125</v>
      </c>
      <c r="DN86" t="s">
        <v>170</v>
      </c>
      <c r="DO86" t="s">
        <v>560</v>
      </c>
      <c r="DP86">
        <v>7</v>
      </c>
      <c r="DQ86" t="s">
        <v>128</v>
      </c>
      <c r="DR86" t="s">
        <v>907</v>
      </c>
      <c r="DS86" t="s">
        <v>551</v>
      </c>
      <c r="DT86" t="s">
        <v>769</v>
      </c>
      <c r="DU86" t="s">
        <v>84</v>
      </c>
      <c r="DV86" t="s">
        <v>225</v>
      </c>
      <c r="DW86" t="s">
        <v>533</v>
      </c>
      <c r="DX86" t="s">
        <v>95</v>
      </c>
      <c r="FQ86">
        <v>565909125</v>
      </c>
      <c r="FR86" t="s">
        <v>770</v>
      </c>
      <c r="FS86" s="1">
        <v>45924.644942129627</v>
      </c>
      <c r="FV86" t="s">
        <v>134</v>
      </c>
      <c r="FW86" t="s">
        <v>135</v>
      </c>
      <c r="FX86" t="s">
        <v>136</v>
      </c>
      <c r="FZ86">
        <v>167</v>
      </c>
    </row>
    <row r="87" spans="1:182" hidden="1" x14ac:dyDescent="0.3">
      <c r="A87" s="1">
        <v>45930.42405854167</v>
      </c>
      <c r="B87" s="1">
        <v>45930.462880092593</v>
      </c>
      <c r="D87" t="s">
        <v>84</v>
      </c>
      <c r="E87" t="s">
        <v>798</v>
      </c>
      <c r="F87" t="s">
        <v>3533</v>
      </c>
      <c r="G87" t="s">
        <v>176</v>
      </c>
      <c r="H87" t="s">
        <v>4121</v>
      </c>
      <c r="I87" t="s">
        <v>3534</v>
      </c>
      <c r="J87" t="s">
        <v>3535</v>
      </c>
      <c r="K87" t="s">
        <v>90</v>
      </c>
      <c r="L87" t="s">
        <v>3536</v>
      </c>
      <c r="M87" t="s">
        <v>3523</v>
      </c>
      <c r="N87" t="s">
        <v>3537</v>
      </c>
      <c r="O87">
        <v>-15.242354799999999</v>
      </c>
      <c r="P87">
        <v>22.877330799999999</v>
      </c>
      <c r="Q87">
        <v>1044.402465820312</v>
      </c>
      <c r="R87">
        <v>4.383</v>
      </c>
      <c r="S87" t="s">
        <v>95</v>
      </c>
      <c r="T87" t="s">
        <v>907</v>
      </c>
      <c r="U87" t="s">
        <v>907</v>
      </c>
      <c r="V87" t="s">
        <v>95</v>
      </c>
      <c r="W87" t="s">
        <v>907</v>
      </c>
      <c r="X87">
        <v>15</v>
      </c>
      <c r="Y87">
        <v>2</v>
      </c>
      <c r="Z87">
        <v>1.5</v>
      </c>
      <c r="AA87" t="s">
        <v>96</v>
      </c>
      <c r="AB87" t="s">
        <v>97</v>
      </c>
      <c r="AC87" t="s">
        <v>144</v>
      </c>
      <c r="AD87" t="s">
        <v>280</v>
      </c>
      <c r="AE87" t="s">
        <v>101</v>
      </c>
      <c r="AF87" t="s">
        <v>907</v>
      </c>
      <c r="AG87">
        <v>600</v>
      </c>
      <c r="AH87" t="s">
        <v>304</v>
      </c>
      <c r="AI87" t="s">
        <v>907</v>
      </c>
      <c r="AJ87" s="5">
        <v>745</v>
      </c>
      <c r="AK87" t="s">
        <v>148</v>
      </c>
      <c r="AL87" t="s">
        <v>907</v>
      </c>
      <c r="AM87" t="s">
        <v>4130</v>
      </c>
      <c r="AN87" t="s">
        <v>907</v>
      </c>
      <c r="AQ87" t="s">
        <v>3538</v>
      </c>
      <c r="AR87" t="s">
        <v>95</v>
      </c>
      <c r="AS87">
        <v>0</v>
      </c>
      <c r="AT87">
        <v>0</v>
      </c>
      <c r="AU87">
        <v>0</v>
      </c>
      <c r="AV87">
        <v>0</v>
      </c>
      <c r="AW87">
        <v>0</v>
      </c>
      <c r="AX87">
        <v>0</v>
      </c>
      <c r="AY87">
        <v>0</v>
      </c>
      <c r="AZ87" t="s">
        <v>629</v>
      </c>
      <c r="BA87" t="s">
        <v>452</v>
      </c>
      <c r="BB87" t="s">
        <v>154</v>
      </c>
      <c r="BC87" t="s">
        <v>907</v>
      </c>
      <c r="BD87" t="s">
        <v>257</v>
      </c>
      <c r="BE87" t="s">
        <v>258</v>
      </c>
      <c r="BF87" t="s">
        <v>3539</v>
      </c>
      <c r="BG87" t="s">
        <v>156</v>
      </c>
      <c r="BH87">
        <v>61</v>
      </c>
      <c r="BL87">
        <v>20</v>
      </c>
      <c r="BN87">
        <v>1</v>
      </c>
      <c r="BP87">
        <v>13</v>
      </c>
      <c r="BR87">
        <v>8</v>
      </c>
      <c r="BT87">
        <v>8</v>
      </c>
      <c r="BV87">
        <v>0</v>
      </c>
      <c r="BX87">
        <v>11</v>
      </c>
      <c r="BY87" t="s">
        <v>189</v>
      </c>
      <c r="BZ87">
        <v>3</v>
      </c>
      <c r="CA87">
        <v>15</v>
      </c>
      <c r="CB87" t="s">
        <v>84</v>
      </c>
      <c r="CC87" t="s">
        <v>84</v>
      </c>
      <c r="CD87" t="s">
        <v>2696</v>
      </c>
      <c r="CE87" t="s">
        <v>4249</v>
      </c>
      <c r="CF87" t="s">
        <v>3540</v>
      </c>
      <c r="CG87" t="s">
        <v>907</v>
      </c>
      <c r="CH87">
        <v>2</v>
      </c>
      <c r="CI87" t="s">
        <v>84</v>
      </c>
      <c r="CJ87" t="s">
        <v>546</v>
      </c>
      <c r="CK87" t="s">
        <v>289</v>
      </c>
      <c r="CL87" t="s">
        <v>263</v>
      </c>
      <c r="CM87" t="s">
        <v>115</v>
      </c>
      <c r="CN87" t="s">
        <v>3874</v>
      </c>
      <c r="CO87" t="s">
        <v>95</v>
      </c>
      <c r="CP87" t="s">
        <v>907</v>
      </c>
      <c r="CQ87" t="s">
        <v>116</v>
      </c>
      <c r="CR87" t="s">
        <v>84</v>
      </c>
      <c r="CS87" t="s">
        <v>117</v>
      </c>
      <c r="CT87" t="s">
        <v>163</v>
      </c>
      <c r="CU87" t="s">
        <v>3869</v>
      </c>
      <c r="CV87" t="s">
        <v>812</v>
      </c>
      <c r="CW87" t="s">
        <v>2683</v>
      </c>
      <c r="CX87" t="s">
        <v>166</v>
      </c>
      <c r="CY87" t="s">
        <v>167</v>
      </c>
      <c r="CZ87" t="s">
        <v>1270</v>
      </c>
      <c r="DA87">
        <v>3</v>
      </c>
      <c r="DB87" s="10">
        <v>22000</v>
      </c>
      <c r="DC87" t="s">
        <v>169</v>
      </c>
      <c r="DD87" t="s">
        <v>907</v>
      </c>
      <c r="DE87">
        <v>1</v>
      </c>
      <c r="DF87">
        <v>26</v>
      </c>
      <c r="DG87" t="s">
        <v>95</v>
      </c>
      <c r="DH87" t="s">
        <v>95</v>
      </c>
      <c r="DI87" t="s">
        <v>907</v>
      </c>
      <c r="DJ87" t="s">
        <v>907</v>
      </c>
      <c r="DK87" t="s">
        <v>907</v>
      </c>
      <c r="DL87" t="s">
        <v>907</v>
      </c>
      <c r="DM87" t="s">
        <v>291</v>
      </c>
      <c r="DN87" t="s">
        <v>907</v>
      </c>
      <c r="DO87" t="s">
        <v>907</v>
      </c>
      <c r="DP87">
        <v>3</v>
      </c>
      <c r="DQ87" t="s">
        <v>128</v>
      </c>
      <c r="DR87" t="s">
        <v>907</v>
      </c>
      <c r="DS87" t="s">
        <v>172</v>
      </c>
      <c r="DT87" t="s">
        <v>650</v>
      </c>
      <c r="DU87" t="s">
        <v>95</v>
      </c>
      <c r="DV87" t="s">
        <v>907</v>
      </c>
      <c r="DW87" t="s">
        <v>907</v>
      </c>
      <c r="DX87" t="s">
        <v>907</v>
      </c>
      <c r="FQ87">
        <v>569918164</v>
      </c>
      <c r="FR87" t="s">
        <v>3541</v>
      </c>
      <c r="FS87" s="1">
        <v>45930.396261574067</v>
      </c>
      <c r="FV87" t="s">
        <v>134</v>
      </c>
      <c r="FW87" t="s">
        <v>135</v>
      </c>
      <c r="FX87" t="s">
        <v>136</v>
      </c>
      <c r="FZ87">
        <v>557</v>
      </c>
    </row>
    <row r="88" spans="1:182" hidden="1" x14ac:dyDescent="0.3">
      <c r="A88" s="1">
        <v>45924.635974629629</v>
      </c>
      <c r="B88" s="1">
        <v>45924.773471296299</v>
      </c>
      <c r="D88" t="s">
        <v>84</v>
      </c>
      <c r="E88" t="s">
        <v>3876</v>
      </c>
      <c r="F88" t="s">
        <v>1188</v>
      </c>
      <c r="G88" t="s">
        <v>176</v>
      </c>
      <c r="H88" t="s">
        <v>4122</v>
      </c>
      <c r="I88" t="s">
        <v>1189</v>
      </c>
      <c r="J88" t="s">
        <v>1190</v>
      </c>
      <c r="K88" t="s">
        <v>90</v>
      </c>
      <c r="L88" t="s">
        <v>1191</v>
      </c>
      <c r="M88" t="s">
        <v>1085</v>
      </c>
      <c r="S88" t="s">
        <v>84</v>
      </c>
      <c r="T88" t="s">
        <v>94</v>
      </c>
      <c r="U88">
        <v>10</v>
      </c>
      <c r="V88" t="s">
        <v>95</v>
      </c>
      <c r="W88" t="s">
        <v>907</v>
      </c>
      <c r="X88">
        <v>18</v>
      </c>
      <c r="Y88">
        <v>5</v>
      </c>
      <c r="Z88">
        <v>4</v>
      </c>
      <c r="AA88" t="s">
        <v>96</v>
      </c>
      <c r="AB88" t="s">
        <v>351</v>
      </c>
      <c r="AC88" t="s">
        <v>98</v>
      </c>
      <c r="AD88" t="s">
        <v>280</v>
      </c>
      <c r="AE88" t="s">
        <v>304</v>
      </c>
      <c r="AF88" t="s">
        <v>907</v>
      </c>
      <c r="AG88">
        <v>5000</v>
      </c>
      <c r="AH88" t="s">
        <v>147</v>
      </c>
      <c r="AI88" t="s">
        <v>907</v>
      </c>
      <c r="AJ88" s="5">
        <v>10000</v>
      </c>
      <c r="AK88" t="s">
        <v>102</v>
      </c>
      <c r="AL88" t="s">
        <v>907</v>
      </c>
      <c r="AM88" t="s">
        <v>1192</v>
      </c>
      <c r="AN88" t="s">
        <v>907</v>
      </c>
      <c r="AO88" t="s">
        <v>1193</v>
      </c>
      <c r="AP88" t="s">
        <v>267</v>
      </c>
      <c r="AQ88" t="s">
        <v>1051</v>
      </c>
      <c r="AR88" t="s">
        <v>84</v>
      </c>
      <c r="AS88">
        <v>0</v>
      </c>
      <c r="AT88">
        <v>0</v>
      </c>
      <c r="AU88">
        <v>0</v>
      </c>
      <c r="AV88">
        <v>0</v>
      </c>
      <c r="AW88">
        <v>0</v>
      </c>
      <c r="AX88">
        <v>0</v>
      </c>
      <c r="AY88">
        <v>0</v>
      </c>
      <c r="AZ88" t="s">
        <v>629</v>
      </c>
      <c r="BA88" t="s">
        <v>95</v>
      </c>
      <c r="BB88" t="s">
        <v>154</v>
      </c>
      <c r="BC88" t="s">
        <v>907</v>
      </c>
      <c r="BD88" t="s">
        <v>107</v>
      </c>
      <c r="BE88" t="s">
        <v>258</v>
      </c>
      <c r="BF88" t="s">
        <v>1194</v>
      </c>
      <c r="BG88" t="s">
        <v>156</v>
      </c>
      <c r="BH88">
        <v>60</v>
      </c>
      <c r="BL88">
        <v>37</v>
      </c>
      <c r="BN88">
        <v>2</v>
      </c>
      <c r="BP88">
        <v>6</v>
      </c>
      <c r="BR88">
        <v>0</v>
      </c>
      <c r="BT88">
        <v>2</v>
      </c>
      <c r="BV88">
        <v>5</v>
      </c>
      <c r="BX88">
        <v>8</v>
      </c>
      <c r="BY88" t="s">
        <v>189</v>
      </c>
      <c r="BZ88">
        <v>1</v>
      </c>
      <c r="CA88">
        <v>53</v>
      </c>
      <c r="CB88" t="s">
        <v>84</v>
      </c>
      <c r="CC88" t="s">
        <v>84</v>
      </c>
      <c r="CD88" t="s">
        <v>1195</v>
      </c>
      <c r="CE88" t="s">
        <v>4252</v>
      </c>
      <c r="CF88" t="s">
        <v>1196</v>
      </c>
      <c r="CG88" t="s">
        <v>907</v>
      </c>
      <c r="CH88">
        <v>2</v>
      </c>
      <c r="CI88" t="s">
        <v>84</v>
      </c>
      <c r="CJ88" t="s">
        <v>336</v>
      </c>
      <c r="CK88" t="s">
        <v>113</v>
      </c>
      <c r="CL88" t="s">
        <v>1196</v>
      </c>
      <c r="CM88" t="s">
        <v>162</v>
      </c>
      <c r="CN88" t="s">
        <v>3874</v>
      </c>
      <c r="CO88" t="s">
        <v>95</v>
      </c>
      <c r="CP88" t="s">
        <v>907</v>
      </c>
      <c r="CQ88" t="s">
        <v>116</v>
      </c>
      <c r="CR88" t="s">
        <v>95</v>
      </c>
      <c r="CS88" t="s">
        <v>907</v>
      </c>
      <c r="CT88" t="s">
        <v>907</v>
      </c>
      <c r="CU88" t="s">
        <v>907</v>
      </c>
      <c r="CV88" t="s">
        <v>812</v>
      </c>
      <c r="CW88" t="s">
        <v>1197</v>
      </c>
      <c r="CX88" t="s">
        <v>119</v>
      </c>
      <c r="CY88" t="s">
        <v>121</v>
      </c>
      <c r="CZ88" t="s">
        <v>696</v>
      </c>
      <c r="DA88">
        <v>13</v>
      </c>
      <c r="DB88" s="10">
        <v>65000</v>
      </c>
      <c r="DC88" t="s">
        <v>169</v>
      </c>
      <c r="DD88" t="s">
        <v>907</v>
      </c>
      <c r="DE88">
        <v>10</v>
      </c>
      <c r="DF88">
        <v>15</v>
      </c>
      <c r="DG88" t="s">
        <v>95</v>
      </c>
      <c r="DH88" t="s">
        <v>95</v>
      </c>
      <c r="DI88" t="s">
        <v>907</v>
      </c>
      <c r="DJ88" t="s">
        <v>907</v>
      </c>
      <c r="DK88" t="s">
        <v>907</v>
      </c>
      <c r="DL88" t="s">
        <v>907</v>
      </c>
      <c r="DM88" t="s">
        <v>291</v>
      </c>
      <c r="DN88" t="s">
        <v>907</v>
      </c>
      <c r="DO88" t="s">
        <v>907</v>
      </c>
      <c r="DP88">
        <v>1</v>
      </c>
      <c r="DQ88" t="s">
        <v>441</v>
      </c>
      <c r="DR88" t="s">
        <v>907</v>
      </c>
      <c r="DS88" t="s">
        <v>882</v>
      </c>
      <c r="DT88" t="s">
        <v>863</v>
      </c>
      <c r="DU88" t="s">
        <v>95</v>
      </c>
      <c r="DV88" t="s">
        <v>907</v>
      </c>
      <c r="DW88" t="s">
        <v>907</v>
      </c>
      <c r="DX88" t="s">
        <v>907</v>
      </c>
      <c r="FQ88">
        <v>565986540</v>
      </c>
      <c r="FR88" t="s">
        <v>1198</v>
      </c>
      <c r="FS88" s="1">
        <v>45924.707754629628</v>
      </c>
      <c r="FV88" t="s">
        <v>134</v>
      </c>
      <c r="FW88" t="s">
        <v>135</v>
      </c>
      <c r="FX88" t="s">
        <v>136</v>
      </c>
      <c r="FZ88">
        <v>204</v>
      </c>
    </row>
    <row r="89" spans="1:182" hidden="1" x14ac:dyDescent="0.3">
      <c r="A89" s="1">
        <v>45930.405426805562</v>
      </c>
      <c r="B89" s="1">
        <v>45930.93324327546</v>
      </c>
      <c r="D89" t="s">
        <v>84</v>
      </c>
      <c r="E89" t="s">
        <v>3876</v>
      </c>
      <c r="F89" t="s">
        <v>3688</v>
      </c>
      <c r="G89" t="s">
        <v>176</v>
      </c>
      <c r="H89" t="s">
        <v>4122</v>
      </c>
      <c r="I89" t="s">
        <v>3689</v>
      </c>
      <c r="J89" t="s">
        <v>3690</v>
      </c>
      <c r="K89" t="s">
        <v>90</v>
      </c>
      <c r="L89" t="s">
        <v>4050</v>
      </c>
      <c r="M89" t="s">
        <v>3127</v>
      </c>
      <c r="S89" t="s">
        <v>84</v>
      </c>
      <c r="T89" t="s">
        <v>94</v>
      </c>
      <c r="U89">
        <v>3</v>
      </c>
      <c r="V89" t="s">
        <v>95</v>
      </c>
      <c r="W89" t="s">
        <v>907</v>
      </c>
      <c r="X89">
        <v>22</v>
      </c>
      <c r="Y89">
        <v>1</v>
      </c>
      <c r="Z89">
        <v>1</v>
      </c>
      <c r="AA89" t="s">
        <v>251</v>
      </c>
      <c r="AB89" t="s">
        <v>97</v>
      </c>
      <c r="AC89" t="s">
        <v>98</v>
      </c>
      <c r="AD89" t="s">
        <v>280</v>
      </c>
      <c r="AE89" t="s">
        <v>100</v>
      </c>
      <c r="AF89" t="s">
        <v>907</v>
      </c>
      <c r="AG89">
        <v>4000</v>
      </c>
      <c r="AH89" t="s">
        <v>3873</v>
      </c>
      <c r="AI89" t="s">
        <v>907</v>
      </c>
      <c r="AJ89" t="s">
        <v>907</v>
      </c>
      <c r="AK89" t="s">
        <v>102</v>
      </c>
      <c r="AL89" t="s">
        <v>907</v>
      </c>
      <c r="AM89" t="s">
        <v>466</v>
      </c>
      <c r="AN89" t="s">
        <v>907</v>
      </c>
      <c r="AO89" t="s">
        <v>267</v>
      </c>
      <c r="AP89" t="s">
        <v>3691</v>
      </c>
      <c r="AQ89" t="s">
        <v>3692</v>
      </c>
      <c r="AR89" t="s">
        <v>84</v>
      </c>
      <c r="AS89">
        <v>0</v>
      </c>
      <c r="AT89">
        <v>0</v>
      </c>
      <c r="AU89">
        <v>0</v>
      </c>
      <c r="AV89">
        <v>0</v>
      </c>
      <c r="AW89">
        <v>0</v>
      </c>
      <c r="AX89">
        <v>0</v>
      </c>
      <c r="AY89">
        <v>0</v>
      </c>
      <c r="AZ89" t="s">
        <v>629</v>
      </c>
      <c r="BA89" t="s">
        <v>95</v>
      </c>
      <c r="BB89" t="s">
        <v>154</v>
      </c>
      <c r="BC89" t="s">
        <v>907</v>
      </c>
      <c r="BD89" t="s">
        <v>257</v>
      </c>
      <c r="BE89" t="s">
        <v>258</v>
      </c>
      <c r="BF89" t="s">
        <v>3693</v>
      </c>
      <c r="BG89" t="s">
        <v>235</v>
      </c>
      <c r="BH89">
        <v>16</v>
      </c>
      <c r="BL89">
        <v>9</v>
      </c>
      <c r="BN89">
        <v>0</v>
      </c>
      <c r="BP89">
        <v>0</v>
      </c>
      <c r="BR89">
        <v>4</v>
      </c>
      <c r="BT89">
        <v>2</v>
      </c>
      <c r="BV89">
        <v>0</v>
      </c>
      <c r="BX89">
        <v>1</v>
      </c>
      <c r="BY89" t="s">
        <v>110</v>
      </c>
      <c r="BZ89" t="s">
        <v>907</v>
      </c>
      <c r="CA89" t="s">
        <v>907</v>
      </c>
      <c r="CB89" t="s">
        <v>84</v>
      </c>
      <c r="CC89" t="s">
        <v>95</v>
      </c>
      <c r="CD89" t="s">
        <v>978</v>
      </c>
      <c r="CE89" t="s">
        <v>4251</v>
      </c>
      <c r="CF89" t="s">
        <v>3694</v>
      </c>
      <c r="CG89" t="s">
        <v>907</v>
      </c>
      <c r="CH89">
        <v>2</v>
      </c>
      <c r="CI89" t="s">
        <v>84</v>
      </c>
      <c r="CJ89" t="s">
        <v>586</v>
      </c>
      <c r="CK89" t="s">
        <v>113</v>
      </c>
      <c r="CL89" t="s">
        <v>895</v>
      </c>
      <c r="CM89" t="s">
        <v>162</v>
      </c>
      <c r="CN89" t="s">
        <v>3874</v>
      </c>
      <c r="CO89" t="s">
        <v>95</v>
      </c>
      <c r="CP89" t="s">
        <v>907</v>
      </c>
      <c r="CQ89" t="s">
        <v>116</v>
      </c>
      <c r="CR89" t="s">
        <v>95</v>
      </c>
      <c r="CS89" t="s">
        <v>907</v>
      </c>
      <c r="CT89" t="s">
        <v>907</v>
      </c>
      <c r="CU89" t="s">
        <v>907</v>
      </c>
      <c r="CV89" t="s">
        <v>3695</v>
      </c>
      <c r="CW89" t="s">
        <v>3447</v>
      </c>
      <c r="CX89" t="s">
        <v>166</v>
      </c>
      <c r="CY89" t="s">
        <v>167</v>
      </c>
      <c r="CZ89" t="s">
        <v>2232</v>
      </c>
      <c r="DA89">
        <v>2</v>
      </c>
      <c r="DB89" s="10">
        <v>25100</v>
      </c>
      <c r="DC89" t="s">
        <v>169</v>
      </c>
      <c r="DD89" t="s">
        <v>907</v>
      </c>
      <c r="DE89">
        <v>2</v>
      </c>
      <c r="DF89">
        <v>35</v>
      </c>
      <c r="DG89" t="s">
        <v>95</v>
      </c>
      <c r="DH89" t="s">
        <v>95</v>
      </c>
      <c r="DI89" t="s">
        <v>907</v>
      </c>
      <c r="DJ89" t="s">
        <v>907</v>
      </c>
      <c r="DK89" t="s">
        <v>907</v>
      </c>
      <c r="DL89" t="s">
        <v>907</v>
      </c>
      <c r="DM89" t="s">
        <v>291</v>
      </c>
      <c r="DN89" t="s">
        <v>907</v>
      </c>
      <c r="DO89" t="s">
        <v>907</v>
      </c>
      <c r="DP89">
        <v>2</v>
      </c>
      <c r="DQ89" t="s">
        <v>441</v>
      </c>
      <c r="DR89" t="s">
        <v>907</v>
      </c>
      <c r="DS89" t="s">
        <v>292</v>
      </c>
      <c r="DT89" t="s">
        <v>3696</v>
      </c>
      <c r="DU89" t="s">
        <v>95</v>
      </c>
      <c r="DV89" t="s">
        <v>907</v>
      </c>
      <c r="DW89" t="s">
        <v>907</v>
      </c>
      <c r="DX89" t="s">
        <v>907</v>
      </c>
      <c r="FQ89">
        <v>570408250</v>
      </c>
      <c r="FR89" t="s">
        <v>3697</v>
      </c>
      <c r="FS89" s="1">
        <v>45930.850219907406</v>
      </c>
      <c r="FV89" t="s">
        <v>134</v>
      </c>
      <c r="FW89" t="s">
        <v>135</v>
      </c>
      <c r="FX89" t="s">
        <v>136</v>
      </c>
      <c r="FZ89">
        <v>595</v>
      </c>
    </row>
    <row r="90" spans="1:182" x14ac:dyDescent="0.3">
      <c r="A90" s="1">
        <v>45929.481028402777</v>
      </c>
      <c r="B90" s="1">
        <v>45929.508988217603</v>
      </c>
      <c r="D90" t="s">
        <v>84</v>
      </c>
      <c r="E90" t="s">
        <v>1397</v>
      </c>
      <c r="F90" t="s">
        <v>3328</v>
      </c>
      <c r="G90" t="s">
        <v>176</v>
      </c>
      <c r="H90" t="s">
        <v>4121</v>
      </c>
      <c r="I90" t="s">
        <v>3329</v>
      </c>
      <c r="J90" t="s">
        <v>3330</v>
      </c>
      <c r="K90" t="s">
        <v>90</v>
      </c>
      <c r="L90" t="s">
        <v>4074</v>
      </c>
      <c r="M90" t="s">
        <v>3290</v>
      </c>
      <c r="N90" t="s">
        <v>3331</v>
      </c>
      <c r="O90">
        <v>-15.3824209</v>
      </c>
      <c r="P90">
        <v>23.014525899999999</v>
      </c>
      <c r="Q90">
        <v>1024.685424804688</v>
      </c>
      <c r="R90">
        <v>3.79</v>
      </c>
      <c r="S90" t="s">
        <v>84</v>
      </c>
      <c r="T90" t="s">
        <v>94</v>
      </c>
      <c r="U90">
        <v>3</v>
      </c>
      <c r="V90" t="s">
        <v>95</v>
      </c>
      <c r="W90" t="s">
        <v>907</v>
      </c>
      <c r="X90">
        <v>2</v>
      </c>
      <c r="Y90">
        <v>0.3</v>
      </c>
      <c r="Z90">
        <v>1</v>
      </c>
      <c r="AA90" t="s">
        <v>251</v>
      </c>
      <c r="AB90" t="s">
        <v>97</v>
      </c>
      <c r="AC90" t="s">
        <v>98</v>
      </c>
      <c r="AD90" t="s">
        <v>252</v>
      </c>
      <c r="AE90" t="s">
        <v>101</v>
      </c>
      <c r="AF90" t="s">
        <v>907</v>
      </c>
      <c r="AG90">
        <v>1000</v>
      </c>
      <c r="AH90" t="s">
        <v>304</v>
      </c>
      <c r="AI90" t="s">
        <v>907</v>
      </c>
      <c r="AJ90" s="5">
        <v>1000</v>
      </c>
      <c r="AK90" t="s">
        <v>102</v>
      </c>
      <c r="AL90" t="s">
        <v>907</v>
      </c>
      <c r="AM90" t="s">
        <v>3305</v>
      </c>
      <c r="AN90" t="s">
        <v>907</v>
      </c>
      <c r="AO90" t="s">
        <v>3332</v>
      </c>
      <c r="AP90" t="s">
        <v>3333</v>
      </c>
      <c r="AQ90" t="s">
        <v>3307</v>
      </c>
      <c r="AR90" t="s">
        <v>95</v>
      </c>
      <c r="AS90">
        <v>1</v>
      </c>
      <c r="AT90">
        <v>0</v>
      </c>
      <c r="AU90">
        <v>0</v>
      </c>
      <c r="AV90">
        <v>7</v>
      </c>
      <c r="AW90">
        <v>0</v>
      </c>
      <c r="AX90">
        <v>0</v>
      </c>
      <c r="AY90">
        <v>0</v>
      </c>
      <c r="AZ90" t="s">
        <v>284</v>
      </c>
      <c r="BA90" t="s">
        <v>95</v>
      </c>
      <c r="BB90" t="s">
        <v>154</v>
      </c>
      <c r="BC90" t="s">
        <v>907</v>
      </c>
      <c r="BD90" t="s">
        <v>107</v>
      </c>
      <c r="BE90" t="s">
        <v>258</v>
      </c>
      <c r="BF90" t="s">
        <v>2144</v>
      </c>
      <c r="BG90" t="s">
        <v>235</v>
      </c>
      <c r="BH90">
        <v>107</v>
      </c>
      <c r="BL90">
        <v>38</v>
      </c>
      <c r="BN90">
        <v>2</v>
      </c>
      <c r="BP90">
        <v>20</v>
      </c>
      <c r="BR90">
        <v>15</v>
      </c>
      <c r="BT90">
        <v>4</v>
      </c>
      <c r="BV90">
        <v>8</v>
      </c>
      <c r="BX90">
        <v>20</v>
      </c>
      <c r="BY90" t="s">
        <v>189</v>
      </c>
      <c r="BZ90">
        <v>2</v>
      </c>
      <c r="CA90">
        <v>60</v>
      </c>
      <c r="CB90" t="s">
        <v>84</v>
      </c>
      <c r="CC90" t="s">
        <v>84</v>
      </c>
      <c r="CD90" t="s">
        <v>778</v>
      </c>
      <c r="CE90" t="s">
        <v>4251</v>
      </c>
      <c r="CF90" t="s">
        <v>4076</v>
      </c>
      <c r="CG90" t="s">
        <v>907</v>
      </c>
      <c r="CH90">
        <v>2</v>
      </c>
      <c r="CI90" t="s">
        <v>84</v>
      </c>
      <c r="CJ90" t="s">
        <v>262</v>
      </c>
      <c r="CK90" t="s">
        <v>289</v>
      </c>
      <c r="CL90" t="s">
        <v>1212</v>
      </c>
      <c r="CM90" t="s">
        <v>193</v>
      </c>
      <c r="CN90" t="s">
        <v>3874</v>
      </c>
      <c r="CO90" t="s">
        <v>95</v>
      </c>
      <c r="CP90" t="s">
        <v>907</v>
      </c>
      <c r="CQ90" t="s">
        <v>116</v>
      </c>
      <c r="CR90" t="s">
        <v>84</v>
      </c>
      <c r="CS90" t="s">
        <v>117</v>
      </c>
      <c r="CT90" t="s">
        <v>907</v>
      </c>
      <c r="CU90" t="s">
        <v>3869</v>
      </c>
      <c r="CV90" t="s">
        <v>812</v>
      </c>
      <c r="CW90" t="s">
        <v>1344</v>
      </c>
      <c r="CX90" t="s">
        <v>166</v>
      </c>
      <c r="CY90" t="s">
        <v>167</v>
      </c>
      <c r="CZ90" s="16" t="s">
        <v>439</v>
      </c>
      <c r="DA90">
        <v>5</v>
      </c>
      <c r="DB90" s="10">
        <v>25000</v>
      </c>
      <c r="DC90" t="s">
        <v>169</v>
      </c>
      <c r="DD90" t="s">
        <v>907</v>
      </c>
      <c r="DE90">
        <v>4</v>
      </c>
      <c r="DF90">
        <v>20</v>
      </c>
      <c r="DG90" t="s">
        <v>95</v>
      </c>
      <c r="DH90" t="s">
        <v>95</v>
      </c>
      <c r="DI90" t="s">
        <v>907</v>
      </c>
      <c r="DJ90" t="s">
        <v>907</v>
      </c>
      <c r="DK90" t="s">
        <v>907</v>
      </c>
      <c r="DL90" t="s">
        <v>907</v>
      </c>
      <c r="DM90" t="s">
        <v>291</v>
      </c>
      <c r="DN90" t="s">
        <v>907</v>
      </c>
      <c r="DO90" t="s">
        <v>907</v>
      </c>
      <c r="DP90">
        <v>5</v>
      </c>
      <c r="DQ90" t="s">
        <v>441</v>
      </c>
      <c r="DR90" t="s">
        <v>907</v>
      </c>
      <c r="DS90" t="s">
        <v>3309</v>
      </c>
      <c r="DT90" t="s">
        <v>2162</v>
      </c>
      <c r="DU90" t="s">
        <v>84</v>
      </c>
      <c r="DV90" t="s">
        <v>1318</v>
      </c>
      <c r="DW90" t="s">
        <v>533</v>
      </c>
      <c r="DX90" t="s">
        <v>95</v>
      </c>
      <c r="FQ90">
        <v>569747851</v>
      </c>
      <c r="FR90" t="s">
        <v>3334</v>
      </c>
      <c r="FS90" s="1">
        <v>45930.203472222223</v>
      </c>
      <c r="FV90" t="s">
        <v>134</v>
      </c>
      <c r="FW90" t="s">
        <v>135</v>
      </c>
      <c r="FX90" t="s">
        <v>136</v>
      </c>
      <c r="FZ90">
        <v>532</v>
      </c>
    </row>
    <row r="91" spans="1:182" x14ac:dyDescent="0.3">
      <c r="A91" s="1">
        <v>45926.377890324067</v>
      </c>
      <c r="B91" s="1">
        <v>45926.427701921297</v>
      </c>
      <c r="D91" t="s">
        <v>84</v>
      </c>
      <c r="E91" t="s">
        <v>1878</v>
      </c>
      <c r="F91" t="s">
        <v>2674</v>
      </c>
      <c r="G91" t="s">
        <v>176</v>
      </c>
      <c r="H91" t="s">
        <v>4122</v>
      </c>
      <c r="I91" t="s">
        <v>2675</v>
      </c>
      <c r="J91" t="s">
        <v>2676</v>
      </c>
      <c r="K91" t="s">
        <v>90</v>
      </c>
      <c r="L91" t="s">
        <v>2677</v>
      </c>
      <c r="M91" t="s">
        <v>2678</v>
      </c>
      <c r="N91" t="s">
        <v>2679</v>
      </c>
      <c r="O91">
        <v>-15.1969177</v>
      </c>
      <c r="P91">
        <v>22.953529199999998</v>
      </c>
      <c r="Q91">
        <v>1075.4000000000001</v>
      </c>
      <c r="R91">
        <v>4.9829999999999997</v>
      </c>
      <c r="S91" t="s">
        <v>84</v>
      </c>
      <c r="T91" t="s">
        <v>182</v>
      </c>
      <c r="U91">
        <v>11</v>
      </c>
      <c r="V91" t="s">
        <v>95</v>
      </c>
      <c r="W91" t="s">
        <v>907</v>
      </c>
      <c r="X91">
        <v>37</v>
      </c>
      <c r="Y91">
        <v>1</v>
      </c>
      <c r="Z91">
        <v>1</v>
      </c>
      <c r="AA91" t="s">
        <v>96</v>
      </c>
      <c r="AB91" t="s">
        <v>351</v>
      </c>
      <c r="AC91" t="s">
        <v>144</v>
      </c>
      <c r="AD91" t="s">
        <v>280</v>
      </c>
      <c r="AE91" t="s">
        <v>100</v>
      </c>
      <c r="AF91" t="s">
        <v>907</v>
      </c>
      <c r="AG91">
        <v>1583</v>
      </c>
      <c r="AH91" t="s">
        <v>304</v>
      </c>
      <c r="AI91" t="s">
        <v>907</v>
      </c>
      <c r="AJ91" s="5">
        <v>1375</v>
      </c>
      <c r="AK91" t="s">
        <v>102</v>
      </c>
      <c r="AL91" t="s">
        <v>907</v>
      </c>
      <c r="AM91" t="s">
        <v>466</v>
      </c>
      <c r="AN91" t="s">
        <v>907</v>
      </c>
      <c r="AO91" t="s">
        <v>2680</v>
      </c>
      <c r="AP91" t="s">
        <v>2681</v>
      </c>
      <c r="AQ91" t="s">
        <v>466</v>
      </c>
      <c r="AR91" t="s">
        <v>95</v>
      </c>
      <c r="AS91">
        <v>31</v>
      </c>
      <c r="AT91">
        <v>0</v>
      </c>
      <c r="AU91">
        <v>0</v>
      </c>
      <c r="AV91">
        <v>42</v>
      </c>
      <c r="AW91">
        <v>0</v>
      </c>
      <c r="AX91">
        <v>0</v>
      </c>
      <c r="AY91">
        <v>0</v>
      </c>
      <c r="AZ91" t="s">
        <v>1003</v>
      </c>
      <c r="BA91" t="s">
        <v>95</v>
      </c>
      <c r="BB91" t="s">
        <v>308</v>
      </c>
      <c r="BC91" t="s">
        <v>907</v>
      </c>
      <c r="BD91" t="s">
        <v>107</v>
      </c>
      <c r="BE91" t="s">
        <v>258</v>
      </c>
      <c r="BF91" t="s">
        <v>688</v>
      </c>
      <c r="BG91" t="s">
        <v>156</v>
      </c>
      <c r="BH91">
        <v>127</v>
      </c>
      <c r="BL91">
        <v>55</v>
      </c>
      <c r="BN91">
        <v>4</v>
      </c>
      <c r="BP91">
        <v>27</v>
      </c>
      <c r="BR91">
        <v>14</v>
      </c>
      <c r="BT91">
        <v>5</v>
      </c>
      <c r="BV91">
        <v>0</v>
      </c>
      <c r="BX91">
        <v>23</v>
      </c>
      <c r="BY91" t="s">
        <v>189</v>
      </c>
      <c r="BZ91">
        <v>3</v>
      </c>
      <c r="CA91">
        <v>52</v>
      </c>
      <c r="CB91" t="s">
        <v>84</v>
      </c>
      <c r="CC91" t="s">
        <v>84</v>
      </c>
      <c r="CD91" t="s">
        <v>2682</v>
      </c>
      <c r="CE91" t="s">
        <v>4250</v>
      </c>
      <c r="CF91" t="s">
        <v>4013</v>
      </c>
      <c r="CG91" t="s">
        <v>907</v>
      </c>
      <c r="CH91">
        <v>2</v>
      </c>
      <c r="CI91" t="s">
        <v>84</v>
      </c>
      <c r="CJ91" t="s">
        <v>586</v>
      </c>
      <c r="CK91" t="s">
        <v>289</v>
      </c>
      <c r="CL91" t="s">
        <v>2049</v>
      </c>
      <c r="CM91" t="s">
        <v>193</v>
      </c>
      <c r="CN91" t="s">
        <v>3874</v>
      </c>
      <c r="CO91" t="s">
        <v>95</v>
      </c>
      <c r="CP91" t="s">
        <v>907</v>
      </c>
      <c r="CQ91" t="s">
        <v>116</v>
      </c>
      <c r="CR91" t="s">
        <v>84</v>
      </c>
      <c r="CS91" t="s">
        <v>117</v>
      </c>
      <c r="CT91" t="s">
        <v>907</v>
      </c>
      <c r="CU91" t="s">
        <v>793</v>
      </c>
      <c r="CV91" t="s">
        <v>812</v>
      </c>
      <c r="CW91" t="s">
        <v>2683</v>
      </c>
      <c r="CX91" t="s">
        <v>119</v>
      </c>
      <c r="CY91" t="s">
        <v>121</v>
      </c>
      <c r="CZ91" t="s">
        <v>2684</v>
      </c>
      <c r="DA91">
        <v>5</v>
      </c>
      <c r="DB91" s="10">
        <v>26000</v>
      </c>
      <c r="DC91" t="s">
        <v>169</v>
      </c>
      <c r="DD91" t="s">
        <v>907</v>
      </c>
      <c r="DE91">
        <v>10</v>
      </c>
      <c r="DF91">
        <v>25</v>
      </c>
      <c r="DG91" t="s">
        <v>95</v>
      </c>
      <c r="DH91" t="s">
        <v>95</v>
      </c>
      <c r="DI91" t="s">
        <v>907</v>
      </c>
      <c r="DJ91" t="s">
        <v>907</v>
      </c>
      <c r="DK91" t="s">
        <v>907</v>
      </c>
      <c r="DL91" t="s">
        <v>907</v>
      </c>
      <c r="DM91" t="s">
        <v>291</v>
      </c>
      <c r="DN91" t="s">
        <v>907</v>
      </c>
      <c r="DO91" t="s">
        <v>907</v>
      </c>
      <c r="DP91">
        <v>5</v>
      </c>
      <c r="DQ91" t="s">
        <v>128</v>
      </c>
      <c r="DR91" t="s">
        <v>907</v>
      </c>
      <c r="DS91" t="s">
        <v>172</v>
      </c>
      <c r="DT91" t="s">
        <v>224</v>
      </c>
      <c r="DU91" t="s">
        <v>84</v>
      </c>
      <c r="DV91" t="s">
        <v>2685</v>
      </c>
      <c r="DW91" t="s">
        <v>2686</v>
      </c>
      <c r="DX91" t="s">
        <v>95</v>
      </c>
      <c r="FQ91">
        <v>567387263</v>
      </c>
      <c r="FR91" t="s">
        <v>2687</v>
      </c>
      <c r="FS91" s="1">
        <v>45926.517812500002</v>
      </c>
      <c r="FV91" t="s">
        <v>134</v>
      </c>
      <c r="FW91" t="s">
        <v>135</v>
      </c>
      <c r="FX91" t="s">
        <v>136</v>
      </c>
      <c r="FZ91">
        <v>391</v>
      </c>
    </row>
    <row r="92" spans="1:182" x14ac:dyDescent="0.3">
      <c r="A92" s="1">
        <v>45925.513231249999</v>
      </c>
      <c r="B92" s="1">
        <v>45925.534323333333</v>
      </c>
      <c r="D92" t="s">
        <v>84</v>
      </c>
      <c r="E92" t="s">
        <v>1226</v>
      </c>
      <c r="F92" t="s">
        <v>3983</v>
      </c>
      <c r="G92" t="s">
        <v>176</v>
      </c>
      <c r="H92" t="s">
        <v>4122</v>
      </c>
      <c r="I92" t="s">
        <v>2254</v>
      </c>
      <c r="J92" t="s">
        <v>2255</v>
      </c>
      <c r="K92" t="s">
        <v>90</v>
      </c>
      <c r="L92" t="s">
        <v>2256</v>
      </c>
      <c r="M92" t="s">
        <v>2097</v>
      </c>
      <c r="N92" t="s">
        <v>2257</v>
      </c>
      <c r="O92">
        <v>-15.2335067</v>
      </c>
      <c r="P92">
        <v>22.991781700000001</v>
      </c>
      <c r="Q92">
        <v>1021.9</v>
      </c>
      <c r="R92">
        <v>5</v>
      </c>
      <c r="S92" t="s">
        <v>84</v>
      </c>
      <c r="T92" t="s">
        <v>94</v>
      </c>
      <c r="U92">
        <v>14</v>
      </c>
      <c r="V92" t="s">
        <v>95</v>
      </c>
      <c r="W92" t="s">
        <v>907</v>
      </c>
      <c r="X92">
        <v>45</v>
      </c>
      <c r="Y92" s="3">
        <v>40000</v>
      </c>
      <c r="Z92">
        <v>8</v>
      </c>
      <c r="AA92" t="s">
        <v>251</v>
      </c>
      <c r="AB92" t="s">
        <v>97</v>
      </c>
      <c r="AC92" t="s">
        <v>144</v>
      </c>
      <c r="AD92" t="s">
        <v>252</v>
      </c>
      <c r="AE92" t="s">
        <v>100</v>
      </c>
      <c r="AF92" t="s">
        <v>907</v>
      </c>
      <c r="AG92" s="3">
        <v>10000</v>
      </c>
      <c r="AH92" t="s">
        <v>953</v>
      </c>
      <c r="AI92" t="s">
        <v>907</v>
      </c>
      <c r="AJ92" s="5">
        <v>12000</v>
      </c>
      <c r="AK92" t="s">
        <v>102</v>
      </c>
      <c r="AL92" t="s">
        <v>907</v>
      </c>
      <c r="AM92" t="s">
        <v>2258</v>
      </c>
      <c r="AN92" t="s">
        <v>907</v>
      </c>
      <c r="AO92" t="s">
        <v>2259</v>
      </c>
      <c r="AP92" t="s">
        <v>2260</v>
      </c>
      <c r="AQ92" t="s">
        <v>123</v>
      </c>
      <c r="AR92" t="s">
        <v>84</v>
      </c>
      <c r="AS92">
        <v>35</v>
      </c>
      <c r="AT92">
        <v>19</v>
      </c>
      <c r="AU92">
        <v>0</v>
      </c>
      <c r="AV92">
        <v>48</v>
      </c>
      <c r="AW92">
        <v>48</v>
      </c>
      <c r="AX92">
        <v>0</v>
      </c>
      <c r="AY92">
        <v>0</v>
      </c>
      <c r="AZ92" t="s">
        <v>629</v>
      </c>
      <c r="BA92" t="s">
        <v>2261</v>
      </c>
      <c r="BB92" t="s">
        <v>154</v>
      </c>
      <c r="BC92" t="s">
        <v>907</v>
      </c>
      <c r="BD92" t="s">
        <v>257</v>
      </c>
      <c r="BE92" t="s">
        <v>258</v>
      </c>
      <c r="BF92" t="s">
        <v>2191</v>
      </c>
      <c r="BG92" t="s">
        <v>2262</v>
      </c>
      <c r="BH92">
        <v>69</v>
      </c>
      <c r="BL92">
        <v>24</v>
      </c>
      <c r="BN92">
        <v>4</v>
      </c>
      <c r="BP92">
        <v>7</v>
      </c>
      <c r="BR92">
        <v>9</v>
      </c>
      <c r="BT92">
        <v>9</v>
      </c>
      <c r="BV92">
        <v>8</v>
      </c>
      <c r="BX92">
        <v>8</v>
      </c>
      <c r="BY92" t="s">
        <v>110</v>
      </c>
      <c r="BZ92" t="s">
        <v>907</v>
      </c>
      <c r="CA92" t="s">
        <v>907</v>
      </c>
      <c r="CB92" t="s">
        <v>84</v>
      </c>
      <c r="CC92" t="s">
        <v>84</v>
      </c>
      <c r="CD92" t="s">
        <v>778</v>
      </c>
      <c r="CE92" t="s">
        <v>4251</v>
      </c>
      <c r="CF92" t="s">
        <v>3984</v>
      </c>
      <c r="CG92" t="s">
        <v>907</v>
      </c>
      <c r="CH92">
        <v>2</v>
      </c>
      <c r="CI92" t="s">
        <v>84</v>
      </c>
      <c r="CJ92" t="s">
        <v>262</v>
      </c>
      <c r="CK92" t="s">
        <v>289</v>
      </c>
      <c r="CL92" t="s">
        <v>367</v>
      </c>
      <c r="CM92" t="s">
        <v>193</v>
      </c>
      <c r="CN92" t="s">
        <v>3868</v>
      </c>
      <c r="CO92" t="s">
        <v>95</v>
      </c>
      <c r="CP92" t="s">
        <v>907</v>
      </c>
      <c r="CQ92" t="s">
        <v>116</v>
      </c>
      <c r="CR92" t="s">
        <v>84</v>
      </c>
      <c r="CS92" t="s">
        <v>117</v>
      </c>
      <c r="CT92" t="s">
        <v>118</v>
      </c>
      <c r="CU92" t="s">
        <v>3869</v>
      </c>
      <c r="CV92" t="s">
        <v>812</v>
      </c>
      <c r="CW92" t="s">
        <v>1137</v>
      </c>
      <c r="CX92" t="s">
        <v>166</v>
      </c>
      <c r="CY92" t="s">
        <v>167</v>
      </c>
      <c r="CZ92" t="s">
        <v>980</v>
      </c>
      <c r="DA92">
        <v>4</v>
      </c>
      <c r="DB92" s="10">
        <v>30000</v>
      </c>
      <c r="DC92" t="s">
        <v>169</v>
      </c>
      <c r="DD92" t="s">
        <v>907</v>
      </c>
      <c r="DE92">
        <v>2</v>
      </c>
      <c r="DF92">
        <v>14</v>
      </c>
      <c r="DG92" t="s">
        <v>95</v>
      </c>
      <c r="DH92" t="s">
        <v>95</v>
      </c>
      <c r="DI92" t="s">
        <v>907</v>
      </c>
      <c r="DJ92" t="s">
        <v>907</v>
      </c>
      <c r="DK92" t="s">
        <v>907</v>
      </c>
      <c r="DL92" t="s">
        <v>907</v>
      </c>
      <c r="DM92" t="s">
        <v>125</v>
      </c>
      <c r="DN92" t="s">
        <v>1378</v>
      </c>
      <c r="DO92" t="s">
        <v>2263</v>
      </c>
      <c r="DP92">
        <v>1</v>
      </c>
      <c r="DQ92" t="s">
        <v>441</v>
      </c>
      <c r="DR92" t="s">
        <v>907</v>
      </c>
      <c r="DS92" t="s">
        <v>2264</v>
      </c>
      <c r="DT92" t="s">
        <v>2265</v>
      </c>
      <c r="DU92" t="s">
        <v>84</v>
      </c>
      <c r="DV92" t="s">
        <v>344</v>
      </c>
      <c r="DW92" t="s">
        <v>2266</v>
      </c>
      <c r="DX92" t="s">
        <v>95</v>
      </c>
      <c r="FQ92">
        <v>566875414</v>
      </c>
      <c r="FR92" t="s">
        <v>2267</v>
      </c>
      <c r="FS92" s="1">
        <v>45925.743831018517</v>
      </c>
      <c r="FV92" t="s">
        <v>134</v>
      </c>
      <c r="FW92" t="s">
        <v>135</v>
      </c>
      <c r="FX92" t="s">
        <v>136</v>
      </c>
      <c r="FZ92">
        <v>319</v>
      </c>
    </row>
    <row r="93" spans="1:182" x14ac:dyDescent="0.3">
      <c r="A93" s="1">
        <v>45929.481283703703</v>
      </c>
      <c r="B93" s="1">
        <v>45929.50892310185</v>
      </c>
      <c r="D93" t="s">
        <v>84</v>
      </c>
      <c r="E93" t="s">
        <v>3299</v>
      </c>
      <c r="F93" t="s">
        <v>3300</v>
      </c>
      <c r="G93" t="s">
        <v>176</v>
      </c>
      <c r="H93" t="s">
        <v>4122</v>
      </c>
      <c r="I93" t="s">
        <v>3301</v>
      </c>
      <c r="J93" t="s">
        <v>3302</v>
      </c>
      <c r="K93" t="s">
        <v>90</v>
      </c>
      <c r="L93" t="s">
        <v>4069</v>
      </c>
      <c r="M93" t="s">
        <v>3303</v>
      </c>
      <c r="N93" t="s">
        <v>3304</v>
      </c>
      <c r="O93">
        <v>-15.382418299999999</v>
      </c>
      <c r="P93">
        <v>23.01465</v>
      </c>
      <c r="Q93">
        <v>1020.1</v>
      </c>
      <c r="R93">
        <v>4.8659999999999997</v>
      </c>
      <c r="S93" t="s">
        <v>84</v>
      </c>
      <c r="T93" t="s">
        <v>94</v>
      </c>
      <c r="U93">
        <v>11</v>
      </c>
      <c r="V93" t="s">
        <v>95</v>
      </c>
      <c r="W93" t="s">
        <v>907</v>
      </c>
      <c r="X93">
        <v>15</v>
      </c>
      <c r="Y93">
        <v>300</v>
      </c>
      <c r="Z93">
        <v>1</v>
      </c>
      <c r="AA93" t="s">
        <v>251</v>
      </c>
      <c r="AB93" t="s">
        <v>351</v>
      </c>
      <c r="AC93" t="s">
        <v>98</v>
      </c>
      <c r="AD93" t="s">
        <v>252</v>
      </c>
      <c r="AE93" t="s">
        <v>101</v>
      </c>
      <c r="AF93" t="s">
        <v>907</v>
      </c>
      <c r="AG93" s="3">
        <v>5000</v>
      </c>
      <c r="AH93" t="s">
        <v>304</v>
      </c>
      <c r="AI93" t="s">
        <v>907</v>
      </c>
      <c r="AJ93" s="5">
        <v>1500</v>
      </c>
      <c r="AK93" t="s">
        <v>102</v>
      </c>
      <c r="AL93" t="s">
        <v>907</v>
      </c>
      <c r="AM93" t="s">
        <v>3305</v>
      </c>
      <c r="AN93" t="s">
        <v>907</v>
      </c>
      <c r="AO93" t="s">
        <v>3017</v>
      </c>
      <c r="AP93" t="s">
        <v>3306</v>
      </c>
      <c r="AQ93" t="s">
        <v>3307</v>
      </c>
      <c r="AR93" t="s">
        <v>95</v>
      </c>
      <c r="AS93">
        <v>0</v>
      </c>
      <c r="AT93">
        <v>0</v>
      </c>
      <c r="AU93">
        <v>0</v>
      </c>
      <c r="AV93">
        <v>11</v>
      </c>
      <c r="AW93">
        <v>0</v>
      </c>
      <c r="AX93">
        <v>0</v>
      </c>
      <c r="AY93">
        <v>0</v>
      </c>
      <c r="AZ93" t="s">
        <v>284</v>
      </c>
      <c r="BA93" t="s">
        <v>95</v>
      </c>
      <c r="BB93" t="s">
        <v>154</v>
      </c>
      <c r="BC93" t="s">
        <v>907</v>
      </c>
      <c r="BD93" t="s">
        <v>107</v>
      </c>
      <c r="BE93" t="s">
        <v>258</v>
      </c>
      <c r="BF93" t="s">
        <v>2144</v>
      </c>
      <c r="BG93" t="s">
        <v>235</v>
      </c>
      <c r="BH93">
        <v>26</v>
      </c>
      <c r="BL93">
        <v>10</v>
      </c>
      <c r="BN93">
        <v>1</v>
      </c>
      <c r="BP93">
        <v>2</v>
      </c>
      <c r="BR93">
        <v>2</v>
      </c>
      <c r="BT93">
        <v>2</v>
      </c>
      <c r="BV93">
        <v>3</v>
      </c>
      <c r="BX93">
        <v>6</v>
      </c>
      <c r="BY93" t="s">
        <v>110</v>
      </c>
      <c r="BZ93" t="s">
        <v>907</v>
      </c>
      <c r="CA93" t="s">
        <v>907</v>
      </c>
      <c r="CB93" t="s">
        <v>84</v>
      </c>
      <c r="CC93" t="s">
        <v>84</v>
      </c>
      <c r="CD93" t="s">
        <v>778</v>
      </c>
      <c r="CE93" t="s">
        <v>4251</v>
      </c>
      <c r="CF93" t="s">
        <v>4071</v>
      </c>
      <c r="CG93" t="s">
        <v>907</v>
      </c>
      <c r="CH93">
        <v>2</v>
      </c>
      <c r="CI93" t="s">
        <v>84</v>
      </c>
      <c r="CJ93" t="s">
        <v>262</v>
      </c>
      <c r="CK93" t="s">
        <v>289</v>
      </c>
      <c r="CL93" t="s">
        <v>367</v>
      </c>
      <c r="CM93" t="s">
        <v>193</v>
      </c>
      <c r="CN93" t="s">
        <v>3874</v>
      </c>
      <c r="CO93" t="s">
        <v>95</v>
      </c>
      <c r="CP93" t="s">
        <v>907</v>
      </c>
      <c r="CQ93" t="s">
        <v>116</v>
      </c>
      <c r="CR93" t="s">
        <v>84</v>
      </c>
      <c r="CS93" t="s">
        <v>117</v>
      </c>
      <c r="CT93" t="s">
        <v>118</v>
      </c>
      <c r="CU93" t="s">
        <v>3869</v>
      </c>
      <c r="CV93" t="s">
        <v>812</v>
      </c>
      <c r="CW93" t="s">
        <v>1344</v>
      </c>
      <c r="CX93" t="s">
        <v>166</v>
      </c>
      <c r="CY93" t="s">
        <v>167</v>
      </c>
      <c r="CZ93" t="s">
        <v>3308</v>
      </c>
      <c r="DA93">
        <v>3</v>
      </c>
      <c r="DB93" s="10">
        <v>35000</v>
      </c>
      <c r="DC93" t="s">
        <v>169</v>
      </c>
      <c r="DD93" t="s">
        <v>907</v>
      </c>
      <c r="DE93">
        <v>4</v>
      </c>
      <c r="DF93">
        <v>20</v>
      </c>
      <c r="DG93" t="s">
        <v>95</v>
      </c>
      <c r="DH93" t="s">
        <v>95</v>
      </c>
      <c r="DI93" t="s">
        <v>907</v>
      </c>
      <c r="DJ93" t="s">
        <v>907</v>
      </c>
      <c r="DK93" t="s">
        <v>907</v>
      </c>
      <c r="DL93" t="s">
        <v>907</v>
      </c>
      <c r="DM93" t="s">
        <v>291</v>
      </c>
      <c r="DN93" t="s">
        <v>907</v>
      </c>
      <c r="DO93" t="s">
        <v>907</v>
      </c>
      <c r="DP93">
        <v>5</v>
      </c>
      <c r="DQ93" t="s">
        <v>441</v>
      </c>
      <c r="DR93" t="s">
        <v>907</v>
      </c>
      <c r="DS93" t="s">
        <v>3309</v>
      </c>
      <c r="DT93" t="s">
        <v>2205</v>
      </c>
      <c r="DU93" t="s">
        <v>84</v>
      </c>
      <c r="DV93" t="s">
        <v>1318</v>
      </c>
      <c r="DW93" t="s">
        <v>533</v>
      </c>
      <c r="DX93" t="s">
        <v>95</v>
      </c>
      <c r="FQ93">
        <v>569747594</v>
      </c>
      <c r="FR93" t="s">
        <v>3310</v>
      </c>
      <c r="FS93" s="1">
        <v>45930.203067129631</v>
      </c>
      <c r="FV93" t="s">
        <v>134</v>
      </c>
      <c r="FW93" t="s">
        <v>135</v>
      </c>
      <c r="FX93" t="s">
        <v>136</v>
      </c>
      <c r="FZ93">
        <v>529</v>
      </c>
    </row>
    <row r="94" spans="1:182" hidden="1" x14ac:dyDescent="0.3">
      <c r="A94" s="1">
        <v>45925.491444004627</v>
      </c>
      <c r="B94" s="1">
        <v>45925.508629363423</v>
      </c>
      <c r="D94" t="s">
        <v>84</v>
      </c>
      <c r="E94" t="s">
        <v>901</v>
      </c>
      <c r="F94" t="s">
        <v>3957</v>
      </c>
      <c r="G94" t="s">
        <v>176</v>
      </c>
      <c r="H94" t="s">
        <v>4122</v>
      </c>
      <c r="I94" t="s">
        <v>1709</v>
      </c>
      <c r="J94" t="s">
        <v>1710</v>
      </c>
      <c r="K94" t="s">
        <v>90</v>
      </c>
      <c r="L94" t="s">
        <v>3958</v>
      </c>
      <c r="M94" t="s">
        <v>277</v>
      </c>
      <c r="N94" t="s">
        <v>1711</v>
      </c>
      <c r="O94">
        <v>-15.3583167</v>
      </c>
      <c r="P94">
        <v>23.155000000000001</v>
      </c>
      <c r="Q94">
        <v>1029.8</v>
      </c>
      <c r="R94">
        <v>9</v>
      </c>
      <c r="S94" t="s">
        <v>84</v>
      </c>
      <c r="T94" t="s">
        <v>182</v>
      </c>
      <c r="U94">
        <v>8</v>
      </c>
      <c r="V94" t="s">
        <v>95</v>
      </c>
      <c r="W94" t="s">
        <v>907</v>
      </c>
      <c r="X94">
        <v>10</v>
      </c>
      <c r="Y94">
        <v>4</v>
      </c>
      <c r="Z94">
        <v>4</v>
      </c>
      <c r="AA94" t="s">
        <v>96</v>
      </c>
      <c r="AB94" t="s">
        <v>351</v>
      </c>
      <c r="AC94" t="s">
        <v>98</v>
      </c>
      <c r="AD94" t="s">
        <v>520</v>
      </c>
      <c r="AE94" t="s">
        <v>100</v>
      </c>
      <c r="AF94" t="s">
        <v>907</v>
      </c>
      <c r="AG94" s="3">
        <v>10000</v>
      </c>
      <c r="AH94" t="s">
        <v>100</v>
      </c>
      <c r="AI94" t="s">
        <v>907</v>
      </c>
      <c r="AJ94" s="5">
        <v>14000</v>
      </c>
      <c r="AK94" t="s">
        <v>102</v>
      </c>
      <c r="AL94" t="s">
        <v>907</v>
      </c>
      <c r="AM94" t="s">
        <v>253</v>
      </c>
      <c r="AN94" t="s">
        <v>907</v>
      </c>
      <c r="AO94" t="s">
        <v>1712</v>
      </c>
      <c r="AP94" t="s">
        <v>1713</v>
      </c>
      <c r="AQ94" t="s">
        <v>1714</v>
      </c>
      <c r="AR94" t="s">
        <v>95</v>
      </c>
      <c r="AS94">
        <v>0</v>
      </c>
      <c r="AT94">
        <v>5</v>
      </c>
      <c r="AU94">
        <v>0</v>
      </c>
      <c r="AV94">
        <v>0</v>
      </c>
      <c r="AW94">
        <v>100</v>
      </c>
      <c r="AX94">
        <v>0</v>
      </c>
      <c r="AY94">
        <v>0</v>
      </c>
      <c r="AZ94" t="s">
        <v>106</v>
      </c>
      <c r="BA94" t="s">
        <v>95</v>
      </c>
      <c r="BB94" t="s">
        <v>308</v>
      </c>
      <c r="BC94" t="s">
        <v>907</v>
      </c>
      <c r="BD94" t="s">
        <v>107</v>
      </c>
      <c r="BE94" t="s">
        <v>258</v>
      </c>
      <c r="BF94" t="s">
        <v>644</v>
      </c>
      <c r="BG94" t="s">
        <v>526</v>
      </c>
      <c r="BH94">
        <v>50</v>
      </c>
      <c r="BL94">
        <v>32</v>
      </c>
      <c r="BN94">
        <v>1</v>
      </c>
      <c r="BP94">
        <v>0</v>
      </c>
      <c r="BR94">
        <v>0</v>
      </c>
      <c r="BT94">
        <v>8</v>
      </c>
      <c r="BV94">
        <v>3</v>
      </c>
      <c r="BX94">
        <v>6</v>
      </c>
      <c r="BY94" t="s">
        <v>110</v>
      </c>
      <c r="BZ94" t="s">
        <v>907</v>
      </c>
      <c r="CA94" t="s">
        <v>907</v>
      </c>
      <c r="CB94" t="s">
        <v>84</v>
      </c>
      <c r="CC94" t="s">
        <v>84</v>
      </c>
      <c r="CD94" t="s">
        <v>334</v>
      </c>
      <c r="CE94" t="s">
        <v>4250</v>
      </c>
      <c r="CF94" t="s">
        <v>1715</v>
      </c>
      <c r="CG94" t="s">
        <v>907</v>
      </c>
      <c r="CH94">
        <v>2</v>
      </c>
      <c r="CI94" t="s">
        <v>95</v>
      </c>
      <c r="CJ94" t="s">
        <v>907</v>
      </c>
      <c r="CK94" t="s">
        <v>289</v>
      </c>
      <c r="CL94" t="s">
        <v>4262</v>
      </c>
      <c r="CM94" t="s">
        <v>193</v>
      </c>
      <c r="CN94" t="s">
        <v>3874</v>
      </c>
      <c r="CO94" t="s">
        <v>95</v>
      </c>
      <c r="CP94" t="s">
        <v>907</v>
      </c>
      <c r="CQ94" t="s">
        <v>116</v>
      </c>
      <c r="CR94" t="s">
        <v>84</v>
      </c>
      <c r="CS94" t="s">
        <v>117</v>
      </c>
      <c r="CT94" t="s">
        <v>163</v>
      </c>
      <c r="CU94" t="s">
        <v>438</v>
      </c>
      <c r="CV94" t="s">
        <v>119</v>
      </c>
      <c r="CW94" t="s">
        <v>1622</v>
      </c>
      <c r="CX94" t="s">
        <v>290</v>
      </c>
      <c r="CY94" t="s">
        <v>907</v>
      </c>
      <c r="CZ94" t="s">
        <v>907</v>
      </c>
      <c r="DA94" t="s">
        <v>907</v>
      </c>
      <c r="DB94" t="s">
        <v>907</v>
      </c>
      <c r="DC94" t="s">
        <v>907</v>
      </c>
      <c r="DD94" t="s">
        <v>907</v>
      </c>
      <c r="DE94" t="s">
        <v>907</v>
      </c>
      <c r="DF94" t="s">
        <v>907</v>
      </c>
      <c r="DG94" t="s">
        <v>95</v>
      </c>
      <c r="DH94" t="s">
        <v>95</v>
      </c>
      <c r="DI94" t="s">
        <v>907</v>
      </c>
      <c r="DJ94" t="s">
        <v>907</v>
      </c>
      <c r="DK94" t="s">
        <v>907</v>
      </c>
      <c r="DL94" t="s">
        <v>907</v>
      </c>
      <c r="DM94" t="s">
        <v>291</v>
      </c>
      <c r="DN94" t="s">
        <v>907</v>
      </c>
      <c r="DO94" t="s">
        <v>907</v>
      </c>
      <c r="DP94">
        <v>4</v>
      </c>
      <c r="DQ94" t="s">
        <v>202</v>
      </c>
      <c r="DR94" t="s">
        <v>907</v>
      </c>
      <c r="DS94" t="s">
        <v>917</v>
      </c>
      <c r="DT94" t="s">
        <v>946</v>
      </c>
      <c r="DU94" t="s">
        <v>84</v>
      </c>
      <c r="DV94" t="s">
        <v>131</v>
      </c>
      <c r="DW94" t="s">
        <v>533</v>
      </c>
      <c r="DX94" t="s">
        <v>95</v>
      </c>
      <c r="FQ94">
        <v>566741468</v>
      </c>
      <c r="FR94" t="s">
        <v>1716</v>
      </c>
      <c r="FS94" s="1">
        <v>45925.627245370371</v>
      </c>
      <c r="FV94" t="s">
        <v>134</v>
      </c>
      <c r="FW94" t="s">
        <v>135</v>
      </c>
      <c r="FX94" t="s">
        <v>136</v>
      </c>
      <c r="FZ94">
        <v>267</v>
      </c>
    </row>
    <row r="95" spans="1:182" hidden="1" x14ac:dyDescent="0.3">
      <c r="A95" s="1">
        <v>45924.425443738422</v>
      </c>
      <c r="B95" s="1">
        <v>45924.440153761578</v>
      </c>
      <c r="D95" t="s">
        <v>84</v>
      </c>
      <c r="E95" t="s">
        <v>901</v>
      </c>
      <c r="F95" t="s">
        <v>902</v>
      </c>
      <c r="G95" t="s">
        <v>176</v>
      </c>
      <c r="H95" t="s">
        <v>4122</v>
      </c>
      <c r="I95" t="s">
        <v>903</v>
      </c>
      <c r="J95" t="s">
        <v>904</v>
      </c>
      <c r="K95" t="s">
        <v>90</v>
      </c>
      <c r="L95" t="s">
        <v>905</v>
      </c>
      <c r="M95" t="s">
        <v>670</v>
      </c>
      <c r="N95" t="s">
        <v>906</v>
      </c>
      <c r="O95">
        <v>-15.293836600000001</v>
      </c>
      <c r="P95">
        <v>23.034628099999999</v>
      </c>
      <c r="Q95">
        <v>1022.554321289062</v>
      </c>
      <c r="R95">
        <v>3.8050000000000002</v>
      </c>
      <c r="S95" t="s">
        <v>95</v>
      </c>
      <c r="T95" t="s">
        <v>907</v>
      </c>
      <c r="U95" t="s">
        <v>907</v>
      </c>
      <c r="V95" t="s">
        <v>95</v>
      </c>
      <c r="W95" t="s">
        <v>907</v>
      </c>
      <c r="X95">
        <v>10</v>
      </c>
      <c r="Y95">
        <v>4</v>
      </c>
      <c r="Z95">
        <v>4</v>
      </c>
      <c r="AA95" t="s">
        <v>504</v>
      </c>
      <c r="AB95" t="s">
        <v>489</v>
      </c>
      <c r="AC95" t="s">
        <v>98</v>
      </c>
      <c r="AD95" t="s">
        <v>145</v>
      </c>
      <c r="AE95" t="s">
        <v>100</v>
      </c>
      <c r="AF95" t="s">
        <v>907</v>
      </c>
      <c r="AG95">
        <v>300</v>
      </c>
      <c r="AH95" t="s">
        <v>908</v>
      </c>
      <c r="AI95" t="s">
        <v>907</v>
      </c>
      <c r="AJ95" s="5">
        <v>2000</v>
      </c>
      <c r="AK95" t="s">
        <v>102</v>
      </c>
      <c r="AL95" t="s">
        <v>907</v>
      </c>
      <c r="AM95" t="s">
        <v>909</v>
      </c>
      <c r="AN95" t="s">
        <v>907</v>
      </c>
      <c r="AO95" t="s">
        <v>910</v>
      </c>
      <c r="AP95" t="s">
        <v>911</v>
      </c>
      <c r="AQ95" t="s">
        <v>912</v>
      </c>
      <c r="AR95" t="s">
        <v>95</v>
      </c>
      <c r="AS95">
        <v>7</v>
      </c>
      <c r="AT95">
        <v>0</v>
      </c>
      <c r="AU95">
        <v>0</v>
      </c>
      <c r="AV95">
        <v>15</v>
      </c>
      <c r="AW95">
        <v>0</v>
      </c>
      <c r="AX95">
        <v>0</v>
      </c>
      <c r="AY95">
        <v>0</v>
      </c>
      <c r="AZ95" t="s">
        <v>106</v>
      </c>
      <c r="BA95" t="s">
        <v>95</v>
      </c>
      <c r="BB95" t="s">
        <v>308</v>
      </c>
      <c r="BC95" t="s">
        <v>907</v>
      </c>
      <c r="BD95" t="s">
        <v>107</v>
      </c>
      <c r="BE95" t="s">
        <v>363</v>
      </c>
      <c r="BF95" t="s">
        <v>913</v>
      </c>
      <c r="BG95" t="s">
        <v>526</v>
      </c>
      <c r="BH95">
        <v>90</v>
      </c>
      <c r="BL95">
        <v>39</v>
      </c>
      <c r="BN95">
        <v>2</v>
      </c>
      <c r="BP95">
        <v>0</v>
      </c>
      <c r="BR95">
        <v>8</v>
      </c>
      <c r="BT95">
        <v>4</v>
      </c>
      <c r="BV95">
        <v>7</v>
      </c>
      <c r="BX95">
        <v>30</v>
      </c>
      <c r="BY95" t="s">
        <v>110</v>
      </c>
      <c r="BZ95" t="s">
        <v>907</v>
      </c>
      <c r="CA95" t="s">
        <v>907</v>
      </c>
      <c r="CB95" t="s">
        <v>84</v>
      </c>
      <c r="CC95" t="s">
        <v>84</v>
      </c>
      <c r="CD95" t="s">
        <v>914</v>
      </c>
      <c r="CE95" t="s">
        <v>4252</v>
      </c>
      <c r="CF95" t="s">
        <v>915</v>
      </c>
      <c r="CG95" t="s">
        <v>907</v>
      </c>
      <c r="CH95">
        <v>2</v>
      </c>
      <c r="CI95" t="s">
        <v>95</v>
      </c>
      <c r="CJ95" t="s">
        <v>907</v>
      </c>
      <c r="CK95" t="s">
        <v>113</v>
      </c>
      <c r="CL95" t="s">
        <v>4262</v>
      </c>
      <c r="CM95" t="s">
        <v>162</v>
      </c>
      <c r="CN95" t="s">
        <v>3874</v>
      </c>
      <c r="CO95" t="s">
        <v>95</v>
      </c>
      <c r="CP95" t="s">
        <v>907</v>
      </c>
      <c r="CQ95" t="s">
        <v>116</v>
      </c>
      <c r="CR95" t="s">
        <v>84</v>
      </c>
      <c r="CS95" t="s">
        <v>117</v>
      </c>
      <c r="CT95" t="s">
        <v>163</v>
      </c>
      <c r="CU95" t="s">
        <v>3869</v>
      </c>
      <c r="CV95" t="s">
        <v>119</v>
      </c>
      <c r="CW95" t="s">
        <v>916</v>
      </c>
      <c r="CX95" t="s">
        <v>166</v>
      </c>
      <c r="CY95" t="s">
        <v>167</v>
      </c>
      <c r="CZ95" t="s">
        <v>512</v>
      </c>
      <c r="DA95">
        <v>3</v>
      </c>
      <c r="DB95" s="10">
        <v>36000</v>
      </c>
      <c r="DC95" t="s">
        <v>169</v>
      </c>
      <c r="DD95" t="s">
        <v>907</v>
      </c>
      <c r="DE95">
        <v>1</v>
      </c>
      <c r="DF95">
        <v>15</v>
      </c>
      <c r="DG95" t="s">
        <v>95</v>
      </c>
      <c r="DH95" t="s">
        <v>95</v>
      </c>
      <c r="DI95" t="s">
        <v>907</v>
      </c>
      <c r="DJ95" t="s">
        <v>907</v>
      </c>
      <c r="DK95" t="s">
        <v>907</v>
      </c>
      <c r="DL95" t="s">
        <v>907</v>
      </c>
      <c r="DM95" t="s">
        <v>291</v>
      </c>
      <c r="DN95" t="s">
        <v>907</v>
      </c>
      <c r="DO95" t="s">
        <v>907</v>
      </c>
      <c r="DP95">
        <v>1</v>
      </c>
      <c r="DQ95" t="s">
        <v>441</v>
      </c>
      <c r="DR95" t="s">
        <v>907</v>
      </c>
      <c r="DS95" t="s">
        <v>917</v>
      </c>
      <c r="DT95" t="s">
        <v>918</v>
      </c>
      <c r="DU95" t="s">
        <v>95</v>
      </c>
      <c r="DV95" t="s">
        <v>907</v>
      </c>
      <c r="DW95" t="s">
        <v>907</v>
      </c>
      <c r="DX95" t="s">
        <v>907</v>
      </c>
      <c r="FQ95">
        <v>565934862</v>
      </c>
      <c r="FR95" t="s">
        <v>919</v>
      </c>
      <c r="FS95" s="1">
        <v>45924.665868055563</v>
      </c>
      <c r="FV95" t="s">
        <v>134</v>
      </c>
      <c r="FW95" t="s">
        <v>135</v>
      </c>
      <c r="FX95" t="s">
        <v>136</v>
      </c>
      <c r="FZ95">
        <v>178</v>
      </c>
    </row>
    <row r="96" spans="1:182" hidden="1" x14ac:dyDescent="0.3">
      <c r="A96" s="1">
        <v>45926.437071180553</v>
      </c>
      <c r="B96" s="1">
        <v>45926.453597442131</v>
      </c>
      <c r="D96" t="s">
        <v>84</v>
      </c>
      <c r="E96" t="s">
        <v>3878</v>
      </c>
      <c r="F96" t="s">
        <v>2879</v>
      </c>
      <c r="G96" t="s">
        <v>176</v>
      </c>
      <c r="H96" t="s">
        <v>4122</v>
      </c>
      <c r="I96" t="s">
        <v>2880</v>
      </c>
      <c r="J96" t="s">
        <v>2881</v>
      </c>
      <c r="K96" t="s">
        <v>90</v>
      </c>
      <c r="L96" t="s">
        <v>2867</v>
      </c>
      <c r="M96" t="s">
        <v>2868</v>
      </c>
      <c r="N96" t="s">
        <v>2882</v>
      </c>
      <c r="O96">
        <v>-15.214358600000001</v>
      </c>
      <c r="P96">
        <v>22.935007200000001</v>
      </c>
      <c r="Q96">
        <v>1018.7</v>
      </c>
      <c r="R96">
        <v>4.9800000000000004</v>
      </c>
      <c r="S96" t="s">
        <v>84</v>
      </c>
      <c r="T96" t="s">
        <v>94</v>
      </c>
      <c r="U96">
        <v>10</v>
      </c>
      <c r="V96" t="s">
        <v>95</v>
      </c>
      <c r="W96" t="s">
        <v>907</v>
      </c>
      <c r="X96">
        <v>25</v>
      </c>
      <c r="Y96">
        <v>3</v>
      </c>
      <c r="Z96">
        <v>3</v>
      </c>
      <c r="AA96" t="s">
        <v>504</v>
      </c>
      <c r="AB96" t="s">
        <v>351</v>
      </c>
      <c r="AC96" t="s">
        <v>98</v>
      </c>
      <c r="AD96" t="s">
        <v>252</v>
      </c>
      <c r="AE96" t="s">
        <v>304</v>
      </c>
      <c r="AF96" t="s">
        <v>907</v>
      </c>
      <c r="AG96">
        <v>25000</v>
      </c>
      <c r="AH96" t="s">
        <v>3873</v>
      </c>
      <c r="AI96" t="s">
        <v>907</v>
      </c>
      <c r="AJ96" t="s">
        <v>907</v>
      </c>
      <c r="AK96" t="s">
        <v>102</v>
      </c>
      <c r="AL96" t="s">
        <v>907</v>
      </c>
      <c r="AM96" t="s">
        <v>4130</v>
      </c>
      <c r="AN96" t="s">
        <v>907</v>
      </c>
      <c r="AQ96" t="s">
        <v>466</v>
      </c>
      <c r="AR96" t="s">
        <v>95</v>
      </c>
      <c r="AS96">
        <v>0</v>
      </c>
      <c r="AT96">
        <v>0</v>
      </c>
      <c r="AU96">
        <v>0</v>
      </c>
      <c r="AV96">
        <v>0</v>
      </c>
      <c r="AW96">
        <v>0</v>
      </c>
      <c r="AX96">
        <v>0</v>
      </c>
      <c r="AY96">
        <v>0</v>
      </c>
      <c r="AZ96" t="s">
        <v>929</v>
      </c>
      <c r="BA96" t="s">
        <v>95</v>
      </c>
      <c r="BB96" t="s">
        <v>154</v>
      </c>
      <c r="BC96" t="s">
        <v>907</v>
      </c>
      <c r="BD96" t="s">
        <v>107</v>
      </c>
      <c r="BE96" t="s">
        <v>258</v>
      </c>
      <c r="BF96" t="s">
        <v>2883</v>
      </c>
      <c r="BG96" t="s">
        <v>235</v>
      </c>
      <c r="BH96">
        <v>130</v>
      </c>
      <c r="BL96">
        <v>80</v>
      </c>
      <c r="BN96">
        <v>2</v>
      </c>
      <c r="BP96">
        <v>9</v>
      </c>
      <c r="BT96">
        <v>12</v>
      </c>
      <c r="BX96">
        <v>27</v>
      </c>
      <c r="BY96" t="s">
        <v>189</v>
      </c>
      <c r="BZ96">
        <v>5</v>
      </c>
      <c r="CA96">
        <v>55</v>
      </c>
      <c r="CB96" t="s">
        <v>84</v>
      </c>
      <c r="CC96" t="s">
        <v>84</v>
      </c>
      <c r="CD96" t="s">
        <v>2884</v>
      </c>
      <c r="CE96" t="s">
        <v>4250</v>
      </c>
      <c r="CF96" t="s">
        <v>878</v>
      </c>
      <c r="CG96" t="s">
        <v>907</v>
      </c>
      <c r="CH96">
        <v>2</v>
      </c>
      <c r="CI96" t="s">
        <v>84</v>
      </c>
      <c r="CJ96" t="s">
        <v>586</v>
      </c>
      <c r="CK96" t="s">
        <v>1005</v>
      </c>
      <c r="CL96" t="s">
        <v>1196</v>
      </c>
      <c r="CM96" t="s">
        <v>162</v>
      </c>
      <c r="CN96" t="s">
        <v>3903</v>
      </c>
      <c r="CO96" t="s">
        <v>95</v>
      </c>
      <c r="CP96" t="s">
        <v>907</v>
      </c>
      <c r="CQ96" t="s">
        <v>116</v>
      </c>
      <c r="CR96" t="s">
        <v>95</v>
      </c>
      <c r="CS96" t="s">
        <v>907</v>
      </c>
      <c r="CT96" t="s">
        <v>907</v>
      </c>
      <c r="CU96" t="s">
        <v>907</v>
      </c>
      <c r="CV96" t="s">
        <v>812</v>
      </c>
      <c r="CW96" t="s">
        <v>907</v>
      </c>
      <c r="CX96" t="s">
        <v>166</v>
      </c>
      <c r="CY96" t="s">
        <v>167</v>
      </c>
      <c r="CZ96" t="s">
        <v>2885</v>
      </c>
      <c r="DA96">
        <v>10</v>
      </c>
      <c r="DB96" s="10">
        <v>60000</v>
      </c>
      <c r="DC96" t="s">
        <v>169</v>
      </c>
      <c r="DD96" t="s">
        <v>907</v>
      </c>
      <c r="DE96">
        <v>3</v>
      </c>
      <c r="DF96">
        <v>25</v>
      </c>
      <c r="DG96" t="s">
        <v>95</v>
      </c>
      <c r="DH96" t="s">
        <v>95</v>
      </c>
      <c r="DI96" t="s">
        <v>907</v>
      </c>
      <c r="DJ96" t="s">
        <v>907</v>
      </c>
      <c r="DK96" t="s">
        <v>907</v>
      </c>
      <c r="DL96" t="s">
        <v>907</v>
      </c>
      <c r="DM96" t="s">
        <v>291</v>
      </c>
      <c r="DN96" t="s">
        <v>907</v>
      </c>
      <c r="DO96" t="s">
        <v>907</v>
      </c>
      <c r="DP96">
        <v>2</v>
      </c>
      <c r="DQ96" t="s">
        <v>441</v>
      </c>
      <c r="DR96" t="s">
        <v>907</v>
      </c>
      <c r="DS96" t="s">
        <v>368</v>
      </c>
      <c r="DT96" t="s">
        <v>863</v>
      </c>
      <c r="DU96" t="s">
        <v>84</v>
      </c>
      <c r="DV96" t="s">
        <v>294</v>
      </c>
      <c r="DW96" t="s">
        <v>1107</v>
      </c>
      <c r="DX96" t="s">
        <v>95</v>
      </c>
      <c r="FQ96">
        <v>567443290</v>
      </c>
      <c r="FR96" t="s">
        <v>2886</v>
      </c>
      <c r="FS96" s="1">
        <v>45926.568159722221</v>
      </c>
      <c r="FV96" t="s">
        <v>134</v>
      </c>
      <c r="FW96" t="s">
        <v>135</v>
      </c>
      <c r="FX96" t="s">
        <v>136</v>
      </c>
      <c r="FZ96">
        <v>412</v>
      </c>
    </row>
    <row r="97" spans="1:182" x14ac:dyDescent="0.3">
      <c r="A97" s="1">
        <v>45925.416502291657</v>
      </c>
      <c r="B97" s="1">
        <v>45925.446367719909</v>
      </c>
      <c r="D97" t="s">
        <v>84</v>
      </c>
      <c r="E97" t="s">
        <v>1397</v>
      </c>
      <c r="F97" t="s">
        <v>2107</v>
      </c>
      <c r="G97" t="s">
        <v>176</v>
      </c>
      <c r="H97" t="s">
        <v>4122</v>
      </c>
      <c r="I97" t="s">
        <v>2108</v>
      </c>
      <c r="J97" t="s">
        <v>2109</v>
      </c>
      <c r="K97" t="s">
        <v>90</v>
      </c>
      <c r="L97" t="s">
        <v>2110</v>
      </c>
      <c r="M97" t="s">
        <v>2111</v>
      </c>
      <c r="N97" t="s">
        <v>2112</v>
      </c>
      <c r="O97">
        <v>-15.23348</v>
      </c>
      <c r="P97">
        <v>22.9918038</v>
      </c>
      <c r="Q97">
        <v>1019.091552734375</v>
      </c>
      <c r="R97">
        <v>4.9139999999999997</v>
      </c>
      <c r="S97" t="s">
        <v>84</v>
      </c>
      <c r="T97" t="s">
        <v>94</v>
      </c>
      <c r="U97">
        <v>5</v>
      </c>
      <c r="V97" t="s">
        <v>95</v>
      </c>
      <c r="W97" t="s">
        <v>907</v>
      </c>
      <c r="X97">
        <v>30</v>
      </c>
      <c r="Y97">
        <v>25</v>
      </c>
      <c r="Z97">
        <v>2</v>
      </c>
      <c r="AA97" t="s">
        <v>251</v>
      </c>
      <c r="AB97" t="s">
        <v>351</v>
      </c>
      <c r="AC97" t="s">
        <v>98</v>
      </c>
      <c r="AD97" t="s">
        <v>252</v>
      </c>
      <c r="AE97" t="s">
        <v>123</v>
      </c>
      <c r="AF97" t="s">
        <v>1232</v>
      </c>
      <c r="AG97">
        <v>2000</v>
      </c>
      <c r="AH97" t="s">
        <v>1807</v>
      </c>
      <c r="AI97" t="s">
        <v>907</v>
      </c>
      <c r="AJ97" s="5">
        <v>3000</v>
      </c>
      <c r="AK97" t="s">
        <v>102</v>
      </c>
      <c r="AL97" t="s">
        <v>907</v>
      </c>
      <c r="AM97" t="s">
        <v>1760</v>
      </c>
      <c r="AN97" t="s">
        <v>907</v>
      </c>
      <c r="AO97" t="s">
        <v>2113</v>
      </c>
      <c r="AP97" t="s">
        <v>2114</v>
      </c>
      <c r="AQ97" t="s">
        <v>466</v>
      </c>
      <c r="AR97" t="s">
        <v>84</v>
      </c>
      <c r="AS97">
        <v>3</v>
      </c>
      <c r="AT97">
        <v>0</v>
      </c>
      <c r="AU97">
        <v>0</v>
      </c>
      <c r="AV97">
        <v>5</v>
      </c>
      <c r="AW97">
        <v>0</v>
      </c>
      <c r="AX97">
        <v>0</v>
      </c>
      <c r="AY97">
        <v>0</v>
      </c>
      <c r="AZ97" t="s">
        <v>284</v>
      </c>
      <c r="BA97" t="s">
        <v>452</v>
      </c>
      <c r="BB97" t="s">
        <v>3866</v>
      </c>
      <c r="BC97" t="s">
        <v>907</v>
      </c>
      <c r="BD97" t="s">
        <v>107</v>
      </c>
      <c r="BE97" t="s">
        <v>810</v>
      </c>
      <c r="BF97" t="s">
        <v>2115</v>
      </c>
      <c r="BG97" t="s">
        <v>156</v>
      </c>
      <c r="BH97">
        <v>31</v>
      </c>
      <c r="BL97">
        <v>10</v>
      </c>
      <c r="BN97">
        <v>1</v>
      </c>
      <c r="BP97">
        <v>6</v>
      </c>
      <c r="BR97">
        <v>4</v>
      </c>
      <c r="BT97">
        <v>2</v>
      </c>
      <c r="BV97">
        <v>2</v>
      </c>
      <c r="BX97">
        <v>7</v>
      </c>
      <c r="BY97" t="s">
        <v>110</v>
      </c>
      <c r="BZ97" t="s">
        <v>907</v>
      </c>
      <c r="CA97" t="s">
        <v>907</v>
      </c>
      <c r="CB97" t="s">
        <v>84</v>
      </c>
      <c r="CC97" t="s">
        <v>84</v>
      </c>
      <c r="CD97" t="s">
        <v>778</v>
      </c>
      <c r="CE97" t="s">
        <v>4250</v>
      </c>
      <c r="CF97" t="s">
        <v>2116</v>
      </c>
      <c r="CG97" t="s">
        <v>907</v>
      </c>
      <c r="CH97">
        <v>2</v>
      </c>
      <c r="CI97" t="s">
        <v>84</v>
      </c>
      <c r="CJ97" t="s">
        <v>262</v>
      </c>
      <c r="CK97" t="s">
        <v>289</v>
      </c>
      <c r="CL97" t="s">
        <v>367</v>
      </c>
      <c r="CM97" t="s">
        <v>193</v>
      </c>
      <c r="CN97" t="s">
        <v>3874</v>
      </c>
      <c r="CO97" t="s">
        <v>95</v>
      </c>
      <c r="CP97" t="s">
        <v>907</v>
      </c>
      <c r="CQ97" t="s">
        <v>116</v>
      </c>
      <c r="CR97" t="s">
        <v>84</v>
      </c>
      <c r="CS97" t="s">
        <v>117</v>
      </c>
      <c r="CT97" t="s">
        <v>118</v>
      </c>
      <c r="CU97" t="s">
        <v>3869</v>
      </c>
      <c r="CV97" t="s">
        <v>812</v>
      </c>
      <c r="CW97" t="s">
        <v>715</v>
      </c>
      <c r="CX97" t="s">
        <v>166</v>
      </c>
      <c r="CY97" t="s">
        <v>167</v>
      </c>
      <c r="CZ97" t="s">
        <v>1213</v>
      </c>
      <c r="DA97">
        <v>0</v>
      </c>
      <c r="DB97" s="10" t="s">
        <v>907</v>
      </c>
      <c r="DC97" t="s">
        <v>169</v>
      </c>
      <c r="DD97" t="s">
        <v>907</v>
      </c>
      <c r="DE97">
        <v>2</v>
      </c>
      <c r="DF97">
        <v>14</v>
      </c>
      <c r="DG97" t="s">
        <v>95</v>
      </c>
      <c r="DH97" t="s">
        <v>95</v>
      </c>
      <c r="DI97" t="s">
        <v>907</v>
      </c>
      <c r="DJ97" t="s">
        <v>907</v>
      </c>
      <c r="DK97" t="s">
        <v>907</v>
      </c>
      <c r="DL97" t="s">
        <v>907</v>
      </c>
      <c r="DM97" t="s">
        <v>291</v>
      </c>
      <c r="DN97" t="s">
        <v>907</v>
      </c>
      <c r="DO97" t="s">
        <v>907</v>
      </c>
      <c r="DP97">
        <v>1</v>
      </c>
      <c r="DQ97" t="s">
        <v>441</v>
      </c>
      <c r="DR97" t="s">
        <v>907</v>
      </c>
      <c r="DS97" t="s">
        <v>1362</v>
      </c>
      <c r="DT97" t="s">
        <v>2117</v>
      </c>
      <c r="DU97" t="s">
        <v>84</v>
      </c>
      <c r="DV97" t="s">
        <v>2118</v>
      </c>
      <c r="DW97" t="s">
        <v>1305</v>
      </c>
      <c r="DX97" t="s">
        <v>95</v>
      </c>
      <c r="FQ97">
        <v>566874385</v>
      </c>
      <c r="FR97" t="s">
        <v>2119</v>
      </c>
      <c r="FS97" s="1">
        <v>45925.742627314823</v>
      </c>
      <c r="FV97" t="s">
        <v>134</v>
      </c>
      <c r="FW97" t="s">
        <v>135</v>
      </c>
      <c r="FX97" t="s">
        <v>136</v>
      </c>
      <c r="FZ97">
        <v>306</v>
      </c>
    </row>
    <row r="98" spans="1:182" hidden="1" x14ac:dyDescent="0.3">
      <c r="A98" s="1">
        <v>45925.740646851853</v>
      </c>
      <c r="B98" s="1">
        <v>45925.847747731481</v>
      </c>
      <c r="D98" t="s">
        <v>84</v>
      </c>
      <c r="E98" t="s">
        <v>85</v>
      </c>
      <c r="F98" t="s">
        <v>2448</v>
      </c>
      <c r="G98" t="s">
        <v>176</v>
      </c>
      <c r="H98" t="s">
        <v>4122</v>
      </c>
      <c r="I98" t="s">
        <v>2449</v>
      </c>
      <c r="J98" t="s">
        <v>2450</v>
      </c>
      <c r="K98" t="s">
        <v>90</v>
      </c>
      <c r="L98" t="s">
        <v>2380</v>
      </c>
      <c r="M98" t="s">
        <v>141</v>
      </c>
      <c r="N98" t="s">
        <v>2451</v>
      </c>
      <c r="O98">
        <v>-15.2953633</v>
      </c>
      <c r="P98">
        <v>23.1756858</v>
      </c>
      <c r="Q98">
        <v>1067.640747070312</v>
      </c>
      <c r="R98">
        <v>3.8740000000000001</v>
      </c>
      <c r="S98" t="s">
        <v>84</v>
      </c>
      <c r="T98" t="s">
        <v>182</v>
      </c>
      <c r="U98">
        <v>5</v>
      </c>
      <c r="V98" t="s">
        <v>95</v>
      </c>
      <c r="W98" t="s">
        <v>907</v>
      </c>
      <c r="X98">
        <v>12</v>
      </c>
      <c r="Y98">
        <v>50</v>
      </c>
      <c r="Z98">
        <v>2</v>
      </c>
      <c r="AA98" t="s">
        <v>279</v>
      </c>
      <c r="AB98" t="s">
        <v>97</v>
      </c>
      <c r="AC98" t="s">
        <v>144</v>
      </c>
      <c r="AD98" t="s">
        <v>520</v>
      </c>
      <c r="AE98" t="s">
        <v>100</v>
      </c>
      <c r="AF98" t="s">
        <v>907</v>
      </c>
      <c r="AG98">
        <v>0</v>
      </c>
      <c r="AH98" t="s">
        <v>100</v>
      </c>
      <c r="AI98" t="s">
        <v>907</v>
      </c>
      <c r="AJ98" s="5">
        <v>0</v>
      </c>
      <c r="AK98" t="s">
        <v>102</v>
      </c>
      <c r="AL98" t="s">
        <v>907</v>
      </c>
      <c r="AM98" t="s">
        <v>253</v>
      </c>
      <c r="AN98" t="s">
        <v>907</v>
      </c>
      <c r="AO98">
        <v>0</v>
      </c>
      <c r="AP98">
        <v>0</v>
      </c>
      <c r="AQ98" t="s">
        <v>907</v>
      </c>
      <c r="AR98" t="s">
        <v>95</v>
      </c>
      <c r="AS98">
        <v>0</v>
      </c>
      <c r="AT98">
        <v>0</v>
      </c>
      <c r="AU98">
        <v>0</v>
      </c>
      <c r="AV98">
        <v>0</v>
      </c>
      <c r="AW98">
        <v>0</v>
      </c>
      <c r="AX98">
        <v>0</v>
      </c>
      <c r="AY98">
        <v>0</v>
      </c>
      <c r="AZ98" t="s">
        <v>284</v>
      </c>
      <c r="BA98" t="s">
        <v>95</v>
      </c>
      <c r="BB98" t="s">
        <v>308</v>
      </c>
      <c r="BC98" t="s">
        <v>907</v>
      </c>
      <c r="BD98" t="s">
        <v>107</v>
      </c>
      <c r="BE98" t="s">
        <v>108</v>
      </c>
      <c r="BF98" t="s">
        <v>544</v>
      </c>
      <c r="BG98" t="s">
        <v>235</v>
      </c>
      <c r="BH98">
        <v>100</v>
      </c>
      <c r="BY98" t="s">
        <v>110</v>
      </c>
      <c r="BZ98" t="s">
        <v>907</v>
      </c>
      <c r="CA98" t="s">
        <v>907</v>
      </c>
      <c r="CB98" t="s">
        <v>84</v>
      </c>
      <c r="CC98" t="s">
        <v>84</v>
      </c>
      <c r="CD98" t="s">
        <v>545</v>
      </c>
      <c r="CE98" t="s">
        <v>4249</v>
      </c>
      <c r="CF98" t="s">
        <v>3996</v>
      </c>
      <c r="CG98" t="s">
        <v>907</v>
      </c>
      <c r="CH98">
        <v>2</v>
      </c>
      <c r="CI98" t="s">
        <v>84</v>
      </c>
      <c r="CJ98" t="s">
        <v>586</v>
      </c>
      <c r="CK98" t="s">
        <v>289</v>
      </c>
      <c r="CL98" t="s">
        <v>4262</v>
      </c>
      <c r="CM98" t="s">
        <v>115</v>
      </c>
      <c r="CN98" t="s">
        <v>3868</v>
      </c>
      <c r="CO98" t="s">
        <v>95</v>
      </c>
      <c r="CP98" t="s">
        <v>907</v>
      </c>
      <c r="CQ98" t="s">
        <v>116</v>
      </c>
      <c r="CR98" t="s">
        <v>84</v>
      </c>
      <c r="CS98" t="s">
        <v>117</v>
      </c>
      <c r="CT98" t="s">
        <v>160</v>
      </c>
      <c r="CU98" t="s">
        <v>438</v>
      </c>
      <c r="CV98" t="s">
        <v>119</v>
      </c>
      <c r="CW98" t="s">
        <v>559</v>
      </c>
      <c r="CX98" t="s">
        <v>166</v>
      </c>
      <c r="CY98" t="s">
        <v>549</v>
      </c>
      <c r="CZ98" t="s">
        <v>2452</v>
      </c>
      <c r="DA98">
        <v>5</v>
      </c>
      <c r="DB98" s="10" t="s">
        <v>4150</v>
      </c>
      <c r="DC98" t="s">
        <v>169</v>
      </c>
      <c r="DD98" t="s">
        <v>907</v>
      </c>
      <c r="DE98">
        <v>5</v>
      </c>
      <c r="DF98">
        <v>16</v>
      </c>
      <c r="DG98" t="s">
        <v>84</v>
      </c>
      <c r="DH98" t="s">
        <v>95</v>
      </c>
      <c r="DI98" t="s">
        <v>907</v>
      </c>
      <c r="DJ98" t="s">
        <v>907</v>
      </c>
      <c r="DK98" t="s">
        <v>907</v>
      </c>
      <c r="DL98" t="s">
        <v>907</v>
      </c>
      <c r="DM98" t="s">
        <v>125</v>
      </c>
      <c r="DN98" t="s">
        <v>170</v>
      </c>
      <c r="DO98" t="s">
        <v>664</v>
      </c>
      <c r="DP98">
        <v>8</v>
      </c>
      <c r="DQ98" t="s">
        <v>128</v>
      </c>
      <c r="DR98" t="s">
        <v>907</v>
      </c>
      <c r="DS98" t="s">
        <v>2453</v>
      </c>
      <c r="DT98" t="s">
        <v>552</v>
      </c>
      <c r="DU98" t="s">
        <v>84</v>
      </c>
      <c r="DV98" t="s">
        <v>225</v>
      </c>
      <c r="DW98" t="s">
        <v>933</v>
      </c>
      <c r="DX98" t="s">
        <v>95</v>
      </c>
      <c r="FQ98">
        <v>566893321</v>
      </c>
      <c r="FR98" t="s">
        <v>2454</v>
      </c>
      <c r="FS98" s="1">
        <v>45925.765162037038</v>
      </c>
      <c r="FV98" t="s">
        <v>134</v>
      </c>
      <c r="FW98" t="s">
        <v>135</v>
      </c>
      <c r="FX98" t="s">
        <v>136</v>
      </c>
      <c r="FZ98">
        <v>339</v>
      </c>
    </row>
    <row r="99" spans="1:182" ht="43.2" hidden="1" x14ac:dyDescent="0.3">
      <c r="A99" s="1">
        <v>45924.553667210646</v>
      </c>
      <c r="B99" s="1">
        <v>45924.564831851851</v>
      </c>
      <c r="D99" t="s">
        <v>84</v>
      </c>
      <c r="E99" t="s">
        <v>535</v>
      </c>
      <c r="F99" t="s">
        <v>746</v>
      </c>
      <c r="G99" t="s">
        <v>176</v>
      </c>
      <c r="H99" t="s">
        <v>4122</v>
      </c>
      <c r="I99" t="s">
        <v>747</v>
      </c>
      <c r="J99" t="s">
        <v>748</v>
      </c>
      <c r="K99" t="s">
        <v>90</v>
      </c>
      <c r="L99" t="s">
        <v>670</v>
      </c>
      <c r="M99" t="s">
        <v>540</v>
      </c>
      <c r="N99" t="s">
        <v>749</v>
      </c>
      <c r="O99">
        <v>-15.3456815</v>
      </c>
      <c r="P99">
        <v>23.1289002</v>
      </c>
      <c r="Q99">
        <v>1024.811401367188</v>
      </c>
      <c r="R99">
        <v>4.9669999999999996</v>
      </c>
      <c r="S99" t="s">
        <v>84</v>
      </c>
      <c r="T99" t="s">
        <v>182</v>
      </c>
      <c r="U99">
        <v>4</v>
      </c>
      <c r="V99" t="s">
        <v>95</v>
      </c>
      <c r="W99" t="s">
        <v>907</v>
      </c>
      <c r="X99">
        <v>25</v>
      </c>
      <c r="Y99">
        <v>20</v>
      </c>
      <c r="Z99">
        <v>1.2</v>
      </c>
      <c r="AA99" t="s">
        <v>96</v>
      </c>
      <c r="AB99" t="s">
        <v>351</v>
      </c>
      <c r="AC99" t="s">
        <v>98</v>
      </c>
      <c r="AD99" t="s">
        <v>99</v>
      </c>
      <c r="AE99" t="s">
        <v>100</v>
      </c>
      <c r="AF99" t="s">
        <v>907</v>
      </c>
      <c r="AG99">
        <v>0</v>
      </c>
      <c r="AH99" t="s">
        <v>100</v>
      </c>
      <c r="AI99" t="s">
        <v>907</v>
      </c>
      <c r="AJ99" s="5">
        <v>0</v>
      </c>
      <c r="AK99" t="s">
        <v>102</v>
      </c>
      <c r="AL99" t="s">
        <v>907</v>
      </c>
      <c r="AM99" t="s">
        <v>543</v>
      </c>
      <c r="AN99" t="s">
        <v>907</v>
      </c>
      <c r="AO99" t="s">
        <v>750</v>
      </c>
      <c r="AP99">
        <v>0</v>
      </c>
      <c r="AQ99" t="s">
        <v>466</v>
      </c>
      <c r="AR99" t="s">
        <v>84</v>
      </c>
      <c r="AS99">
        <v>0</v>
      </c>
      <c r="AT99">
        <v>55</v>
      </c>
      <c r="AU99">
        <v>0</v>
      </c>
      <c r="AV99">
        <v>6</v>
      </c>
      <c r="AW99">
        <v>0</v>
      </c>
      <c r="AX99">
        <v>0</v>
      </c>
      <c r="AY99">
        <v>0</v>
      </c>
      <c r="AZ99" t="s">
        <v>284</v>
      </c>
      <c r="BA99" t="s">
        <v>95</v>
      </c>
      <c r="BB99" t="s">
        <v>154</v>
      </c>
      <c r="BC99" t="s">
        <v>907</v>
      </c>
      <c r="BD99" t="s">
        <v>107</v>
      </c>
      <c r="BE99" t="s">
        <v>108</v>
      </c>
      <c r="BF99" t="s">
        <v>751</v>
      </c>
      <c r="BG99" t="s">
        <v>235</v>
      </c>
      <c r="BH99">
        <v>34</v>
      </c>
      <c r="BY99" t="s">
        <v>110</v>
      </c>
      <c r="BZ99" t="s">
        <v>907</v>
      </c>
      <c r="CA99" t="s">
        <v>907</v>
      </c>
      <c r="CB99" t="s">
        <v>84</v>
      </c>
      <c r="CC99" t="s">
        <v>84</v>
      </c>
      <c r="CD99" t="s">
        <v>545</v>
      </c>
      <c r="CE99" t="s">
        <v>4249</v>
      </c>
      <c r="CF99" t="s">
        <v>752</v>
      </c>
      <c r="CG99" t="s">
        <v>907</v>
      </c>
      <c r="CH99">
        <v>3</v>
      </c>
      <c r="CI99" t="s">
        <v>84</v>
      </c>
      <c r="CJ99" t="s">
        <v>586</v>
      </c>
      <c r="CK99" t="s">
        <v>289</v>
      </c>
      <c r="CL99" t="s">
        <v>4262</v>
      </c>
      <c r="CM99" t="s">
        <v>115</v>
      </c>
      <c r="CN99" t="s">
        <v>3868</v>
      </c>
      <c r="CO99" t="s">
        <v>95</v>
      </c>
      <c r="CP99" t="s">
        <v>907</v>
      </c>
      <c r="CQ99" t="s">
        <v>116</v>
      </c>
      <c r="CR99" t="s">
        <v>84</v>
      </c>
      <c r="CS99" t="s">
        <v>117</v>
      </c>
      <c r="CT99" t="s">
        <v>163</v>
      </c>
      <c r="CU99" t="s">
        <v>3869</v>
      </c>
      <c r="CV99" t="s">
        <v>119</v>
      </c>
      <c r="CW99" t="s">
        <v>495</v>
      </c>
      <c r="CX99" t="s">
        <v>166</v>
      </c>
      <c r="CY99" s="15" t="s">
        <v>167</v>
      </c>
      <c r="CZ99" t="s">
        <v>195</v>
      </c>
      <c r="DA99">
        <v>0</v>
      </c>
      <c r="DB99" s="10">
        <v>0</v>
      </c>
      <c r="DC99" t="s">
        <v>169</v>
      </c>
      <c r="DD99" t="s">
        <v>907</v>
      </c>
      <c r="DE99">
        <v>3</v>
      </c>
      <c r="DF99">
        <v>15</v>
      </c>
      <c r="DG99" t="s">
        <v>95</v>
      </c>
      <c r="DH99" t="s">
        <v>95</v>
      </c>
      <c r="DI99" t="s">
        <v>907</v>
      </c>
      <c r="DJ99" t="s">
        <v>907</v>
      </c>
      <c r="DK99" t="s">
        <v>907</v>
      </c>
      <c r="DL99" t="s">
        <v>907</v>
      </c>
      <c r="DM99" t="s">
        <v>125</v>
      </c>
      <c r="DN99" t="s">
        <v>170</v>
      </c>
      <c r="DO99" t="s">
        <v>560</v>
      </c>
      <c r="DP99">
        <v>5</v>
      </c>
      <c r="DQ99" t="s">
        <v>128</v>
      </c>
      <c r="DR99" t="s">
        <v>907</v>
      </c>
      <c r="DS99" t="s">
        <v>551</v>
      </c>
      <c r="DT99" t="s">
        <v>753</v>
      </c>
      <c r="DU99" t="s">
        <v>84</v>
      </c>
      <c r="DV99" t="s">
        <v>225</v>
      </c>
      <c r="DW99" t="s">
        <v>533</v>
      </c>
      <c r="DX99" t="s">
        <v>95</v>
      </c>
      <c r="FQ99">
        <v>565909090</v>
      </c>
      <c r="FR99" t="s">
        <v>754</v>
      </c>
      <c r="FS99" s="1">
        <v>45924.644918981481</v>
      </c>
      <c r="FV99" t="s">
        <v>134</v>
      </c>
      <c r="FW99" t="s">
        <v>135</v>
      </c>
      <c r="FX99" t="s">
        <v>136</v>
      </c>
      <c r="FZ99">
        <v>165</v>
      </c>
    </row>
    <row r="100" spans="1:182" x14ac:dyDescent="0.3">
      <c r="A100" s="1">
        <v>45925.55889177083</v>
      </c>
      <c r="B100" s="1">
        <v>45925.586224293977</v>
      </c>
      <c r="D100" t="s">
        <v>84</v>
      </c>
      <c r="E100" t="s">
        <v>1226</v>
      </c>
      <c r="F100" t="s">
        <v>2275</v>
      </c>
      <c r="G100" t="s">
        <v>176</v>
      </c>
      <c r="H100" t="s">
        <v>4121</v>
      </c>
      <c r="I100" t="s">
        <v>2276</v>
      </c>
      <c r="J100" t="s">
        <v>2277</v>
      </c>
      <c r="K100" t="s">
        <v>90</v>
      </c>
      <c r="L100" t="s">
        <v>2278</v>
      </c>
      <c r="M100" t="s">
        <v>2279</v>
      </c>
      <c r="N100" t="s">
        <v>2280</v>
      </c>
      <c r="O100">
        <v>-15.233588299999999</v>
      </c>
      <c r="P100">
        <v>22.991766699999999</v>
      </c>
      <c r="Q100">
        <v>1019.3</v>
      </c>
      <c r="R100">
        <v>4.95</v>
      </c>
      <c r="S100" t="s">
        <v>84</v>
      </c>
      <c r="T100" t="s">
        <v>94</v>
      </c>
      <c r="U100">
        <v>4</v>
      </c>
      <c r="V100" t="s">
        <v>212</v>
      </c>
      <c r="W100" t="s">
        <v>2281</v>
      </c>
      <c r="X100">
        <v>11</v>
      </c>
      <c r="Y100">
        <v>6000</v>
      </c>
      <c r="Z100">
        <v>1</v>
      </c>
      <c r="AA100" t="s">
        <v>251</v>
      </c>
      <c r="AB100" t="s">
        <v>351</v>
      </c>
      <c r="AC100" t="s">
        <v>98</v>
      </c>
      <c r="AD100" t="s">
        <v>252</v>
      </c>
      <c r="AE100" t="s">
        <v>123</v>
      </c>
      <c r="AF100" t="s">
        <v>1232</v>
      </c>
      <c r="AG100" s="3">
        <v>1500</v>
      </c>
      <c r="AH100" t="s">
        <v>101</v>
      </c>
      <c r="AI100" t="s">
        <v>907</v>
      </c>
      <c r="AJ100" s="5">
        <v>2000</v>
      </c>
      <c r="AK100" t="s">
        <v>102</v>
      </c>
      <c r="AL100" t="s">
        <v>907</v>
      </c>
      <c r="AM100" t="s">
        <v>2282</v>
      </c>
      <c r="AN100" t="s">
        <v>907</v>
      </c>
      <c r="AO100" t="s">
        <v>2283</v>
      </c>
      <c r="AP100" t="s">
        <v>2284</v>
      </c>
      <c r="AQ100" t="s">
        <v>466</v>
      </c>
      <c r="AR100" t="s">
        <v>84</v>
      </c>
      <c r="AS100">
        <v>5</v>
      </c>
      <c r="AT100">
        <v>0</v>
      </c>
      <c r="AU100">
        <v>0</v>
      </c>
      <c r="AV100">
        <v>0</v>
      </c>
      <c r="AW100">
        <v>0</v>
      </c>
      <c r="AX100">
        <v>0</v>
      </c>
      <c r="AY100">
        <v>0</v>
      </c>
      <c r="AZ100" t="s">
        <v>929</v>
      </c>
      <c r="BA100" t="s">
        <v>452</v>
      </c>
      <c r="BB100" t="s">
        <v>154</v>
      </c>
      <c r="BC100" t="s">
        <v>907</v>
      </c>
      <c r="BD100" t="s">
        <v>257</v>
      </c>
      <c r="BE100" t="s">
        <v>810</v>
      </c>
      <c r="BF100" t="s">
        <v>2171</v>
      </c>
      <c r="BG100" t="s">
        <v>156</v>
      </c>
      <c r="BH100">
        <v>35</v>
      </c>
      <c r="BL100">
        <v>16</v>
      </c>
      <c r="BN100">
        <v>2</v>
      </c>
      <c r="BP100">
        <v>1</v>
      </c>
      <c r="BR100">
        <v>2</v>
      </c>
      <c r="BT100">
        <v>2</v>
      </c>
      <c r="BV100">
        <v>4</v>
      </c>
      <c r="BX100">
        <v>8</v>
      </c>
      <c r="BY100" t="s">
        <v>189</v>
      </c>
      <c r="BZ100">
        <v>3</v>
      </c>
      <c r="CA100">
        <v>7</v>
      </c>
      <c r="CB100" t="s">
        <v>84</v>
      </c>
      <c r="CC100" t="s">
        <v>84</v>
      </c>
      <c r="CD100" t="s">
        <v>778</v>
      </c>
      <c r="CE100" t="s">
        <v>4251</v>
      </c>
      <c r="CF100" t="s">
        <v>3985</v>
      </c>
      <c r="CG100" t="s">
        <v>907</v>
      </c>
      <c r="CH100">
        <v>3</v>
      </c>
      <c r="CI100" t="s">
        <v>84</v>
      </c>
      <c r="CJ100" t="s">
        <v>262</v>
      </c>
      <c r="CK100" t="s">
        <v>289</v>
      </c>
      <c r="CL100" t="s">
        <v>367</v>
      </c>
      <c r="CM100" t="s">
        <v>193</v>
      </c>
      <c r="CN100" t="s">
        <v>421</v>
      </c>
      <c r="CO100" t="s">
        <v>95</v>
      </c>
      <c r="CP100" t="s">
        <v>907</v>
      </c>
      <c r="CQ100" t="s">
        <v>116</v>
      </c>
      <c r="CR100" t="s">
        <v>84</v>
      </c>
      <c r="CS100" t="s">
        <v>117</v>
      </c>
      <c r="CT100" t="s">
        <v>118</v>
      </c>
      <c r="CU100" t="s">
        <v>3869</v>
      </c>
      <c r="CV100" t="s">
        <v>812</v>
      </c>
      <c r="CW100" t="s">
        <v>119</v>
      </c>
      <c r="CX100" t="s">
        <v>166</v>
      </c>
      <c r="CY100" t="s">
        <v>167</v>
      </c>
      <c r="CZ100" t="s">
        <v>2232</v>
      </c>
      <c r="DA100">
        <v>0</v>
      </c>
      <c r="DB100" s="10">
        <v>0</v>
      </c>
      <c r="DC100" t="s">
        <v>169</v>
      </c>
      <c r="DD100" t="s">
        <v>907</v>
      </c>
      <c r="DE100">
        <v>2</v>
      </c>
      <c r="DF100">
        <v>12</v>
      </c>
      <c r="DG100" t="s">
        <v>95</v>
      </c>
      <c r="DH100" t="s">
        <v>95</v>
      </c>
      <c r="DI100" t="s">
        <v>907</v>
      </c>
      <c r="DJ100" t="s">
        <v>907</v>
      </c>
      <c r="DK100" t="s">
        <v>907</v>
      </c>
      <c r="DL100" t="s">
        <v>907</v>
      </c>
      <c r="DM100" t="s">
        <v>291</v>
      </c>
      <c r="DN100" t="s">
        <v>907</v>
      </c>
      <c r="DO100" t="s">
        <v>907</v>
      </c>
      <c r="DP100">
        <v>200</v>
      </c>
      <c r="DQ100" t="s">
        <v>441</v>
      </c>
      <c r="DR100" t="s">
        <v>907</v>
      </c>
      <c r="DS100" t="s">
        <v>1362</v>
      </c>
      <c r="DT100" t="s">
        <v>1288</v>
      </c>
      <c r="DU100" t="s">
        <v>84</v>
      </c>
      <c r="DV100" t="s">
        <v>344</v>
      </c>
      <c r="DW100" t="s">
        <v>2105</v>
      </c>
      <c r="DX100" t="s">
        <v>95</v>
      </c>
      <c r="FQ100">
        <v>566875446</v>
      </c>
      <c r="FR100" t="s">
        <v>2285</v>
      </c>
      <c r="FS100" s="1">
        <v>45925.74386574074</v>
      </c>
      <c r="FV100" t="s">
        <v>134</v>
      </c>
      <c r="FW100" t="s">
        <v>135</v>
      </c>
      <c r="FX100" t="s">
        <v>136</v>
      </c>
      <c r="FZ100">
        <v>321</v>
      </c>
    </row>
    <row r="101" spans="1:182" hidden="1" x14ac:dyDescent="0.3">
      <c r="A101" s="1">
        <v>45926.426608923612</v>
      </c>
      <c r="B101" s="1">
        <v>45926.633935486112</v>
      </c>
      <c r="D101" t="s">
        <v>84</v>
      </c>
      <c r="E101" t="s">
        <v>85</v>
      </c>
      <c r="F101" t="s">
        <v>2749</v>
      </c>
      <c r="G101" t="s">
        <v>176</v>
      </c>
      <c r="H101" t="s">
        <v>4122</v>
      </c>
      <c r="I101" t="s">
        <v>2750</v>
      </c>
      <c r="J101" t="s">
        <v>2751</v>
      </c>
      <c r="K101" t="s">
        <v>90</v>
      </c>
      <c r="L101" t="s">
        <v>2752</v>
      </c>
      <c r="M101" t="s">
        <v>2753</v>
      </c>
      <c r="N101" t="s">
        <v>2754</v>
      </c>
      <c r="O101">
        <v>-15.234450499999999</v>
      </c>
      <c r="P101">
        <v>22.936344099999999</v>
      </c>
      <c r="Q101">
        <v>1025.62890625</v>
      </c>
      <c r="R101">
        <v>4.2549999999999999</v>
      </c>
      <c r="S101" t="s">
        <v>84</v>
      </c>
      <c r="T101" t="s">
        <v>182</v>
      </c>
      <c r="U101">
        <v>9</v>
      </c>
      <c r="V101" t="s">
        <v>95</v>
      </c>
      <c r="W101" t="s">
        <v>907</v>
      </c>
      <c r="X101">
        <v>30</v>
      </c>
      <c r="Y101">
        <v>30</v>
      </c>
      <c r="Z101">
        <v>2</v>
      </c>
      <c r="AA101" t="s">
        <v>96</v>
      </c>
      <c r="AB101" t="s">
        <v>351</v>
      </c>
      <c r="AC101" t="s">
        <v>98</v>
      </c>
      <c r="AD101" t="s">
        <v>99</v>
      </c>
      <c r="AE101" t="s">
        <v>100</v>
      </c>
      <c r="AF101" t="s">
        <v>907</v>
      </c>
      <c r="AG101">
        <v>0</v>
      </c>
      <c r="AH101" t="s">
        <v>147</v>
      </c>
      <c r="AI101" t="s">
        <v>907</v>
      </c>
      <c r="AJ101" s="5">
        <v>0</v>
      </c>
      <c r="AK101" t="s">
        <v>102</v>
      </c>
      <c r="AL101" t="s">
        <v>907</v>
      </c>
      <c r="AM101" t="s">
        <v>466</v>
      </c>
      <c r="AN101" t="s">
        <v>907</v>
      </c>
      <c r="AO101" t="s">
        <v>2755</v>
      </c>
      <c r="AP101">
        <v>0</v>
      </c>
      <c r="AQ101" t="s">
        <v>466</v>
      </c>
      <c r="AR101" t="s">
        <v>95</v>
      </c>
      <c r="AS101">
        <v>20</v>
      </c>
      <c r="AT101">
        <v>0</v>
      </c>
      <c r="AU101">
        <v>0</v>
      </c>
      <c r="AV101">
        <v>0</v>
      </c>
      <c r="AW101">
        <v>0</v>
      </c>
      <c r="AX101">
        <v>0</v>
      </c>
      <c r="AY101">
        <v>0</v>
      </c>
      <c r="AZ101" t="s">
        <v>1003</v>
      </c>
      <c r="BA101" t="s">
        <v>95</v>
      </c>
      <c r="BB101" t="s">
        <v>3866</v>
      </c>
      <c r="BC101" t="s">
        <v>907</v>
      </c>
      <c r="BD101" t="s">
        <v>107</v>
      </c>
      <c r="BE101" t="s">
        <v>108</v>
      </c>
      <c r="BF101" t="s">
        <v>309</v>
      </c>
      <c r="BG101" t="s">
        <v>235</v>
      </c>
      <c r="BH101">
        <v>80</v>
      </c>
      <c r="BY101" t="s">
        <v>110</v>
      </c>
      <c r="BZ101" t="s">
        <v>907</v>
      </c>
      <c r="CA101" t="s">
        <v>907</v>
      </c>
      <c r="CB101" t="s">
        <v>84</v>
      </c>
      <c r="CC101" t="s">
        <v>84</v>
      </c>
      <c r="CD101" t="s">
        <v>2756</v>
      </c>
      <c r="CE101" t="s">
        <v>4250</v>
      </c>
      <c r="CF101" t="s">
        <v>4022</v>
      </c>
      <c r="CG101" t="s">
        <v>907</v>
      </c>
      <c r="CH101">
        <v>3</v>
      </c>
      <c r="CI101" t="s">
        <v>84</v>
      </c>
      <c r="CJ101" t="s">
        <v>262</v>
      </c>
      <c r="CK101" t="s">
        <v>289</v>
      </c>
      <c r="CL101" t="s">
        <v>4262</v>
      </c>
      <c r="CM101" t="s">
        <v>115</v>
      </c>
      <c r="CN101" t="s">
        <v>3868</v>
      </c>
      <c r="CO101" t="s">
        <v>95</v>
      </c>
      <c r="CP101" t="s">
        <v>907</v>
      </c>
      <c r="CQ101" t="s">
        <v>116</v>
      </c>
      <c r="CR101" t="s">
        <v>84</v>
      </c>
      <c r="CS101" t="s">
        <v>117</v>
      </c>
      <c r="CT101" t="s">
        <v>264</v>
      </c>
      <c r="CU101" t="s">
        <v>3869</v>
      </c>
      <c r="CV101" t="s">
        <v>119</v>
      </c>
      <c r="CW101" s="13" t="s">
        <v>4236</v>
      </c>
      <c r="CX101" t="s">
        <v>166</v>
      </c>
      <c r="CY101" t="s">
        <v>549</v>
      </c>
      <c r="CZ101" t="s">
        <v>265</v>
      </c>
      <c r="DA101">
        <v>0</v>
      </c>
      <c r="DB101" s="10">
        <v>0</v>
      </c>
      <c r="DC101" t="s">
        <v>169</v>
      </c>
      <c r="DD101" t="s">
        <v>907</v>
      </c>
      <c r="DE101">
        <v>10</v>
      </c>
      <c r="DF101">
        <v>25</v>
      </c>
      <c r="DG101" t="s">
        <v>95</v>
      </c>
      <c r="DH101" t="s">
        <v>95</v>
      </c>
      <c r="DI101" t="s">
        <v>907</v>
      </c>
      <c r="DJ101" t="s">
        <v>907</v>
      </c>
      <c r="DK101" t="s">
        <v>907</v>
      </c>
      <c r="DL101" t="s">
        <v>907</v>
      </c>
      <c r="DM101" t="s">
        <v>125</v>
      </c>
      <c r="DN101" t="s">
        <v>170</v>
      </c>
      <c r="DO101" t="s">
        <v>2757</v>
      </c>
      <c r="DP101">
        <v>6</v>
      </c>
      <c r="DQ101" t="s">
        <v>128</v>
      </c>
      <c r="DR101" t="s">
        <v>907</v>
      </c>
      <c r="DS101" t="s">
        <v>2746</v>
      </c>
      <c r="DT101" t="s">
        <v>2758</v>
      </c>
      <c r="DU101" t="s">
        <v>95</v>
      </c>
      <c r="DV101" t="s">
        <v>907</v>
      </c>
      <c r="DW101" t="s">
        <v>907</v>
      </c>
      <c r="DX101" t="s">
        <v>907</v>
      </c>
      <c r="FQ101">
        <v>567424827</v>
      </c>
      <c r="FR101" t="s">
        <v>2759</v>
      </c>
      <c r="FS101" s="1">
        <v>45926.550949074073</v>
      </c>
      <c r="FV101" t="s">
        <v>134</v>
      </c>
      <c r="FW101" t="s">
        <v>135</v>
      </c>
      <c r="FX101" t="s">
        <v>136</v>
      </c>
      <c r="FZ101">
        <v>398</v>
      </c>
    </row>
    <row r="102" spans="1:182" x14ac:dyDescent="0.3">
      <c r="A102" s="1">
        <v>45924.66259497685</v>
      </c>
      <c r="B102" s="1">
        <v>45924.682961759259</v>
      </c>
      <c r="D102" t="s">
        <v>84</v>
      </c>
      <c r="E102" t="s">
        <v>602</v>
      </c>
      <c r="F102" t="s">
        <v>603</v>
      </c>
      <c r="G102" t="s">
        <v>176</v>
      </c>
      <c r="H102" t="s">
        <v>4122</v>
      </c>
      <c r="I102" t="s">
        <v>604</v>
      </c>
      <c r="J102" t="s">
        <v>605</v>
      </c>
      <c r="K102" t="s">
        <v>90</v>
      </c>
      <c r="L102" t="s">
        <v>539</v>
      </c>
      <c r="M102" t="s">
        <v>540</v>
      </c>
      <c r="N102" t="s">
        <v>606</v>
      </c>
      <c r="O102">
        <v>-15.3357905</v>
      </c>
      <c r="P102">
        <v>23.125358500000001</v>
      </c>
      <c r="Q102">
        <v>1020.300048828125</v>
      </c>
      <c r="R102">
        <v>4.7160000000000002</v>
      </c>
      <c r="S102" t="s">
        <v>84</v>
      </c>
      <c r="T102" t="s">
        <v>182</v>
      </c>
      <c r="U102">
        <v>9</v>
      </c>
      <c r="V102" t="s">
        <v>95</v>
      </c>
      <c r="W102" t="s">
        <v>907</v>
      </c>
      <c r="X102">
        <v>16</v>
      </c>
      <c r="Y102">
        <v>45</v>
      </c>
      <c r="Z102">
        <v>4.5</v>
      </c>
      <c r="AA102" t="s">
        <v>96</v>
      </c>
      <c r="AB102" t="s">
        <v>97</v>
      </c>
      <c r="AC102" t="s">
        <v>98</v>
      </c>
      <c r="AD102" t="s">
        <v>520</v>
      </c>
      <c r="AE102" t="s">
        <v>100</v>
      </c>
      <c r="AF102" t="s">
        <v>907</v>
      </c>
      <c r="AG102">
        <v>0</v>
      </c>
      <c r="AH102" t="s">
        <v>147</v>
      </c>
      <c r="AI102" t="s">
        <v>907</v>
      </c>
      <c r="AJ102" s="5">
        <v>0</v>
      </c>
      <c r="AK102" t="s">
        <v>102</v>
      </c>
      <c r="AL102" t="s">
        <v>907</v>
      </c>
      <c r="AM102" t="s">
        <v>149</v>
      </c>
      <c r="AN102" t="s">
        <v>907</v>
      </c>
      <c r="AO102" t="s">
        <v>607</v>
      </c>
      <c r="AP102">
        <v>0</v>
      </c>
      <c r="AQ102" t="s">
        <v>185</v>
      </c>
      <c r="AR102" t="s">
        <v>95</v>
      </c>
      <c r="AS102">
        <v>0</v>
      </c>
      <c r="AT102">
        <v>12</v>
      </c>
      <c r="AU102">
        <v>0</v>
      </c>
      <c r="AV102">
        <v>0</v>
      </c>
      <c r="AW102">
        <v>0</v>
      </c>
      <c r="AX102">
        <v>0</v>
      </c>
      <c r="AY102">
        <v>0</v>
      </c>
      <c r="AZ102" t="s">
        <v>284</v>
      </c>
      <c r="BA102" t="s">
        <v>95</v>
      </c>
      <c r="BB102" t="s">
        <v>154</v>
      </c>
      <c r="BC102" t="s">
        <v>907</v>
      </c>
      <c r="BD102" t="s">
        <v>107</v>
      </c>
      <c r="BE102" t="s">
        <v>108</v>
      </c>
      <c r="BF102" t="s">
        <v>544</v>
      </c>
      <c r="BG102" t="s">
        <v>235</v>
      </c>
      <c r="BH102">
        <v>18</v>
      </c>
      <c r="BY102" t="s">
        <v>110</v>
      </c>
      <c r="BZ102" t="s">
        <v>907</v>
      </c>
      <c r="CA102" t="s">
        <v>907</v>
      </c>
      <c r="CB102" t="s">
        <v>84</v>
      </c>
      <c r="CC102" t="s">
        <v>84</v>
      </c>
      <c r="CD102" t="s">
        <v>237</v>
      </c>
      <c r="CE102" t="s">
        <v>4250</v>
      </c>
      <c r="CF102" t="s">
        <v>608</v>
      </c>
      <c r="CG102" t="s">
        <v>907</v>
      </c>
      <c r="CH102">
        <v>3</v>
      </c>
      <c r="CI102" t="s">
        <v>84</v>
      </c>
      <c r="CJ102" t="s">
        <v>586</v>
      </c>
      <c r="CK102" t="s">
        <v>289</v>
      </c>
      <c r="CL102" t="s">
        <v>609</v>
      </c>
      <c r="CM102" t="s">
        <v>115</v>
      </c>
      <c r="CN102" t="s">
        <v>3890</v>
      </c>
      <c r="CO102" t="s">
        <v>95</v>
      </c>
      <c r="CP102" t="s">
        <v>907</v>
      </c>
      <c r="CQ102" t="s">
        <v>116</v>
      </c>
      <c r="CR102" t="s">
        <v>84</v>
      </c>
      <c r="CS102" t="s">
        <v>117</v>
      </c>
      <c r="CT102" t="s">
        <v>163</v>
      </c>
      <c r="CU102" t="s">
        <v>3869</v>
      </c>
      <c r="CV102" t="s">
        <v>119</v>
      </c>
      <c r="CW102" t="s">
        <v>265</v>
      </c>
      <c r="CX102" t="s">
        <v>166</v>
      </c>
      <c r="CY102" t="s">
        <v>610</v>
      </c>
      <c r="CZ102" t="s">
        <v>168</v>
      </c>
      <c r="DA102">
        <v>0</v>
      </c>
      <c r="DB102" s="10">
        <v>0</v>
      </c>
      <c r="DC102" t="s">
        <v>169</v>
      </c>
      <c r="DD102" t="s">
        <v>907</v>
      </c>
      <c r="DE102">
        <v>3</v>
      </c>
      <c r="DF102">
        <v>7</v>
      </c>
      <c r="DG102" t="s">
        <v>84</v>
      </c>
      <c r="DH102" t="s">
        <v>95</v>
      </c>
      <c r="DI102" t="s">
        <v>907</v>
      </c>
      <c r="DJ102" t="s">
        <v>907</v>
      </c>
      <c r="DK102" t="s">
        <v>907</v>
      </c>
      <c r="DL102" t="s">
        <v>907</v>
      </c>
      <c r="DM102" t="s">
        <v>125</v>
      </c>
      <c r="DN102" t="s">
        <v>611</v>
      </c>
      <c r="DO102" t="s">
        <v>324</v>
      </c>
      <c r="DP102">
        <v>7</v>
      </c>
      <c r="DQ102" t="s">
        <v>128</v>
      </c>
      <c r="DR102" t="s">
        <v>907</v>
      </c>
      <c r="DS102" t="s">
        <v>551</v>
      </c>
      <c r="DT102" t="s">
        <v>612</v>
      </c>
      <c r="DU102" t="s">
        <v>84</v>
      </c>
      <c r="DV102" t="s">
        <v>225</v>
      </c>
      <c r="DW102" t="s">
        <v>533</v>
      </c>
      <c r="DX102" t="s">
        <v>95</v>
      </c>
      <c r="FQ102">
        <v>565908914</v>
      </c>
      <c r="FR102" t="s">
        <v>613</v>
      </c>
      <c r="FS102" s="1">
        <v>45924.644768518519</v>
      </c>
      <c r="FV102" t="s">
        <v>134</v>
      </c>
      <c r="FW102" t="s">
        <v>135</v>
      </c>
      <c r="FX102" t="s">
        <v>136</v>
      </c>
      <c r="FZ102">
        <v>152</v>
      </c>
    </row>
    <row r="103" spans="1:182" hidden="1" x14ac:dyDescent="0.3">
      <c r="A103" s="1">
        <v>45926.50367121528</v>
      </c>
      <c r="B103" s="1">
        <v>45926.514586018522</v>
      </c>
      <c r="D103" t="s">
        <v>84</v>
      </c>
      <c r="E103" t="s">
        <v>3878</v>
      </c>
      <c r="F103" t="s">
        <v>2919</v>
      </c>
      <c r="G103" t="s">
        <v>176</v>
      </c>
      <c r="H103" t="s">
        <v>4121</v>
      </c>
      <c r="I103" t="s">
        <v>2920</v>
      </c>
      <c r="J103" t="s">
        <v>2921</v>
      </c>
      <c r="K103" t="s">
        <v>90</v>
      </c>
      <c r="L103" t="s">
        <v>2867</v>
      </c>
      <c r="M103" t="s">
        <v>2868</v>
      </c>
      <c r="N103" t="s">
        <v>2922</v>
      </c>
      <c r="O103">
        <v>-15.2143704</v>
      </c>
      <c r="P103">
        <v>22.935022100000001</v>
      </c>
      <c r="Q103">
        <v>1043.0999999999999</v>
      </c>
      <c r="R103">
        <v>4.016</v>
      </c>
      <c r="S103" t="s">
        <v>84</v>
      </c>
      <c r="T103" t="s">
        <v>94</v>
      </c>
      <c r="U103">
        <v>4</v>
      </c>
      <c r="V103" t="s">
        <v>95</v>
      </c>
      <c r="W103" t="s">
        <v>907</v>
      </c>
      <c r="X103">
        <v>13</v>
      </c>
      <c r="Y103">
        <v>1</v>
      </c>
      <c r="Z103">
        <v>1</v>
      </c>
      <c r="AA103" t="s">
        <v>96</v>
      </c>
      <c r="AB103" t="s">
        <v>351</v>
      </c>
      <c r="AC103" t="s">
        <v>98</v>
      </c>
      <c r="AD103" t="s">
        <v>252</v>
      </c>
      <c r="AE103" t="s">
        <v>101</v>
      </c>
      <c r="AF103" t="s">
        <v>907</v>
      </c>
      <c r="AG103">
        <v>2000</v>
      </c>
      <c r="AH103" t="s">
        <v>100</v>
      </c>
      <c r="AI103" t="s">
        <v>907</v>
      </c>
      <c r="AJ103" s="5">
        <v>500</v>
      </c>
      <c r="AK103" t="s">
        <v>102</v>
      </c>
      <c r="AL103" t="s">
        <v>907</v>
      </c>
      <c r="AM103" t="s">
        <v>2923</v>
      </c>
      <c r="AN103" t="s">
        <v>907</v>
      </c>
      <c r="AO103" t="s">
        <v>267</v>
      </c>
      <c r="AP103" t="s">
        <v>3960</v>
      </c>
      <c r="AQ103" t="s">
        <v>2818</v>
      </c>
      <c r="AR103" t="s">
        <v>95</v>
      </c>
      <c r="AS103">
        <v>0</v>
      </c>
      <c r="AT103">
        <v>0</v>
      </c>
      <c r="AU103">
        <v>0</v>
      </c>
      <c r="AV103">
        <v>0</v>
      </c>
      <c r="AW103">
        <v>0</v>
      </c>
      <c r="AX103">
        <v>0</v>
      </c>
      <c r="AY103">
        <v>0</v>
      </c>
      <c r="AZ103" t="s">
        <v>929</v>
      </c>
      <c r="BA103" t="s">
        <v>95</v>
      </c>
      <c r="BB103" t="s">
        <v>308</v>
      </c>
      <c r="BC103" t="s">
        <v>907</v>
      </c>
      <c r="BD103" t="s">
        <v>107</v>
      </c>
      <c r="BE103" t="s">
        <v>810</v>
      </c>
      <c r="BF103" t="s">
        <v>1088</v>
      </c>
      <c r="BG103" t="s">
        <v>235</v>
      </c>
      <c r="BH103">
        <v>21</v>
      </c>
      <c r="BL103">
        <v>9</v>
      </c>
      <c r="BN103">
        <v>1</v>
      </c>
      <c r="BP103">
        <v>2</v>
      </c>
      <c r="BR103">
        <v>0</v>
      </c>
      <c r="BT103">
        <v>2</v>
      </c>
      <c r="BV103">
        <v>0</v>
      </c>
      <c r="BX103">
        <v>7</v>
      </c>
      <c r="BY103" t="s">
        <v>189</v>
      </c>
      <c r="BZ103">
        <v>4</v>
      </c>
      <c r="CA103">
        <v>1</v>
      </c>
      <c r="CB103" t="s">
        <v>84</v>
      </c>
      <c r="CC103" t="s">
        <v>84</v>
      </c>
      <c r="CD103" t="s">
        <v>2924</v>
      </c>
      <c r="CE103" t="s">
        <v>4251</v>
      </c>
      <c r="CF103" t="s">
        <v>2925</v>
      </c>
      <c r="CG103" t="s">
        <v>907</v>
      </c>
      <c r="CH103">
        <v>3</v>
      </c>
      <c r="CI103" t="s">
        <v>95</v>
      </c>
      <c r="CJ103" t="s">
        <v>907</v>
      </c>
      <c r="CK103" t="s">
        <v>1005</v>
      </c>
      <c r="CL103" t="s">
        <v>456</v>
      </c>
      <c r="CM103" t="s">
        <v>547</v>
      </c>
      <c r="CN103" t="s">
        <v>421</v>
      </c>
      <c r="CO103" t="s">
        <v>95</v>
      </c>
      <c r="CP103" t="s">
        <v>907</v>
      </c>
      <c r="CQ103" t="s">
        <v>116</v>
      </c>
      <c r="CR103" t="s">
        <v>95</v>
      </c>
      <c r="CS103" t="s">
        <v>907</v>
      </c>
      <c r="CT103" t="s">
        <v>907</v>
      </c>
      <c r="CU103" t="s">
        <v>907</v>
      </c>
      <c r="CV103" t="s">
        <v>812</v>
      </c>
      <c r="CW103" t="s">
        <v>1137</v>
      </c>
      <c r="CX103" t="s">
        <v>290</v>
      </c>
      <c r="CY103" t="s">
        <v>907</v>
      </c>
      <c r="CZ103" t="s">
        <v>907</v>
      </c>
      <c r="DA103" t="s">
        <v>907</v>
      </c>
      <c r="DB103" t="s">
        <v>907</v>
      </c>
      <c r="DC103" t="s">
        <v>907</v>
      </c>
      <c r="DD103" t="s">
        <v>907</v>
      </c>
      <c r="DE103" t="s">
        <v>907</v>
      </c>
      <c r="DF103" t="s">
        <v>907</v>
      </c>
      <c r="DG103" t="s">
        <v>95</v>
      </c>
      <c r="DH103" t="s">
        <v>95</v>
      </c>
      <c r="DI103" t="s">
        <v>907</v>
      </c>
      <c r="DJ103" t="s">
        <v>907</v>
      </c>
      <c r="DK103" t="s">
        <v>907</v>
      </c>
      <c r="DL103" t="s">
        <v>907</v>
      </c>
      <c r="DM103" t="s">
        <v>291</v>
      </c>
      <c r="DN103" t="s">
        <v>907</v>
      </c>
      <c r="DO103" t="s">
        <v>907</v>
      </c>
      <c r="DP103">
        <v>1</v>
      </c>
      <c r="DQ103" t="s">
        <v>441</v>
      </c>
      <c r="DR103" t="s">
        <v>907</v>
      </c>
      <c r="DS103" t="s">
        <v>2466</v>
      </c>
      <c r="DT103" t="s">
        <v>2926</v>
      </c>
      <c r="DU103" t="s">
        <v>95</v>
      </c>
      <c r="DV103" t="s">
        <v>907</v>
      </c>
      <c r="DW103" t="s">
        <v>907</v>
      </c>
      <c r="DX103" t="s">
        <v>907</v>
      </c>
      <c r="FQ103">
        <v>567443376</v>
      </c>
      <c r="FR103" t="s">
        <v>2927</v>
      </c>
      <c r="FS103" s="1">
        <v>45926.568229166667</v>
      </c>
      <c r="FV103" t="s">
        <v>134</v>
      </c>
      <c r="FW103" t="s">
        <v>135</v>
      </c>
      <c r="FX103" t="s">
        <v>136</v>
      </c>
      <c r="FZ103">
        <v>417</v>
      </c>
    </row>
    <row r="104" spans="1:182" hidden="1" x14ac:dyDescent="0.3">
      <c r="A104" s="1">
        <v>45924.500679351862</v>
      </c>
      <c r="B104" s="1">
        <v>45924.51446046296</v>
      </c>
      <c r="D104" t="s">
        <v>84</v>
      </c>
      <c r="E104" t="s">
        <v>535</v>
      </c>
      <c r="F104" t="s">
        <v>700</v>
      </c>
      <c r="G104" t="s">
        <v>176</v>
      </c>
      <c r="H104" t="s">
        <v>4121</v>
      </c>
      <c r="I104" t="s">
        <v>701</v>
      </c>
      <c r="J104" t="s">
        <v>702</v>
      </c>
      <c r="K104" t="s">
        <v>90</v>
      </c>
      <c r="L104" t="s">
        <v>670</v>
      </c>
      <c r="M104" t="s">
        <v>703</v>
      </c>
      <c r="N104" t="s">
        <v>704</v>
      </c>
      <c r="O104">
        <v>-15.3456718</v>
      </c>
      <c r="P104">
        <v>23.128854499999999</v>
      </c>
      <c r="Q104">
        <v>1030.028076171875</v>
      </c>
      <c r="R104">
        <v>4.3250000000000002</v>
      </c>
      <c r="S104" t="s">
        <v>84</v>
      </c>
      <c r="T104" t="s">
        <v>182</v>
      </c>
      <c r="U104">
        <v>8</v>
      </c>
      <c r="V104" t="s">
        <v>95</v>
      </c>
      <c r="W104" t="s">
        <v>907</v>
      </c>
      <c r="X104">
        <v>30</v>
      </c>
      <c r="Y104">
        <v>50</v>
      </c>
      <c r="Z104">
        <v>2</v>
      </c>
      <c r="AA104" t="s">
        <v>96</v>
      </c>
      <c r="AB104" t="s">
        <v>489</v>
      </c>
      <c r="AC104" t="s">
        <v>98</v>
      </c>
      <c r="AD104" t="s">
        <v>280</v>
      </c>
      <c r="AE104" t="s">
        <v>304</v>
      </c>
      <c r="AF104" t="s">
        <v>907</v>
      </c>
      <c r="AG104">
        <v>0</v>
      </c>
      <c r="AH104" t="s">
        <v>147</v>
      </c>
      <c r="AI104" t="s">
        <v>907</v>
      </c>
      <c r="AJ104" s="5">
        <v>0</v>
      </c>
      <c r="AK104" t="s">
        <v>102</v>
      </c>
      <c r="AL104" t="s">
        <v>907</v>
      </c>
      <c r="AM104" t="s">
        <v>149</v>
      </c>
      <c r="AN104" t="s">
        <v>907</v>
      </c>
      <c r="AO104">
        <v>0</v>
      </c>
      <c r="AP104">
        <v>0</v>
      </c>
      <c r="AQ104" t="s">
        <v>253</v>
      </c>
      <c r="AR104" t="s">
        <v>95</v>
      </c>
      <c r="AS104">
        <v>0</v>
      </c>
      <c r="AT104">
        <v>0</v>
      </c>
      <c r="AU104">
        <v>0</v>
      </c>
      <c r="AV104">
        <v>0</v>
      </c>
      <c r="AW104">
        <v>0</v>
      </c>
      <c r="AX104">
        <v>0</v>
      </c>
      <c r="AY104">
        <v>0</v>
      </c>
      <c r="AZ104" t="s">
        <v>106</v>
      </c>
      <c r="BA104" t="s">
        <v>95</v>
      </c>
      <c r="BB104" t="s">
        <v>154</v>
      </c>
      <c r="BC104" t="s">
        <v>907</v>
      </c>
      <c r="BD104" t="s">
        <v>107</v>
      </c>
      <c r="BE104" t="s">
        <v>108</v>
      </c>
      <c r="BF104" t="s">
        <v>286</v>
      </c>
      <c r="BG104" t="s">
        <v>235</v>
      </c>
      <c r="BH104">
        <v>85</v>
      </c>
      <c r="BY104" t="s">
        <v>110</v>
      </c>
      <c r="BZ104" t="s">
        <v>907</v>
      </c>
      <c r="CA104" t="s">
        <v>907</v>
      </c>
      <c r="CB104" t="s">
        <v>84</v>
      </c>
      <c r="CC104" t="s">
        <v>84</v>
      </c>
      <c r="CD104" t="s">
        <v>705</v>
      </c>
      <c r="CE104" t="s">
        <v>4250</v>
      </c>
      <c r="CF104" t="s">
        <v>706</v>
      </c>
      <c r="CG104" t="s">
        <v>907</v>
      </c>
      <c r="CH104">
        <v>3</v>
      </c>
      <c r="CI104" t="s">
        <v>95</v>
      </c>
      <c r="CJ104" t="s">
        <v>907</v>
      </c>
      <c r="CK104" t="s">
        <v>289</v>
      </c>
      <c r="CL104" t="s">
        <v>4262</v>
      </c>
      <c r="CM104" t="s">
        <v>193</v>
      </c>
      <c r="CN104" t="s">
        <v>3886</v>
      </c>
      <c r="CO104" t="s">
        <v>95</v>
      </c>
      <c r="CP104" t="s">
        <v>907</v>
      </c>
      <c r="CQ104" t="s">
        <v>116</v>
      </c>
      <c r="CR104" t="s">
        <v>84</v>
      </c>
      <c r="CS104" t="s">
        <v>117</v>
      </c>
      <c r="CT104" t="s">
        <v>163</v>
      </c>
      <c r="CU104" t="s">
        <v>3869</v>
      </c>
      <c r="CV104" t="s">
        <v>119</v>
      </c>
      <c r="CW104" t="s">
        <v>168</v>
      </c>
      <c r="CX104" t="s">
        <v>166</v>
      </c>
      <c r="CY104" t="s">
        <v>549</v>
      </c>
      <c r="CZ104" t="s">
        <v>707</v>
      </c>
      <c r="DA104">
        <v>0</v>
      </c>
      <c r="DB104" s="10">
        <v>0</v>
      </c>
      <c r="DC104" t="s">
        <v>169</v>
      </c>
      <c r="DD104" t="s">
        <v>907</v>
      </c>
      <c r="DE104">
        <v>6</v>
      </c>
      <c r="DF104">
        <v>16</v>
      </c>
      <c r="DG104" t="s">
        <v>95</v>
      </c>
      <c r="DH104" t="s">
        <v>95</v>
      </c>
      <c r="DI104" t="s">
        <v>907</v>
      </c>
      <c r="DJ104" t="s">
        <v>907</v>
      </c>
      <c r="DK104" t="s">
        <v>907</v>
      </c>
      <c r="DL104" t="s">
        <v>907</v>
      </c>
      <c r="DM104" t="s">
        <v>125</v>
      </c>
      <c r="DN104" t="s">
        <v>170</v>
      </c>
      <c r="DO104" t="s">
        <v>533</v>
      </c>
      <c r="DP104">
        <v>5</v>
      </c>
      <c r="DQ104" t="s">
        <v>128</v>
      </c>
      <c r="DR104" t="s">
        <v>907</v>
      </c>
      <c r="DS104" t="s">
        <v>172</v>
      </c>
      <c r="DT104" t="s">
        <v>636</v>
      </c>
      <c r="DU104" t="s">
        <v>84</v>
      </c>
      <c r="DV104" t="s">
        <v>561</v>
      </c>
      <c r="DW104" t="s">
        <v>533</v>
      </c>
      <c r="DX104" t="s">
        <v>95</v>
      </c>
      <c r="FQ104">
        <v>565909022</v>
      </c>
      <c r="FR104" t="s">
        <v>708</v>
      </c>
      <c r="FS104" s="1">
        <v>45924.644861111112</v>
      </c>
      <c r="FV104" t="s">
        <v>134</v>
      </c>
      <c r="FW104" t="s">
        <v>135</v>
      </c>
      <c r="FX104" t="s">
        <v>136</v>
      </c>
      <c r="FZ104">
        <v>160</v>
      </c>
    </row>
    <row r="105" spans="1:182" hidden="1" x14ac:dyDescent="0.3">
      <c r="A105" s="1">
        <v>45929.55025172454</v>
      </c>
      <c r="B105" s="1">
        <v>45929.56713210648</v>
      </c>
      <c r="D105" t="s">
        <v>84</v>
      </c>
      <c r="E105" t="s">
        <v>901</v>
      </c>
      <c r="F105" t="s">
        <v>3449</v>
      </c>
      <c r="G105" t="s">
        <v>176</v>
      </c>
      <c r="H105" t="s">
        <v>4122</v>
      </c>
      <c r="I105" t="s">
        <v>3450</v>
      </c>
      <c r="J105" t="s">
        <v>3451</v>
      </c>
      <c r="K105" t="s">
        <v>90</v>
      </c>
      <c r="L105" t="s">
        <v>4088</v>
      </c>
      <c r="M105" t="s">
        <v>277</v>
      </c>
      <c r="N105" t="s">
        <v>3452</v>
      </c>
      <c r="O105">
        <v>-15.395848300000001</v>
      </c>
      <c r="P105">
        <v>23.0407367</v>
      </c>
      <c r="Q105">
        <v>1025.9000000000001</v>
      </c>
      <c r="R105">
        <v>4.7</v>
      </c>
      <c r="S105" t="s">
        <v>84</v>
      </c>
      <c r="T105" t="s">
        <v>182</v>
      </c>
      <c r="U105">
        <v>11</v>
      </c>
      <c r="V105" t="s">
        <v>95</v>
      </c>
      <c r="W105" t="s">
        <v>907</v>
      </c>
      <c r="X105">
        <v>15</v>
      </c>
      <c r="Y105">
        <v>5</v>
      </c>
      <c r="Z105">
        <v>1</v>
      </c>
      <c r="AA105" t="s">
        <v>96</v>
      </c>
      <c r="AB105" t="s">
        <v>351</v>
      </c>
      <c r="AC105" t="s">
        <v>98</v>
      </c>
      <c r="AD105" t="s">
        <v>99</v>
      </c>
      <c r="AE105" t="s">
        <v>101</v>
      </c>
      <c r="AF105" t="s">
        <v>907</v>
      </c>
      <c r="AG105">
        <v>250</v>
      </c>
      <c r="AH105" t="s">
        <v>3873</v>
      </c>
      <c r="AI105" t="s">
        <v>907</v>
      </c>
      <c r="AJ105" t="s">
        <v>907</v>
      </c>
      <c r="AK105" t="s">
        <v>102</v>
      </c>
      <c r="AL105" t="s">
        <v>907</v>
      </c>
      <c r="AM105" t="s">
        <v>4130</v>
      </c>
      <c r="AN105" t="s">
        <v>907</v>
      </c>
      <c r="AQ105" t="s">
        <v>508</v>
      </c>
      <c r="AR105" t="s">
        <v>95</v>
      </c>
      <c r="AS105">
        <v>0</v>
      </c>
      <c r="AT105">
        <v>0</v>
      </c>
      <c r="AU105">
        <v>0</v>
      </c>
      <c r="AV105">
        <v>0</v>
      </c>
      <c r="AW105">
        <v>0</v>
      </c>
      <c r="AX105">
        <v>0</v>
      </c>
      <c r="AY105">
        <v>0</v>
      </c>
      <c r="AZ105" t="s">
        <v>929</v>
      </c>
      <c r="BA105" t="s">
        <v>95</v>
      </c>
      <c r="BB105" t="s">
        <v>308</v>
      </c>
      <c r="BC105" t="s">
        <v>907</v>
      </c>
      <c r="BD105" t="s">
        <v>107</v>
      </c>
      <c r="BE105" t="s">
        <v>258</v>
      </c>
      <c r="BF105" t="s">
        <v>3453</v>
      </c>
      <c r="BG105" t="s">
        <v>156</v>
      </c>
      <c r="BH105">
        <v>49</v>
      </c>
      <c r="BL105">
        <v>34</v>
      </c>
      <c r="BN105">
        <v>0</v>
      </c>
      <c r="BP105">
        <v>5</v>
      </c>
      <c r="BR105">
        <v>0</v>
      </c>
      <c r="BT105">
        <v>2</v>
      </c>
      <c r="BV105">
        <v>0</v>
      </c>
      <c r="BX105">
        <v>8</v>
      </c>
      <c r="BY105" t="s">
        <v>110</v>
      </c>
      <c r="BZ105" t="s">
        <v>907</v>
      </c>
      <c r="CA105" t="s">
        <v>907</v>
      </c>
      <c r="CB105" t="s">
        <v>84</v>
      </c>
      <c r="CC105" t="s">
        <v>84</v>
      </c>
      <c r="CD105" t="s">
        <v>334</v>
      </c>
      <c r="CE105" t="s">
        <v>4252</v>
      </c>
      <c r="CF105" t="s">
        <v>3454</v>
      </c>
      <c r="CG105" t="s">
        <v>907</v>
      </c>
      <c r="CH105">
        <v>3</v>
      </c>
      <c r="CI105" t="s">
        <v>84</v>
      </c>
      <c r="CJ105" t="s">
        <v>546</v>
      </c>
      <c r="CK105" t="s">
        <v>289</v>
      </c>
      <c r="CL105" t="s">
        <v>263</v>
      </c>
      <c r="CM105" t="s">
        <v>193</v>
      </c>
      <c r="CN105" t="s">
        <v>194</v>
      </c>
      <c r="CO105" t="s">
        <v>95</v>
      </c>
      <c r="CP105" t="s">
        <v>907</v>
      </c>
      <c r="CQ105" t="s">
        <v>116</v>
      </c>
      <c r="CR105" t="s">
        <v>84</v>
      </c>
      <c r="CS105" t="s">
        <v>117</v>
      </c>
      <c r="CT105" t="s">
        <v>163</v>
      </c>
      <c r="CU105" t="s">
        <v>3869</v>
      </c>
      <c r="CV105" t="s">
        <v>812</v>
      </c>
      <c r="CW105" t="s">
        <v>1958</v>
      </c>
      <c r="CX105" t="s">
        <v>166</v>
      </c>
      <c r="CY105" t="s">
        <v>167</v>
      </c>
      <c r="CZ105" t="s">
        <v>794</v>
      </c>
      <c r="DA105">
        <v>0</v>
      </c>
      <c r="DB105" s="10">
        <v>0</v>
      </c>
      <c r="DC105" t="s">
        <v>169</v>
      </c>
      <c r="DD105" t="s">
        <v>907</v>
      </c>
      <c r="DE105">
        <v>3</v>
      </c>
      <c r="DF105">
        <v>15</v>
      </c>
      <c r="DG105" t="s">
        <v>95</v>
      </c>
      <c r="DH105" t="s">
        <v>95</v>
      </c>
      <c r="DI105" t="s">
        <v>907</v>
      </c>
      <c r="DJ105" t="s">
        <v>907</v>
      </c>
      <c r="DK105" t="s">
        <v>907</v>
      </c>
      <c r="DL105" t="s">
        <v>907</v>
      </c>
      <c r="DM105" t="s">
        <v>291</v>
      </c>
      <c r="DN105" t="s">
        <v>907</v>
      </c>
      <c r="DO105" t="s">
        <v>907</v>
      </c>
      <c r="DP105">
        <v>0</v>
      </c>
      <c r="DQ105" t="s">
        <v>202</v>
      </c>
      <c r="DR105" t="s">
        <v>907</v>
      </c>
      <c r="DS105" t="s">
        <v>996</v>
      </c>
      <c r="DT105" t="s">
        <v>3431</v>
      </c>
      <c r="DU105" t="s">
        <v>84</v>
      </c>
      <c r="DV105" t="s">
        <v>532</v>
      </c>
      <c r="DW105" t="s">
        <v>3009</v>
      </c>
      <c r="DX105" t="s">
        <v>95</v>
      </c>
      <c r="FQ105">
        <v>569778210</v>
      </c>
      <c r="FR105" t="s">
        <v>3455</v>
      </c>
      <c r="FS105" s="1">
        <v>45930.257291666669</v>
      </c>
      <c r="FV105" t="s">
        <v>134</v>
      </c>
      <c r="FW105" t="s">
        <v>135</v>
      </c>
      <c r="FX105" t="s">
        <v>136</v>
      </c>
      <c r="FZ105">
        <v>547</v>
      </c>
    </row>
    <row r="106" spans="1:182" hidden="1" x14ac:dyDescent="0.3">
      <c r="A106" s="1">
        <v>45930.376968668977</v>
      </c>
      <c r="B106" s="1">
        <v>45930.421266527781</v>
      </c>
      <c r="D106" t="s">
        <v>84</v>
      </c>
      <c r="E106" t="s">
        <v>1878</v>
      </c>
      <c r="F106" t="s">
        <v>3497</v>
      </c>
      <c r="G106" t="s">
        <v>176</v>
      </c>
      <c r="H106" t="s">
        <v>4122</v>
      </c>
      <c r="I106" t="s">
        <v>3498</v>
      </c>
      <c r="J106" t="s">
        <v>3499</v>
      </c>
      <c r="K106" t="s">
        <v>90</v>
      </c>
      <c r="L106" t="s">
        <v>3500</v>
      </c>
      <c r="M106" t="s">
        <v>3501</v>
      </c>
      <c r="N106" t="s">
        <v>3502</v>
      </c>
      <c r="O106">
        <v>-15.242420299999999</v>
      </c>
      <c r="P106">
        <v>22.877427399999998</v>
      </c>
      <c r="Q106">
        <v>1026.9000000000001</v>
      </c>
      <c r="R106">
        <v>4.78</v>
      </c>
      <c r="S106" t="s">
        <v>84</v>
      </c>
      <c r="T106" t="s">
        <v>182</v>
      </c>
      <c r="U106">
        <v>8</v>
      </c>
      <c r="V106" t="s">
        <v>95</v>
      </c>
      <c r="W106" t="s">
        <v>907</v>
      </c>
      <c r="X106">
        <v>5</v>
      </c>
      <c r="Y106">
        <v>1</v>
      </c>
      <c r="Z106">
        <v>1</v>
      </c>
      <c r="AA106" t="s">
        <v>96</v>
      </c>
      <c r="AB106" t="s">
        <v>351</v>
      </c>
      <c r="AC106" t="s">
        <v>98</v>
      </c>
      <c r="AD106" t="s">
        <v>252</v>
      </c>
      <c r="AE106" t="s">
        <v>3503</v>
      </c>
      <c r="AF106" t="s">
        <v>907</v>
      </c>
      <c r="AG106">
        <v>400</v>
      </c>
      <c r="AH106" t="s">
        <v>3873</v>
      </c>
      <c r="AI106" t="s">
        <v>907</v>
      </c>
      <c r="AJ106" t="s">
        <v>907</v>
      </c>
      <c r="AK106" t="s">
        <v>148</v>
      </c>
      <c r="AL106" t="s">
        <v>907</v>
      </c>
      <c r="AM106" t="s">
        <v>4130</v>
      </c>
      <c r="AN106" t="s">
        <v>907</v>
      </c>
      <c r="AQ106" t="s">
        <v>466</v>
      </c>
      <c r="AR106" t="s">
        <v>95</v>
      </c>
      <c r="AS106">
        <v>0</v>
      </c>
      <c r="AT106">
        <v>0</v>
      </c>
      <c r="AU106">
        <v>0</v>
      </c>
      <c r="AV106">
        <v>0</v>
      </c>
      <c r="AW106">
        <v>0</v>
      </c>
      <c r="AX106">
        <v>0</v>
      </c>
      <c r="AY106">
        <v>0</v>
      </c>
      <c r="AZ106" t="s">
        <v>629</v>
      </c>
      <c r="BA106" t="s">
        <v>95</v>
      </c>
      <c r="BB106" t="s">
        <v>308</v>
      </c>
      <c r="BC106" t="s">
        <v>907</v>
      </c>
      <c r="BD106" t="s">
        <v>107</v>
      </c>
      <c r="BE106" t="s">
        <v>363</v>
      </c>
      <c r="BF106" t="s">
        <v>3504</v>
      </c>
      <c r="BG106" t="s">
        <v>235</v>
      </c>
      <c r="BH106">
        <v>52</v>
      </c>
      <c r="BL106">
        <v>15</v>
      </c>
      <c r="BN106">
        <v>2</v>
      </c>
      <c r="BP106">
        <v>9</v>
      </c>
      <c r="BR106">
        <v>11</v>
      </c>
      <c r="BT106">
        <v>5</v>
      </c>
      <c r="BV106">
        <v>0</v>
      </c>
      <c r="BX106">
        <v>10</v>
      </c>
      <c r="BY106" t="s">
        <v>110</v>
      </c>
      <c r="BZ106" t="s">
        <v>907</v>
      </c>
      <c r="CA106" t="s">
        <v>907</v>
      </c>
      <c r="CB106" t="s">
        <v>84</v>
      </c>
      <c r="CC106" t="s">
        <v>84</v>
      </c>
      <c r="CD106" t="s">
        <v>3505</v>
      </c>
      <c r="CE106" t="s">
        <v>4249</v>
      </c>
      <c r="CF106" t="s">
        <v>3506</v>
      </c>
      <c r="CG106" t="s">
        <v>907</v>
      </c>
      <c r="CH106">
        <v>3</v>
      </c>
      <c r="CI106" t="s">
        <v>84</v>
      </c>
      <c r="CJ106" t="s">
        <v>405</v>
      </c>
      <c r="CK106" t="s">
        <v>289</v>
      </c>
      <c r="CL106" t="s">
        <v>263</v>
      </c>
      <c r="CM106" t="s">
        <v>115</v>
      </c>
      <c r="CN106" t="s">
        <v>3874</v>
      </c>
      <c r="CO106" t="s">
        <v>95</v>
      </c>
      <c r="CP106" t="s">
        <v>907</v>
      </c>
      <c r="CQ106" t="s">
        <v>116</v>
      </c>
      <c r="CR106" t="s">
        <v>95</v>
      </c>
      <c r="CS106" t="s">
        <v>907</v>
      </c>
      <c r="CT106" t="s">
        <v>907</v>
      </c>
      <c r="CU106" t="s">
        <v>907</v>
      </c>
      <c r="CV106" t="s">
        <v>290</v>
      </c>
      <c r="CW106" t="s">
        <v>907</v>
      </c>
      <c r="CX106" t="s">
        <v>907</v>
      </c>
      <c r="CY106" t="s">
        <v>907</v>
      </c>
      <c r="CZ106" t="s">
        <v>907</v>
      </c>
      <c r="DA106" t="s">
        <v>907</v>
      </c>
      <c r="DB106" t="s">
        <v>907</v>
      </c>
      <c r="DC106" t="s">
        <v>907</v>
      </c>
      <c r="DD106" t="s">
        <v>907</v>
      </c>
      <c r="DE106" t="s">
        <v>907</v>
      </c>
      <c r="DF106" t="s">
        <v>907</v>
      </c>
      <c r="DG106" t="s">
        <v>84</v>
      </c>
      <c r="DH106" t="s">
        <v>95</v>
      </c>
      <c r="DI106" t="s">
        <v>907</v>
      </c>
      <c r="DJ106" t="s">
        <v>907</v>
      </c>
      <c r="DK106" t="s">
        <v>907</v>
      </c>
      <c r="DL106" t="s">
        <v>907</v>
      </c>
      <c r="DM106" t="s">
        <v>291</v>
      </c>
      <c r="DN106" t="s">
        <v>907</v>
      </c>
      <c r="DO106" t="s">
        <v>907</v>
      </c>
      <c r="DP106">
        <v>1</v>
      </c>
      <c r="DQ106" t="s">
        <v>128</v>
      </c>
      <c r="DR106" t="s">
        <v>907</v>
      </c>
      <c r="DS106" t="s">
        <v>813</v>
      </c>
      <c r="DT106" t="s">
        <v>650</v>
      </c>
      <c r="DU106" t="s">
        <v>95</v>
      </c>
      <c r="DV106" t="s">
        <v>907</v>
      </c>
      <c r="DW106" t="s">
        <v>907</v>
      </c>
      <c r="DX106" t="s">
        <v>907</v>
      </c>
      <c r="FQ106">
        <v>569916627</v>
      </c>
      <c r="FR106" t="s">
        <v>3507</v>
      </c>
      <c r="FS106" s="1">
        <v>45930.394965277781</v>
      </c>
      <c r="FV106" t="s">
        <v>134</v>
      </c>
      <c r="FW106" t="s">
        <v>135</v>
      </c>
      <c r="FX106" t="s">
        <v>136</v>
      </c>
      <c r="FZ106">
        <v>554</v>
      </c>
    </row>
    <row r="107" spans="1:182" x14ac:dyDescent="0.3">
      <c r="A107" s="1">
        <v>45924.683312280089</v>
      </c>
      <c r="B107" s="1">
        <v>45924.727040532409</v>
      </c>
      <c r="D107" t="s">
        <v>84</v>
      </c>
      <c r="E107" t="s">
        <v>535</v>
      </c>
      <c r="F107" t="s">
        <v>614</v>
      </c>
      <c r="G107" t="s">
        <v>176</v>
      </c>
      <c r="H107" t="s">
        <v>4122</v>
      </c>
      <c r="I107" t="s">
        <v>615</v>
      </c>
      <c r="J107" t="s">
        <v>616</v>
      </c>
      <c r="K107" t="s">
        <v>90</v>
      </c>
      <c r="L107" t="s">
        <v>539</v>
      </c>
      <c r="M107" t="s">
        <v>540</v>
      </c>
      <c r="N107" t="s">
        <v>617</v>
      </c>
      <c r="O107">
        <v>-15.2972614</v>
      </c>
      <c r="P107">
        <v>23.1460431</v>
      </c>
      <c r="Q107">
        <v>1062.105590820312</v>
      </c>
      <c r="R107">
        <v>3.88</v>
      </c>
      <c r="S107" t="s">
        <v>84</v>
      </c>
      <c r="T107" t="s">
        <v>182</v>
      </c>
      <c r="U107">
        <v>8</v>
      </c>
      <c r="V107" t="s">
        <v>95</v>
      </c>
      <c r="W107" t="s">
        <v>907</v>
      </c>
      <c r="X107">
        <v>25</v>
      </c>
      <c r="Y107">
        <v>30</v>
      </c>
      <c r="Z107">
        <v>1.5</v>
      </c>
      <c r="AA107" t="s">
        <v>96</v>
      </c>
      <c r="AB107" t="s">
        <v>351</v>
      </c>
      <c r="AC107" t="s">
        <v>98</v>
      </c>
      <c r="AD107" t="s">
        <v>99</v>
      </c>
      <c r="AE107" t="s">
        <v>100</v>
      </c>
      <c r="AF107" t="s">
        <v>907</v>
      </c>
      <c r="AG107">
        <v>0</v>
      </c>
      <c r="AH107" t="s">
        <v>100</v>
      </c>
      <c r="AI107" t="s">
        <v>907</v>
      </c>
      <c r="AJ107" s="5">
        <v>0</v>
      </c>
      <c r="AK107" t="s">
        <v>102</v>
      </c>
      <c r="AL107" t="s">
        <v>907</v>
      </c>
      <c r="AM107" t="s">
        <v>253</v>
      </c>
      <c r="AN107" t="s">
        <v>907</v>
      </c>
      <c r="AO107" t="s">
        <v>618</v>
      </c>
      <c r="AP107">
        <v>0</v>
      </c>
      <c r="AQ107" t="s">
        <v>320</v>
      </c>
      <c r="AR107" t="s">
        <v>95</v>
      </c>
      <c r="AS107">
        <v>0</v>
      </c>
      <c r="AT107">
        <v>40</v>
      </c>
      <c r="AU107">
        <v>0</v>
      </c>
      <c r="AV107">
        <v>0</v>
      </c>
      <c r="AW107">
        <v>0</v>
      </c>
      <c r="AX107">
        <v>0</v>
      </c>
      <c r="AY107">
        <v>0</v>
      </c>
      <c r="AZ107" t="s">
        <v>284</v>
      </c>
      <c r="BA107" t="s">
        <v>95</v>
      </c>
      <c r="BB107" t="s">
        <v>154</v>
      </c>
      <c r="BC107" t="s">
        <v>907</v>
      </c>
      <c r="BD107" t="s">
        <v>107</v>
      </c>
      <c r="BE107" t="s">
        <v>108</v>
      </c>
      <c r="BF107" t="s">
        <v>309</v>
      </c>
      <c r="BG107" t="s">
        <v>235</v>
      </c>
      <c r="BH107">
        <v>120</v>
      </c>
      <c r="BY107" t="s">
        <v>110</v>
      </c>
      <c r="BZ107" t="s">
        <v>907</v>
      </c>
      <c r="CA107" t="s">
        <v>907</v>
      </c>
      <c r="CB107" t="s">
        <v>84</v>
      </c>
      <c r="CC107" t="s">
        <v>84</v>
      </c>
      <c r="CD107" t="s">
        <v>545</v>
      </c>
      <c r="CE107" t="s">
        <v>4250</v>
      </c>
      <c r="CF107" t="s">
        <v>3891</v>
      </c>
      <c r="CG107" t="s">
        <v>907</v>
      </c>
      <c r="CH107">
        <v>3</v>
      </c>
      <c r="CI107" t="s">
        <v>84</v>
      </c>
      <c r="CJ107" t="s">
        <v>262</v>
      </c>
      <c r="CK107" t="s">
        <v>289</v>
      </c>
      <c r="CL107" t="s">
        <v>619</v>
      </c>
      <c r="CM107" t="s">
        <v>193</v>
      </c>
      <c r="CN107" t="s">
        <v>3886</v>
      </c>
      <c r="CO107" t="s">
        <v>95</v>
      </c>
      <c r="CP107" t="s">
        <v>907</v>
      </c>
      <c r="CQ107" t="s">
        <v>116</v>
      </c>
      <c r="CR107" t="s">
        <v>84</v>
      </c>
      <c r="CS107" t="s">
        <v>117</v>
      </c>
      <c r="CT107" t="s">
        <v>163</v>
      </c>
      <c r="CU107" t="s">
        <v>3869</v>
      </c>
      <c r="CV107" t="s">
        <v>119</v>
      </c>
      <c r="CW107" t="s">
        <v>559</v>
      </c>
      <c r="CX107" t="s">
        <v>166</v>
      </c>
      <c r="CY107" t="s">
        <v>549</v>
      </c>
      <c r="CZ107" t="s">
        <v>512</v>
      </c>
      <c r="DA107">
        <v>0</v>
      </c>
      <c r="DB107" s="10">
        <v>0</v>
      </c>
      <c r="DC107" t="s">
        <v>169</v>
      </c>
      <c r="DD107" t="s">
        <v>907</v>
      </c>
      <c r="DE107">
        <v>3</v>
      </c>
      <c r="DF107">
        <v>7</v>
      </c>
      <c r="DG107" t="s">
        <v>95</v>
      </c>
      <c r="DH107" t="s">
        <v>95</v>
      </c>
      <c r="DI107" t="s">
        <v>907</v>
      </c>
      <c r="DJ107" t="s">
        <v>907</v>
      </c>
      <c r="DK107" t="s">
        <v>907</v>
      </c>
      <c r="DL107" t="s">
        <v>907</v>
      </c>
      <c r="DM107" t="s">
        <v>125</v>
      </c>
      <c r="DN107" t="s">
        <v>620</v>
      </c>
      <c r="DO107" t="s">
        <v>560</v>
      </c>
      <c r="DP107">
        <v>3</v>
      </c>
      <c r="DQ107" t="s">
        <v>128</v>
      </c>
      <c r="DR107" t="s">
        <v>907</v>
      </c>
      <c r="DS107" t="s">
        <v>551</v>
      </c>
      <c r="DT107" t="s">
        <v>621</v>
      </c>
      <c r="DU107" t="s">
        <v>84</v>
      </c>
      <c r="DV107" t="s">
        <v>622</v>
      </c>
      <c r="DW107" t="s">
        <v>533</v>
      </c>
      <c r="DX107" t="s">
        <v>95</v>
      </c>
      <c r="FQ107">
        <v>565908930</v>
      </c>
      <c r="FR107" t="s">
        <v>623</v>
      </c>
      <c r="FS107" s="1">
        <v>45924.644791666673</v>
      </c>
      <c r="FV107" t="s">
        <v>134</v>
      </c>
      <c r="FW107" t="s">
        <v>135</v>
      </c>
      <c r="FX107" t="s">
        <v>136</v>
      </c>
      <c r="FZ107">
        <v>153</v>
      </c>
    </row>
    <row r="108" spans="1:182" hidden="1" x14ac:dyDescent="0.3">
      <c r="A108" s="1">
        <v>45925.417446284722</v>
      </c>
      <c r="B108" s="1">
        <v>45925.438773784721</v>
      </c>
      <c r="D108" t="s">
        <v>84</v>
      </c>
      <c r="E108" t="s">
        <v>901</v>
      </c>
      <c r="F108" t="s">
        <v>1670</v>
      </c>
      <c r="G108" t="s">
        <v>176</v>
      </c>
      <c r="H108" t="s">
        <v>4121</v>
      </c>
      <c r="I108" t="s">
        <v>1671</v>
      </c>
      <c r="J108" t="s">
        <v>1672</v>
      </c>
      <c r="K108" t="s">
        <v>90</v>
      </c>
      <c r="L108" t="s">
        <v>3946</v>
      </c>
      <c r="M108" t="s">
        <v>277</v>
      </c>
      <c r="N108" t="s">
        <v>1673</v>
      </c>
      <c r="O108">
        <v>-15.364418300000001</v>
      </c>
      <c r="P108">
        <v>23.165351699999999</v>
      </c>
      <c r="Q108">
        <v>1010.8</v>
      </c>
      <c r="R108">
        <v>4.8</v>
      </c>
      <c r="S108" t="s">
        <v>95</v>
      </c>
      <c r="T108" t="s">
        <v>907</v>
      </c>
      <c r="U108" t="s">
        <v>907</v>
      </c>
      <c r="V108" t="s">
        <v>95</v>
      </c>
      <c r="W108" t="s">
        <v>907</v>
      </c>
      <c r="X108">
        <v>24</v>
      </c>
      <c r="Y108">
        <v>3</v>
      </c>
      <c r="Z108">
        <v>3</v>
      </c>
      <c r="AA108" t="s">
        <v>96</v>
      </c>
      <c r="AB108" t="s">
        <v>351</v>
      </c>
      <c r="AC108" t="s">
        <v>98</v>
      </c>
      <c r="AD108" t="s">
        <v>520</v>
      </c>
      <c r="AE108" t="s">
        <v>146</v>
      </c>
      <c r="AF108" t="s">
        <v>907</v>
      </c>
      <c r="AG108">
        <v>2000</v>
      </c>
      <c r="AH108" t="s">
        <v>100</v>
      </c>
      <c r="AI108" t="s">
        <v>907</v>
      </c>
      <c r="AJ108" s="5">
        <v>20000</v>
      </c>
      <c r="AK108" t="s">
        <v>148</v>
      </c>
      <c r="AL108" t="s">
        <v>907</v>
      </c>
      <c r="AM108" t="s">
        <v>253</v>
      </c>
      <c r="AN108" t="s">
        <v>907</v>
      </c>
      <c r="AO108" t="s">
        <v>1674</v>
      </c>
      <c r="AP108" t="s">
        <v>1675</v>
      </c>
      <c r="AQ108" t="s">
        <v>1620</v>
      </c>
      <c r="AR108" t="s">
        <v>95</v>
      </c>
      <c r="AS108">
        <v>0</v>
      </c>
      <c r="AT108">
        <v>20</v>
      </c>
      <c r="AU108">
        <v>0</v>
      </c>
      <c r="AV108">
        <v>0</v>
      </c>
      <c r="AW108">
        <v>30</v>
      </c>
      <c r="AX108">
        <v>0</v>
      </c>
      <c r="AY108">
        <v>0</v>
      </c>
      <c r="AZ108" t="s">
        <v>106</v>
      </c>
      <c r="BA108" t="s">
        <v>95</v>
      </c>
      <c r="BB108" t="s">
        <v>308</v>
      </c>
      <c r="BC108" t="s">
        <v>907</v>
      </c>
      <c r="BD108" t="s">
        <v>107</v>
      </c>
      <c r="BE108" t="s">
        <v>258</v>
      </c>
      <c r="BF108" t="s">
        <v>1676</v>
      </c>
      <c r="BG108" t="s">
        <v>156</v>
      </c>
      <c r="BH108">
        <v>43</v>
      </c>
      <c r="BL108">
        <v>24</v>
      </c>
      <c r="BN108">
        <v>2</v>
      </c>
      <c r="BP108">
        <v>0</v>
      </c>
      <c r="BR108">
        <v>0</v>
      </c>
      <c r="BT108">
        <v>8</v>
      </c>
      <c r="BV108">
        <v>3</v>
      </c>
      <c r="BX108">
        <v>6</v>
      </c>
      <c r="BY108" t="s">
        <v>189</v>
      </c>
      <c r="BZ108">
        <v>3</v>
      </c>
      <c r="CA108">
        <v>34</v>
      </c>
      <c r="CB108" t="s">
        <v>84</v>
      </c>
      <c r="CC108" t="s">
        <v>84</v>
      </c>
      <c r="CD108" t="s">
        <v>334</v>
      </c>
      <c r="CE108" t="s">
        <v>4252</v>
      </c>
      <c r="CF108" t="s">
        <v>1621</v>
      </c>
      <c r="CG108" t="s">
        <v>907</v>
      </c>
      <c r="CH108">
        <v>3</v>
      </c>
      <c r="CI108" t="s">
        <v>84</v>
      </c>
      <c r="CJ108" t="s">
        <v>405</v>
      </c>
      <c r="CK108" t="s">
        <v>289</v>
      </c>
      <c r="CL108" t="s">
        <v>895</v>
      </c>
      <c r="CM108" t="s">
        <v>193</v>
      </c>
      <c r="CN108" t="s">
        <v>421</v>
      </c>
      <c r="CO108" t="s">
        <v>95</v>
      </c>
      <c r="CP108" t="s">
        <v>907</v>
      </c>
      <c r="CQ108" t="s">
        <v>116</v>
      </c>
      <c r="CR108" t="s">
        <v>84</v>
      </c>
      <c r="CS108" t="s">
        <v>117</v>
      </c>
      <c r="CT108" t="s">
        <v>163</v>
      </c>
      <c r="CU108" t="s">
        <v>793</v>
      </c>
      <c r="CV108" t="s">
        <v>119</v>
      </c>
      <c r="CW108" t="s">
        <v>916</v>
      </c>
      <c r="CX108" t="s">
        <v>119</v>
      </c>
      <c r="CY108" t="s">
        <v>121</v>
      </c>
      <c r="CZ108" t="s">
        <v>696</v>
      </c>
      <c r="DA108">
        <v>0</v>
      </c>
      <c r="DB108" s="10">
        <v>0</v>
      </c>
      <c r="DC108" t="s">
        <v>169</v>
      </c>
      <c r="DD108" t="s">
        <v>907</v>
      </c>
      <c r="DE108">
        <v>10</v>
      </c>
      <c r="DF108">
        <v>12</v>
      </c>
      <c r="DG108" t="s">
        <v>95</v>
      </c>
      <c r="DH108" t="s">
        <v>95</v>
      </c>
      <c r="DI108" t="s">
        <v>907</v>
      </c>
      <c r="DJ108" t="s">
        <v>907</v>
      </c>
      <c r="DK108" t="s">
        <v>907</v>
      </c>
      <c r="DL108" t="s">
        <v>907</v>
      </c>
      <c r="DM108" t="s">
        <v>291</v>
      </c>
      <c r="DN108" t="s">
        <v>907</v>
      </c>
      <c r="DO108" t="s">
        <v>907</v>
      </c>
      <c r="DP108">
        <v>5</v>
      </c>
      <c r="DQ108" t="s">
        <v>441</v>
      </c>
      <c r="DR108" t="s">
        <v>907</v>
      </c>
      <c r="DS108" t="s">
        <v>1677</v>
      </c>
      <c r="DT108" t="s">
        <v>863</v>
      </c>
      <c r="DU108" t="s">
        <v>84</v>
      </c>
      <c r="DV108" t="s">
        <v>294</v>
      </c>
      <c r="DW108" t="s">
        <v>533</v>
      </c>
      <c r="DX108" t="s">
        <v>95</v>
      </c>
      <c r="FQ108">
        <v>566741405</v>
      </c>
      <c r="FR108" t="s">
        <v>1678</v>
      </c>
      <c r="FS108" s="1">
        <v>45925.627199074072</v>
      </c>
      <c r="FV108" t="s">
        <v>134</v>
      </c>
      <c r="FW108" t="s">
        <v>135</v>
      </c>
      <c r="FX108" t="s">
        <v>136</v>
      </c>
      <c r="FZ108">
        <v>263</v>
      </c>
    </row>
    <row r="109" spans="1:182" hidden="1" x14ac:dyDescent="0.3">
      <c r="A109" s="1">
        <v>45925.508974999997</v>
      </c>
      <c r="B109" s="1">
        <v>45925.525726122687</v>
      </c>
      <c r="D109" t="s">
        <v>84</v>
      </c>
      <c r="E109" t="s">
        <v>901</v>
      </c>
      <c r="F109" t="s">
        <v>1717</v>
      </c>
      <c r="G109" t="s">
        <v>176</v>
      </c>
      <c r="H109" t="s">
        <v>4122</v>
      </c>
      <c r="I109" t="s">
        <v>1718</v>
      </c>
      <c r="J109" t="s">
        <v>1719</v>
      </c>
      <c r="K109" t="s">
        <v>90</v>
      </c>
      <c r="L109" t="s">
        <v>3958</v>
      </c>
      <c r="M109" t="s">
        <v>277</v>
      </c>
      <c r="N109" t="s">
        <v>1720</v>
      </c>
      <c r="O109">
        <v>-15.3582967</v>
      </c>
      <c r="P109">
        <v>23.155104999999999</v>
      </c>
      <c r="Q109">
        <v>994.59999999999991</v>
      </c>
      <c r="R109">
        <v>6.95</v>
      </c>
      <c r="S109" t="s">
        <v>84</v>
      </c>
      <c r="T109" t="s">
        <v>182</v>
      </c>
      <c r="U109">
        <v>12</v>
      </c>
      <c r="V109" t="s">
        <v>95</v>
      </c>
      <c r="W109" t="s">
        <v>907</v>
      </c>
      <c r="X109">
        <v>27</v>
      </c>
      <c r="Y109">
        <v>9</v>
      </c>
      <c r="Z109">
        <v>6</v>
      </c>
      <c r="AA109" t="s">
        <v>96</v>
      </c>
      <c r="AB109" t="s">
        <v>351</v>
      </c>
      <c r="AC109" t="s">
        <v>98</v>
      </c>
      <c r="AD109" t="s">
        <v>520</v>
      </c>
      <c r="AE109" t="s">
        <v>100</v>
      </c>
      <c r="AF109" t="s">
        <v>907</v>
      </c>
      <c r="AG109">
        <v>15000</v>
      </c>
      <c r="AH109" t="s">
        <v>1721</v>
      </c>
      <c r="AI109" t="s">
        <v>907</v>
      </c>
      <c r="AJ109" s="5">
        <v>300</v>
      </c>
      <c r="AK109" t="s">
        <v>102</v>
      </c>
      <c r="AL109" t="s">
        <v>907</v>
      </c>
      <c r="AM109" t="s">
        <v>253</v>
      </c>
      <c r="AN109" t="s">
        <v>907</v>
      </c>
      <c r="AO109" t="s">
        <v>267</v>
      </c>
      <c r="AP109" t="s">
        <v>1722</v>
      </c>
      <c r="AQ109" t="s">
        <v>1723</v>
      </c>
      <c r="AR109" t="s">
        <v>95</v>
      </c>
      <c r="AS109">
        <v>0</v>
      </c>
      <c r="AT109">
        <v>0</v>
      </c>
      <c r="AU109">
        <v>0</v>
      </c>
      <c r="AV109">
        <v>0</v>
      </c>
      <c r="AW109">
        <v>73</v>
      </c>
      <c r="AX109">
        <v>0</v>
      </c>
      <c r="AY109">
        <v>0</v>
      </c>
      <c r="AZ109" t="s">
        <v>106</v>
      </c>
      <c r="BA109" t="s">
        <v>95</v>
      </c>
      <c r="BB109" t="s">
        <v>308</v>
      </c>
      <c r="BC109" t="s">
        <v>907</v>
      </c>
      <c r="BD109" t="s">
        <v>107</v>
      </c>
      <c r="BE109" t="s">
        <v>258</v>
      </c>
      <c r="BF109" t="s">
        <v>1588</v>
      </c>
      <c r="BG109" t="s">
        <v>156</v>
      </c>
      <c r="BH109">
        <v>33</v>
      </c>
      <c r="BL109">
        <v>20</v>
      </c>
      <c r="BN109">
        <v>2</v>
      </c>
      <c r="BP109">
        <v>0</v>
      </c>
      <c r="BR109">
        <v>0</v>
      </c>
      <c r="BT109">
        <v>4</v>
      </c>
      <c r="BV109">
        <v>2</v>
      </c>
      <c r="BX109">
        <v>5</v>
      </c>
      <c r="BY109" t="s">
        <v>110</v>
      </c>
      <c r="BZ109" t="s">
        <v>907</v>
      </c>
      <c r="CA109" t="s">
        <v>907</v>
      </c>
      <c r="CB109" t="s">
        <v>84</v>
      </c>
      <c r="CC109" t="s">
        <v>84</v>
      </c>
      <c r="CD109" t="s">
        <v>334</v>
      </c>
      <c r="CE109" t="s">
        <v>4252</v>
      </c>
      <c r="CF109" t="s">
        <v>879</v>
      </c>
      <c r="CG109" t="s">
        <v>907</v>
      </c>
      <c r="CH109">
        <v>3</v>
      </c>
      <c r="CI109" t="s">
        <v>84</v>
      </c>
      <c r="CJ109" t="s">
        <v>160</v>
      </c>
      <c r="CK109" t="s">
        <v>113</v>
      </c>
      <c r="CL109" t="s">
        <v>4262</v>
      </c>
      <c r="CM109" t="s">
        <v>115</v>
      </c>
      <c r="CN109" t="s">
        <v>3874</v>
      </c>
      <c r="CO109" t="s">
        <v>95</v>
      </c>
      <c r="CP109" t="s">
        <v>907</v>
      </c>
      <c r="CQ109" t="s">
        <v>116</v>
      </c>
      <c r="CR109" t="s">
        <v>84</v>
      </c>
      <c r="CS109" t="s">
        <v>117</v>
      </c>
      <c r="CT109" t="s">
        <v>160</v>
      </c>
      <c r="CU109" t="s">
        <v>438</v>
      </c>
      <c r="CV109" t="s">
        <v>119</v>
      </c>
      <c r="CW109" t="s">
        <v>1724</v>
      </c>
      <c r="CX109" t="s">
        <v>166</v>
      </c>
      <c r="CY109" t="s">
        <v>167</v>
      </c>
      <c r="CZ109" t="s">
        <v>1725</v>
      </c>
      <c r="DA109">
        <v>0</v>
      </c>
      <c r="DB109" s="10">
        <v>0</v>
      </c>
      <c r="DC109" t="s">
        <v>169</v>
      </c>
      <c r="DD109" t="s">
        <v>907</v>
      </c>
      <c r="DE109">
        <v>1</v>
      </c>
      <c r="DF109">
        <v>12</v>
      </c>
      <c r="DG109" t="s">
        <v>95</v>
      </c>
      <c r="DH109" t="s">
        <v>95</v>
      </c>
      <c r="DI109" t="s">
        <v>907</v>
      </c>
      <c r="DJ109" t="s">
        <v>907</v>
      </c>
      <c r="DK109" t="s">
        <v>907</v>
      </c>
      <c r="DL109" t="s">
        <v>907</v>
      </c>
      <c r="DM109" t="s">
        <v>291</v>
      </c>
      <c r="DN109" t="s">
        <v>907</v>
      </c>
      <c r="DO109" t="s">
        <v>907</v>
      </c>
      <c r="DP109">
        <v>3</v>
      </c>
      <c r="DQ109" t="s">
        <v>128</v>
      </c>
      <c r="DR109" t="s">
        <v>907</v>
      </c>
      <c r="DS109" t="s">
        <v>898</v>
      </c>
      <c r="DT109" t="s">
        <v>946</v>
      </c>
      <c r="DU109" t="s">
        <v>84</v>
      </c>
      <c r="DV109" t="s">
        <v>131</v>
      </c>
      <c r="DW109" t="s">
        <v>933</v>
      </c>
      <c r="DX109" t="s">
        <v>95</v>
      </c>
      <c r="FQ109">
        <v>566741492</v>
      </c>
      <c r="FR109" t="s">
        <v>1726</v>
      </c>
      <c r="FS109" s="1">
        <v>45925.627256944441</v>
      </c>
      <c r="FV109" t="s">
        <v>134</v>
      </c>
      <c r="FW109" t="s">
        <v>135</v>
      </c>
      <c r="FX109" t="s">
        <v>136</v>
      </c>
      <c r="FZ109">
        <v>268</v>
      </c>
    </row>
    <row r="110" spans="1:182" hidden="1" x14ac:dyDescent="0.3">
      <c r="A110" s="1">
        <v>45924.610294629631</v>
      </c>
      <c r="B110" s="1">
        <v>45924.624931296297</v>
      </c>
      <c r="D110" t="s">
        <v>84</v>
      </c>
      <c r="E110" t="s">
        <v>535</v>
      </c>
      <c r="F110" t="s">
        <v>573</v>
      </c>
      <c r="G110" t="s">
        <v>176</v>
      </c>
      <c r="H110" t="s">
        <v>4122</v>
      </c>
      <c r="I110" t="s">
        <v>574</v>
      </c>
      <c r="J110" t="s">
        <v>575</v>
      </c>
      <c r="K110" t="s">
        <v>90</v>
      </c>
      <c r="L110" t="s">
        <v>539</v>
      </c>
      <c r="M110" t="s">
        <v>540</v>
      </c>
      <c r="N110" t="s">
        <v>576</v>
      </c>
      <c r="O110">
        <v>-15.345705600000001</v>
      </c>
      <c r="P110">
        <v>23.128868900000001</v>
      </c>
      <c r="Q110">
        <v>1032.73876953125</v>
      </c>
      <c r="R110">
        <v>4.9219999999999997</v>
      </c>
      <c r="S110" t="s">
        <v>84</v>
      </c>
      <c r="T110" t="s">
        <v>182</v>
      </c>
      <c r="U110">
        <v>8</v>
      </c>
      <c r="V110" t="s">
        <v>95</v>
      </c>
      <c r="W110" t="s">
        <v>907</v>
      </c>
      <c r="X110">
        <v>26</v>
      </c>
      <c r="Y110">
        <v>30</v>
      </c>
      <c r="Z110">
        <v>1.5</v>
      </c>
      <c r="AA110" t="s">
        <v>96</v>
      </c>
      <c r="AB110" t="s">
        <v>97</v>
      </c>
      <c r="AC110" t="s">
        <v>98</v>
      </c>
      <c r="AD110" t="s">
        <v>99</v>
      </c>
      <c r="AE110" t="s">
        <v>100</v>
      </c>
      <c r="AF110" t="s">
        <v>907</v>
      </c>
      <c r="AG110">
        <v>0</v>
      </c>
      <c r="AH110" t="s">
        <v>100</v>
      </c>
      <c r="AI110" t="s">
        <v>907</v>
      </c>
      <c r="AJ110" s="5">
        <v>0</v>
      </c>
      <c r="AK110" t="s">
        <v>102</v>
      </c>
      <c r="AL110" t="s">
        <v>907</v>
      </c>
      <c r="AM110" t="s">
        <v>543</v>
      </c>
      <c r="AN110" t="s">
        <v>907</v>
      </c>
      <c r="AO110" t="s">
        <v>577</v>
      </c>
      <c r="AP110">
        <v>0</v>
      </c>
      <c r="AQ110" t="s">
        <v>149</v>
      </c>
      <c r="AR110" t="s">
        <v>95</v>
      </c>
      <c r="AS110">
        <v>15</v>
      </c>
      <c r="AT110">
        <v>15</v>
      </c>
      <c r="AU110">
        <v>0</v>
      </c>
      <c r="AV110">
        <v>0</v>
      </c>
      <c r="AW110">
        <v>0</v>
      </c>
      <c r="AX110">
        <v>0</v>
      </c>
      <c r="AY110">
        <v>0</v>
      </c>
      <c r="AZ110" t="s">
        <v>284</v>
      </c>
      <c r="BA110" t="s">
        <v>95</v>
      </c>
      <c r="BB110" t="s">
        <v>154</v>
      </c>
      <c r="BC110" t="s">
        <v>907</v>
      </c>
      <c r="BD110" t="s">
        <v>107</v>
      </c>
      <c r="BE110" t="s">
        <v>108</v>
      </c>
      <c r="BF110" t="s">
        <v>309</v>
      </c>
      <c r="BG110" t="s">
        <v>235</v>
      </c>
      <c r="BH110">
        <v>25</v>
      </c>
      <c r="BY110" t="s">
        <v>110</v>
      </c>
      <c r="BZ110" t="s">
        <v>907</v>
      </c>
      <c r="CA110" t="s">
        <v>907</v>
      </c>
      <c r="CB110" t="s">
        <v>84</v>
      </c>
      <c r="CC110" t="s">
        <v>84</v>
      </c>
      <c r="CD110" t="s">
        <v>545</v>
      </c>
      <c r="CE110" t="s">
        <v>4250</v>
      </c>
      <c r="CF110" t="s">
        <v>3887</v>
      </c>
      <c r="CG110" t="s">
        <v>907</v>
      </c>
      <c r="CH110">
        <v>3</v>
      </c>
      <c r="CI110" t="s">
        <v>84</v>
      </c>
      <c r="CJ110" t="s">
        <v>546</v>
      </c>
      <c r="CK110" t="s">
        <v>289</v>
      </c>
      <c r="CL110" t="s">
        <v>4262</v>
      </c>
      <c r="CM110" t="s">
        <v>115</v>
      </c>
      <c r="CN110" t="s">
        <v>3883</v>
      </c>
      <c r="CO110" t="s">
        <v>95</v>
      </c>
      <c r="CP110" t="s">
        <v>907</v>
      </c>
      <c r="CQ110" t="s">
        <v>116</v>
      </c>
      <c r="CR110" t="s">
        <v>84</v>
      </c>
      <c r="CS110" t="s">
        <v>117</v>
      </c>
      <c r="CT110" t="s">
        <v>163</v>
      </c>
      <c r="CU110" t="s">
        <v>3869</v>
      </c>
      <c r="CV110" t="s">
        <v>119</v>
      </c>
      <c r="CW110" t="s">
        <v>168</v>
      </c>
      <c r="CX110" t="s">
        <v>166</v>
      </c>
      <c r="CY110" t="s">
        <v>549</v>
      </c>
      <c r="CZ110" t="s">
        <v>323</v>
      </c>
      <c r="DA110">
        <v>2</v>
      </c>
      <c r="DB110" s="10">
        <v>4000</v>
      </c>
      <c r="DC110" t="s">
        <v>169</v>
      </c>
      <c r="DD110" t="s">
        <v>907</v>
      </c>
      <c r="DE110">
        <v>4</v>
      </c>
      <c r="DF110">
        <v>16</v>
      </c>
      <c r="DG110" t="s">
        <v>95</v>
      </c>
      <c r="DH110" t="s">
        <v>95</v>
      </c>
      <c r="DI110" t="s">
        <v>907</v>
      </c>
      <c r="DJ110" t="s">
        <v>907</v>
      </c>
      <c r="DK110" t="s">
        <v>907</v>
      </c>
      <c r="DL110" t="s">
        <v>907</v>
      </c>
      <c r="DM110" t="s">
        <v>125</v>
      </c>
      <c r="DN110" t="s">
        <v>242</v>
      </c>
      <c r="DO110" t="s">
        <v>560</v>
      </c>
      <c r="DP110">
        <v>7</v>
      </c>
      <c r="DQ110" t="s">
        <v>128</v>
      </c>
      <c r="DR110" t="s">
        <v>907</v>
      </c>
      <c r="DS110" t="s">
        <v>551</v>
      </c>
      <c r="DT110" t="s">
        <v>571</v>
      </c>
      <c r="DU110" t="s">
        <v>84</v>
      </c>
      <c r="DV110" t="s">
        <v>225</v>
      </c>
      <c r="DW110" t="s">
        <v>578</v>
      </c>
      <c r="DX110" t="s">
        <v>95</v>
      </c>
      <c r="FQ110">
        <v>565908874</v>
      </c>
      <c r="FR110" t="s">
        <v>579</v>
      </c>
      <c r="FS110" s="1">
        <v>45924.644733796304</v>
      </c>
      <c r="FV110" t="s">
        <v>134</v>
      </c>
      <c r="FW110" t="s">
        <v>135</v>
      </c>
      <c r="FX110" t="s">
        <v>136</v>
      </c>
      <c r="FZ110">
        <v>149</v>
      </c>
    </row>
    <row r="111" spans="1:182" hidden="1" x14ac:dyDescent="0.3">
      <c r="A111" s="1">
        <v>45924.435476192128</v>
      </c>
      <c r="B111" s="1">
        <v>45924.448960243048</v>
      </c>
      <c r="D111" t="s">
        <v>84</v>
      </c>
      <c r="E111" t="s">
        <v>535</v>
      </c>
      <c r="F111" t="s">
        <v>624</v>
      </c>
      <c r="G111" t="s">
        <v>176</v>
      </c>
      <c r="H111" t="s">
        <v>4121</v>
      </c>
      <c r="I111" t="s">
        <v>625</v>
      </c>
      <c r="J111" t="s">
        <v>626</v>
      </c>
      <c r="K111" t="s">
        <v>90</v>
      </c>
      <c r="L111" t="s">
        <v>539</v>
      </c>
      <c r="M111" t="s">
        <v>141</v>
      </c>
      <c r="N111" t="s">
        <v>627</v>
      </c>
      <c r="O111">
        <v>-15.345637399999999</v>
      </c>
      <c r="P111">
        <v>23.1288178</v>
      </c>
      <c r="Q111">
        <v>1028.355590820312</v>
      </c>
      <c r="R111">
        <v>4.8970000000000002</v>
      </c>
      <c r="S111" t="s">
        <v>84</v>
      </c>
      <c r="T111" t="s">
        <v>182</v>
      </c>
      <c r="U111">
        <v>9</v>
      </c>
      <c r="V111" t="s">
        <v>95</v>
      </c>
      <c r="W111" t="s">
        <v>907</v>
      </c>
      <c r="X111">
        <v>30</v>
      </c>
      <c r="Y111">
        <v>50</v>
      </c>
      <c r="Z111">
        <v>2</v>
      </c>
      <c r="AA111" t="s">
        <v>96</v>
      </c>
      <c r="AB111" t="s">
        <v>97</v>
      </c>
      <c r="AC111" t="s">
        <v>98</v>
      </c>
      <c r="AD111" t="s">
        <v>99</v>
      </c>
      <c r="AE111" t="s">
        <v>100</v>
      </c>
      <c r="AF111" t="s">
        <v>907</v>
      </c>
      <c r="AG111">
        <v>0</v>
      </c>
      <c r="AH111" t="s">
        <v>214</v>
      </c>
      <c r="AI111" t="s">
        <v>907</v>
      </c>
      <c r="AJ111" s="5">
        <v>0</v>
      </c>
      <c r="AK111" t="s">
        <v>148</v>
      </c>
      <c r="AL111" t="s">
        <v>907</v>
      </c>
      <c r="AM111" t="s">
        <v>149</v>
      </c>
      <c r="AN111" t="s">
        <v>907</v>
      </c>
      <c r="AO111">
        <v>0</v>
      </c>
      <c r="AP111" t="s">
        <v>628</v>
      </c>
      <c r="AQ111" t="s">
        <v>149</v>
      </c>
      <c r="AR111" t="s">
        <v>95</v>
      </c>
      <c r="AS111">
        <v>0</v>
      </c>
      <c r="AT111">
        <v>0</v>
      </c>
      <c r="AU111">
        <v>0</v>
      </c>
      <c r="AV111">
        <v>0</v>
      </c>
      <c r="AW111">
        <v>30</v>
      </c>
      <c r="AX111">
        <v>0</v>
      </c>
      <c r="AY111">
        <v>0</v>
      </c>
      <c r="AZ111" t="s">
        <v>629</v>
      </c>
      <c r="BA111" t="s">
        <v>95</v>
      </c>
      <c r="BB111" t="s">
        <v>308</v>
      </c>
      <c r="BC111" t="s">
        <v>907</v>
      </c>
      <c r="BD111" t="s">
        <v>107</v>
      </c>
      <c r="BE111" t="s">
        <v>108</v>
      </c>
      <c r="BF111" t="s">
        <v>630</v>
      </c>
      <c r="BG111" t="s">
        <v>235</v>
      </c>
      <c r="BH111">
        <v>20</v>
      </c>
      <c r="BL111">
        <v>52</v>
      </c>
      <c r="BN111">
        <v>2</v>
      </c>
      <c r="BT111">
        <v>6</v>
      </c>
      <c r="BV111">
        <v>2</v>
      </c>
      <c r="BX111">
        <v>4</v>
      </c>
      <c r="BY111" t="s">
        <v>189</v>
      </c>
      <c r="BZ111">
        <v>2</v>
      </c>
      <c r="CA111">
        <v>20</v>
      </c>
      <c r="CB111" t="s">
        <v>84</v>
      </c>
      <c r="CC111" t="s">
        <v>84</v>
      </c>
      <c r="CD111" t="s">
        <v>631</v>
      </c>
      <c r="CE111" t="s">
        <v>4249</v>
      </c>
      <c r="CF111" t="s">
        <v>632</v>
      </c>
      <c r="CG111" t="s">
        <v>907</v>
      </c>
      <c r="CH111">
        <v>3</v>
      </c>
      <c r="CI111" t="s">
        <v>95</v>
      </c>
      <c r="CJ111" t="s">
        <v>907</v>
      </c>
      <c r="CK111" t="s">
        <v>113</v>
      </c>
      <c r="CL111" t="s">
        <v>4262</v>
      </c>
      <c r="CM111" t="s">
        <v>193</v>
      </c>
      <c r="CN111" t="s">
        <v>3892</v>
      </c>
      <c r="CO111" t="s">
        <v>95</v>
      </c>
      <c r="CP111" t="s">
        <v>907</v>
      </c>
      <c r="CQ111" t="s">
        <v>116</v>
      </c>
      <c r="CR111" t="s">
        <v>84</v>
      </c>
      <c r="CS111" t="s">
        <v>117</v>
      </c>
      <c r="CT111" t="s">
        <v>907</v>
      </c>
      <c r="CU111" t="s">
        <v>3869</v>
      </c>
      <c r="CV111" t="s">
        <v>119</v>
      </c>
      <c r="CW111" t="s">
        <v>633</v>
      </c>
      <c r="CX111" t="s">
        <v>119</v>
      </c>
      <c r="CY111" t="s">
        <v>634</v>
      </c>
      <c r="CZ111" t="s">
        <v>439</v>
      </c>
      <c r="DA111">
        <v>2</v>
      </c>
      <c r="DB111" s="10">
        <v>4000</v>
      </c>
      <c r="DC111" t="s">
        <v>169</v>
      </c>
      <c r="DD111" t="s">
        <v>907</v>
      </c>
      <c r="DE111">
        <v>5</v>
      </c>
      <c r="DF111">
        <v>10</v>
      </c>
      <c r="DG111" t="s">
        <v>84</v>
      </c>
      <c r="DH111" t="s">
        <v>84</v>
      </c>
      <c r="DI111" t="s">
        <v>197</v>
      </c>
      <c r="DJ111" t="s">
        <v>635</v>
      </c>
      <c r="DK111" t="s">
        <v>907</v>
      </c>
      <c r="DL111" t="s">
        <v>3717</v>
      </c>
      <c r="DM111" t="s">
        <v>125</v>
      </c>
      <c r="DN111" t="s">
        <v>170</v>
      </c>
      <c r="DO111" t="s">
        <v>324</v>
      </c>
      <c r="DP111">
        <v>20</v>
      </c>
      <c r="DQ111" t="s">
        <v>128</v>
      </c>
      <c r="DR111" t="s">
        <v>907</v>
      </c>
      <c r="DS111" t="s">
        <v>172</v>
      </c>
      <c r="DT111" t="s">
        <v>636</v>
      </c>
      <c r="DU111" t="s">
        <v>84</v>
      </c>
      <c r="DV111" t="s">
        <v>225</v>
      </c>
      <c r="DW111" t="s">
        <v>533</v>
      </c>
      <c r="DX111" t="s">
        <v>95</v>
      </c>
      <c r="FQ111">
        <v>565908944</v>
      </c>
      <c r="FR111" t="s">
        <v>637</v>
      </c>
      <c r="FS111" s="1">
        <v>45924.644803240742</v>
      </c>
      <c r="FV111" t="s">
        <v>134</v>
      </c>
      <c r="FW111" t="s">
        <v>135</v>
      </c>
      <c r="FX111" t="s">
        <v>136</v>
      </c>
      <c r="FZ111">
        <v>154</v>
      </c>
    </row>
    <row r="112" spans="1:182" x14ac:dyDescent="0.3">
      <c r="A112" s="1">
        <v>45929.461395648148</v>
      </c>
      <c r="B112" s="1">
        <v>45929.479082361111</v>
      </c>
      <c r="D112" t="s">
        <v>84</v>
      </c>
      <c r="E112" t="s">
        <v>297</v>
      </c>
      <c r="F112" t="s">
        <v>3197</v>
      </c>
      <c r="G112" t="s">
        <v>176</v>
      </c>
      <c r="H112" t="s">
        <v>4122</v>
      </c>
      <c r="I112" t="s">
        <v>3198</v>
      </c>
      <c r="J112" t="s">
        <v>3199</v>
      </c>
      <c r="K112" t="s">
        <v>90</v>
      </c>
      <c r="L112" t="s">
        <v>3200</v>
      </c>
      <c r="M112" t="s">
        <v>277</v>
      </c>
      <c r="N112" t="s">
        <v>3201</v>
      </c>
      <c r="O112">
        <v>-15.351168299999999</v>
      </c>
      <c r="P112">
        <v>23.068670000000001</v>
      </c>
      <c r="Q112">
        <v>1012.7</v>
      </c>
      <c r="R112">
        <v>4.9160000000000004</v>
      </c>
      <c r="S112" t="s">
        <v>84</v>
      </c>
      <c r="T112" t="s">
        <v>94</v>
      </c>
      <c r="U112">
        <v>12</v>
      </c>
      <c r="V112" t="s">
        <v>95</v>
      </c>
      <c r="W112" t="s">
        <v>907</v>
      </c>
      <c r="X112">
        <v>31</v>
      </c>
      <c r="Y112">
        <v>6</v>
      </c>
      <c r="Z112">
        <v>1</v>
      </c>
      <c r="AA112" t="s">
        <v>96</v>
      </c>
      <c r="AB112" t="s">
        <v>351</v>
      </c>
      <c r="AC112" t="s">
        <v>98</v>
      </c>
      <c r="AD112" t="s">
        <v>280</v>
      </c>
      <c r="AE112" t="s">
        <v>101</v>
      </c>
      <c r="AF112" t="s">
        <v>907</v>
      </c>
      <c r="AG112">
        <v>1500</v>
      </c>
      <c r="AH112" t="s">
        <v>100</v>
      </c>
      <c r="AI112" t="s">
        <v>907</v>
      </c>
      <c r="AJ112" s="5">
        <v>3000</v>
      </c>
      <c r="AK112" t="s">
        <v>102</v>
      </c>
      <c r="AL112" t="s">
        <v>907</v>
      </c>
      <c r="AM112" t="s">
        <v>466</v>
      </c>
      <c r="AN112" t="s">
        <v>907</v>
      </c>
      <c r="AO112" t="s">
        <v>267</v>
      </c>
      <c r="AP112" t="s">
        <v>3202</v>
      </c>
      <c r="AQ112" t="s">
        <v>466</v>
      </c>
      <c r="AR112" t="s">
        <v>95</v>
      </c>
      <c r="AS112">
        <v>0</v>
      </c>
      <c r="AT112">
        <v>0</v>
      </c>
      <c r="AU112">
        <v>0</v>
      </c>
      <c r="AV112">
        <v>10</v>
      </c>
      <c r="AW112">
        <v>0</v>
      </c>
      <c r="AX112">
        <v>0</v>
      </c>
      <c r="AY112">
        <v>0</v>
      </c>
      <c r="AZ112" t="s">
        <v>284</v>
      </c>
      <c r="BA112" t="s">
        <v>95</v>
      </c>
      <c r="BB112" t="s">
        <v>3866</v>
      </c>
      <c r="BC112" t="s">
        <v>907</v>
      </c>
      <c r="BD112" t="s">
        <v>107</v>
      </c>
      <c r="BE112" t="s">
        <v>258</v>
      </c>
      <c r="BF112" t="s">
        <v>4063</v>
      </c>
      <c r="BG112" t="s">
        <v>235</v>
      </c>
      <c r="BH112">
        <v>83</v>
      </c>
      <c r="BL112">
        <v>35</v>
      </c>
      <c r="BN112">
        <v>2</v>
      </c>
      <c r="BP112">
        <v>11</v>
      </c>
      <c r="BR112">
        <v>5</v>
      </c>
      <c r="BT112">
        <v>4</v>
      </c>
      <c r="BV112">
        <v>16</v>
      </c>
      <c r="BX112">
        <v>10</v>
      </c>
      <c r="BY112" t="s">
        <v>189</v>
      </c>
      <c r="BZ112">
        <v>3</v>
      </c>
      <c r="CA112">
        <v>10</v>
      </c>
      <c r="CB112" t="s">
        <v>84</v>
      </c>
      <c r="CC112" t="s">
        <v>84</v>
      </c>
      <c r="CD112" t="s">
        <v>3203</v>
      </c>
      <c r="CE112" t="s">
        <v>4250</v>
      </c>
      <c r="CF112" t="s">
        <v>3204</v>
      </c>
      <c r="CG112" t="s">
        <v>907</v>
      </c>
      <c r="CH112">
        <v>6</v>
      </c>
      <c r="CI112" t="s">
        <v>84</v>
      </c>
      <c r="CJ112" t="s">
        <v>262</v>
      </c>
      <c r="CK112" t="s">
        <v>289</v>
      </c>
      <c r="CL112" t="s">
        <v>3205</v>
      </c>
      <c r="CM112" t="s">
        <v>193</v>
      </c>
      <c r="CN112" t="s">
        <v>3874</v>
      </c>
      <c r="CO112" t="s">
        <v>95</v>
      </c>
      <c r="CP112" t="s">
        <v>907</v>
      </c>
      <c r="CQ112" t="s">
        <v>116</v>
      </c>
      <c r="CR112" t="s">
        <v>84</v>
      </c>
      <c r="CS112" t="s">
        <v>117</v>
      </c>
      <c r="CT112" t="s">
        <v>163</v>
      </c>
      <c r="CU112" t="s">
        <v>3869</v>
      </c>
      <c r="CV112" t="s">
        <v>119</v>
      </c>
      <c r="CW112" t="s">
        <v>2464</v>
      </c>
      <c r="CX112" t="s">
        <v>166</v>
      </c>
      <c r="CY112" t="s">
        <v>167</v>
      </c>
      <c r="CZ112" t="s">
        <v>530</v>
      </c>
      <c r="DA112">
        <v>6</v>
      </c>
      <c r="DB112" s="10">
        <v>26000</v>
      </c>
      <c r="DC112" t="s">
        <v>123</v>
      </c>
      <c r="DD112" t="s">
        <v>3206</v>
      </c>
      <c r="DE112">
        <v>2</v>
      </c>
      <c r="DF112">
        <v>15</v>
      </c>
      <c r="DG112" t="s">
        <v>95</v>
      </c>
      <c r="DH112" t="s">
        <v>95</v>
      </c>
      <c r="DI112" t="s">
        <v>907</v>
      </c>
      <c r="DJ112" t="s">
        <v>907</v>
      </c>
      <c r="DK112" t="s">
        <v>907</v>
      </c>
      <c r="DL112" t="s">
        <v>907</v>
      </c>
      <c r="DM112" t="s">
        <v>291</v>
      </c>
      <c r="DN112" t="s">
        <v>907</v>
      </c>
      <c r="DO112" t="s">
        <v>907</v>
      </c>
      <c r="DP112">
        <v>40</v>
      </c>
      <c r="DQ112" t="s">
        <v>441</v>
      </c>
      <c r="DR112" t="s">
        <v>907</v>
      </c>
      <c r="DS112" t="s">
        <v>3207</v>
      </c>
      <c r="DT112" t="s">
        <v>1437</v>
      </c>
      <c r="DU112" t="s">
        <v>95</v>
      </c>
      <c r="DV112" t="s">
        <v>907</v>
      </c>
      <c r="DW112" t="s">
        <v>907</v>
      </c>
      <c r="DX112" t="s">
        <v>907</v>
      </c>
      <c r="FQ112">
        <v>569568706</v>
      </c>
      <c r="FR112" t="s">
        <v>3208</v>
      </c>
      <c r="FS112" s="1">
        <v>45929.780902777777</v>
      </c>
      <c r="FV112" t="s">
        <v>134</v>
      </c>
      <c r="FW112" t="s">
        <v>135</v>
      </c>
      <c r="FX112" t="s">
        <v>136</v>
      </c>
      <c r="FZ112">
        <v>489</v>
      </c>
    </row>
    <row r="113" spans="1:182" hidden="1" x14ac:dyDescent="0.3">
      <c r="A113" s="1">
        <v>45929.467147025462</v>
      </c>
      <c r="B113" s="1">
        <v>45929.484932187501</v>
      </c>
      <c r="D113" t="s">
        <v>84</v>
      </c>
      <c r="E113" t="s">
        <v>1878</v>
      </c>
      <c r="F113" t="s">
        <v>3144</v>
      </c>
      <c r="G113" t="s">
        <v>176</v>
      </c>
      <c r="H113" t="s">
        <v>4122</v>
      </c>
      <c r="I113" t="s">
        <v>3145</v>
      </c>
      <c r="J113" t="s">
        <v>3146</v>
      </c>
      <c r="K113" t="s">
        <v>90</v>
      </c>
      <c r="L113" t="s">
        <v>4053</v>
      </c>
      <c r="M113" t="s">
        <v>277</v>
      </c>
      <c r="N113" t="s">
        <v>3147</v>
      </c>
      <c r="O113">
        <v>-15.3958817</v>
      </c>
      <c r="P113">
        <v>23.040777200000001</v>
      </c>
      <c r="Q113">
        <v>1020.9</v>
      </c>
      <c r="R113">
        <v>4.1660000000000004</v>
      </c>
      <c r="S113" t="s">
        <v>84</v>
      </c>
      <c r="T113" t="s">
        <v>182</v>
      </c>
      <c r="U113">
        <v>7</v>
      </c>
      <c r="V113" t="s">
        <v>95</v>
      </c>
      <c r="W113" t="s">
        <v>907</v>
      </c>
      <c r="X113">
        <v>25</v>
      </c>
      <c r="Y113">
        <v>1</v>
      </c>
      <c r="Z113">
        <v>1</v>
      </c>
      <c r="AA113" t="s">
        <v>96</v>
      </c>
      <c r="AB113" t="s">
        <v>351</v>
      </c>
      <c r="AC113" t="s">
        <v>98</v>
      </c>
      <c r="AD113" t="s">
        <v>99</v>
      </c>
      <c r="AE113" t="s">
        <v>101</v>
      </c>
      <c r="AF113" t="s">
        <v>907</v>
      </c>
      <c r="AG113">
        <v>6000</v>
      </c>
      <c r="AH113" t="s">
        <v>304</v>
      </c>
      <c r="AI113" t="s">
        <v>907</v>
      </c>
      <c r="AJ113" s="5">
        <v>0</v>
      </c>
      <c r="AK113" t="s">
        <v>183</v>
      </c>
      <c r="AL113" t="s">
        <v>907</v>
      </c>
      <c r="AM113" t="s">
        <v>466</v>
      </c>
      <c r="AN113" t="s">
        <v>907</v>
      </c>
      <c r="AQ113" t="s">
        <v>907</v>
      </c>
      <c r="AR113" t="s">
        <v>907</v>
      </c>
      <c r="AS113">
        <v>0</v>
      </c>
      <c r="AT113">
        <v>0</v>
      </c>
      <c r="AU113">
        <v>0</v>
      </c>
      <c r="AV113">
        <v>0</v>
      </c>
      <c r="AW113">
        <v>0</v>
      </c>
      <c r="AX113">
        <v>0</v>
      </c>
      <c r="AY113">
        <v>0</v>
      </c>
      <c r="AZ113" t="s">
        <v>106</v>
      </c>
      <c r="BA113" t="s">
        <v>907</v>
      </c>
      <c r="BB113" t="s">
        <v>3866</v>
      </c>
      <c r="BC113" t="s">
        <v>907</v>
      </c>
      <c r="BD113" t="s">
        <v>107</v>
      </c>
      <c r="BE113" t="s">
        <v>907</v>
      </c>
      <c r="BF113" t="s">
        <v>907</v>
      </c>
      <c r="BG113" t="s">
        <v>156</v>
      </c>
      <c r="BH113">
        <v>15</v>
      </c>
      <c r="BL113">
        <v>6</v>
      </c>
      <c r="BN113">
        <v>1</v>
      </c>
      <c r="BP113">
        <v>0</v>
      </c>
      <c r="BR113">
        <v>3</v>
      </c>
      <c r="BT113">
        <v>2</v>
      </c>
      <c r="BV113">
        <v>0</v>
      </c>
      <c r="BX113">
        <v>3</v>
      </c>
      <c r="BY113" t="s">
        <v>189</v>
      </c>
      <c r="BZ113">
        <v>5</v>
      </c>
      <c r="CA113">
        <v>1</v>
      </c>
      <c r="CB113" t="s">
        <v>84</v>
      </c>
      <c r="CC113" t="s">
        <v>84</v>
      </c>
      <c r="CD113" t="s">
        <v>1576</v>
      </c>
      <c r="CE113" t="s">
        <v>4249</v>
      </c>
      <c r="CF113" t="s">
        <v>3148</v>
      </c>
      <c r="CG113" t="s">
        <v>907</v>
      </c>
      <c r="CH113">
        <v>3</v>
      </c>
      <c r="CI113" t="s">
        <v>84</v>
      </c>
      <c r="CJ113" t="s">
        <v>546</v>
      </c>
      <c r="CK113" t="s">
        <v>289</v>
      </c>
      <c r="CL113" t="s">
        <v>4262</v>
      </c>
      <c r="CM113" t="s">
        <v>193</v>
      </c>
      <c r="CN113" t="s">
        <v>3874</v>
      </c>
      <c r="CO113" t="s">
        <v>95</v>
      </c>
      <c r="CP113" t="s">
        <v>907</v>
      </c>
      <c r="CQ113" t="s">
        <v>116</v>
      </c>
      <c r="CR113" t="s">
        <v>84</v>
      </c>
      <c r="CS113" t="s">
        <v>117</v>
      </c>
      <c r="CT113" t="s">
        <v>163</v>
      </c>
      <c r="CU113" t="s">
        <v>793</v>
      </c>
      <c r="CV113" t="s">
        <v>907</v>
      </c>
      <c r="CW113" t="s">
        <v>907</v>
      </c>
      <c r="CX113" t="s">
        <v>166</v>
      </c>
      <c r="CY113" t="s">
        <v>167</v>
      </c>
      <c r="CZ113" t="s">
        <v>715</v>
      </c>
      <c r="DA113">
        <v>3</v>
      </c>
      <c r="DB113" s="10">
        <v>4500</v>
      </c>
      <c r="DC113" t="s">
        <v>169</v>
      </c>
      <c r="DD113" t="s">
        <v>907</v>
      </c>
      <c r="DE113">
        <v>1</v>
      </c>
      <c r="DF113">
        <v>15</v>
      </c>
      <c r="DG113" t="s">
        <v>95</v>
      </c>
      <c r="DH113" t="s">
        <v>95</v>
      </c>
      <c r="DI113" t="s">
        <v>907</v>
      </c>
      <c r="DJ113" t="s">
        <v>907</v>
      </c>
      <c r="DK113" t="s">
        <v>907</v>
      </c>
      <c r="DL113" t="s">
        <v>907</v>
      </c>
      <c r="DM113" t="s">
        <v>291</v>
      </c>
      <c r="DN113" t="s">
        <v>907</v>
      </c>
      <c r="DO113" t="s">
        <v>907</v>
      </c>
      <c r="DP113">
        <v>2</v>
      </c>
      <c r="DQ113" t="s">
        <v>128</v>
      </c>
      <c r="DR113" t="s">
        <v>907</v>
      </c>
      <c r="DS113" t="s">
        <v>172</v>
      </c>
      <c r="DT113" t="s">
        <v>271</v>
      </c>
      <c r="DU113" t="s">
        <v>84</v>
      </c>
      <c r="DV113" t="s">
        <v>294</v>
      </c>
      <c r="DW113" t="s">
        <v>132</v>
      </c>
      <c r="DX113" t="s">
        <v>95</v>
      </c>
      <c r="FQ113">
        <v>569368880</v>
      </c>
      <c r="FR113" t="s">
        <v>3149</v>
      </c>
      <c r="FS113" s="1">
        <v>45929.59642361111</v>
      </c>
      <c r="FV113" t="s">
        <v>134</v>
      </c>
      <c r="FW113" t="s">
        <v>135</v>
      </c>
      <c r="FX113" t="s">
        <v>136</v>
      </c>
      <c r="FZ113">
        <v>482</v>
      </c>
    </row>
    <row r="114" spans="1:182" hidden="1" x14ac:dyDescent="0.3">
      <c r="A114" s="1">
        <v>45925.453079236111</v>
      </c>
      <c r="B114" s="1">
        <v>45925.46873670139</v>
      </c>
      <c r="D114" t="s">
        <v>84</v>
      </c>
      <c r="E114" t="s">
        <v>297</v>
      </c>
      <c r="F114" t="s">
        <v>2603</v>
      </c>
      <c r="G114" t="s">
        <v>176</v>
      </c>
      <c r="H114" t="s">
        <v>4122</v>
      </c>
      <c r="I114" t="s">
        <v>2604</v>
      </c>
      <c r="J114" t="s">
        <v>2605</v>
      </c>
      <c r="K114" t="s">
        <v>90</v>
      </c>
      <c r="L114" t="s">
        <v>2606</v>
      </c>
      <c r="M114" t="s">
        <v>1871</v>
      </c>
      <c r="N114" t="s">
        <v>2607</v>
      </c>
      <c r="O114">
        <v>-15.197494600000001</v>
      </c>
      <c r="P114">
        <v>22.9736297</v>
      </c>
      <c r="Q114">
        <v>1027.178588867188</v>
      </c>
      <c r="R114">
        <v>4.7089999999999996</v>
      </c>
      <c r="S114" t="s">
        <v>84</v>
      </c>
      <c r="T114" t="s">
        <v>94</v>
      </c>
      <c r="U114">
        <v>11</v>
      </c>
      <c r="V114" t="s">
        <v>95</v>
      </c>
      <c r="W114" t="s">
        <v>907</v>
      </c>
      <c r="X114">
        <v>40</v>
      </c>
      <c r="Y114">
        <v>2</v>
      </c>
      <c r="Z114">
        <v>2</v>
      </c>
      <c r="AA114" t="s">
        <v>465</v>
      </c>
      <c r="AB114" t="s">
        <v>489</v>
      </c>
      <c r="AC114" t="s">
        <v>98</v>
      </c>
      <c r="AD114" t="s">
        <v>280</v>
      </c>
      <c r="AE114" t="s">
        <v>100</v>
      </c>
      <c r="AF114" t="s">
        <v>907</v>
      </c>
      <c r="AG114">
        <v>3000</v>
      </c>
      <c r="AH114" t="s">
        <v>3873</v>
      </c>
      <c r="AI114" t="s">
        <v>907</v>
      </c>
      <c r="AJ114" t="s">
        <v>907</v>
      </c>
      <c r="AK114" t="s">
        <v>102</v>
      </c>
      <c r="AL114" t="s">
        <v>907</v>
      </c>
      <c r="AM114" t="s">
        <v>466</v>
      </c>
      <c r="AN114" t="s">
        <v>907</v>
      </c>
      <c r="AO114" t="s">
        <v>267</v>
      </c>
      <c r="AP114" t="s">
        <v>267</v>
      </c>
      <c r="AQ114" t="s">
        <v>2608</v>
      </c>
      <c r="AR114" t="s">
        <v>95</v>
      </c>
      <c r="AS114">
        <v>0</v>
      </c>
      <c r="AT114">
        <v>0</v>
      </c>
      <c r="AU114">
        <v>0</v>
      </c>
      <c r="AV114">
        <v>0</v>
      </c>
      <c r="AW114">
        <v>0</v>
      </c>
      <c r="AX114">
        <v>0</v>
      </c>
      <c r="AY114">
        <v>0</v>
      </c>
      <c r="AZ114" t="s">
        <v>929</v>
      </c>
      <c r="BA114" t="s">
        <v>95</v>
      </c>
      <c r="BB114" t="s">
        <v>154</v>
      </c>
      <c r="BC114" t="s">
        <v>907</v>
      </c>
      <c r="BD114" t="s">
        <v>107</v>
      </c>
      <c r="BE114" t="s">
        <v>810</v>
      </c>
      <c r="BF114" t="s">
        <v>4009</v>
      </c>
      <c r="BG114" t="s">
        <v>156</v>
      </c>
      <c r="BH114">
        <v>40</v>
      </c>
      <c r="BL114">
        <v>31</v>
      </c>
      <c r="BP114">
        <v>0</v>
      </c>
      <c r="BR114">
        <v>0</v>
      </c>
      <c r="BT114">
        <v>2</v>
      </c>
      <c r="BV114">
        <v>0</v>
      </c>
      <c r="BX114">
        <v>8</v>
      </c>
      <c r="BY114" t="s">
        <v>189</v>
      </c>
      <c r="BZ114">
        <v>2</v>
      </c>
      <c r="CA114">
        <v>10</v>
      </c>
      <c r="CB114" t="s">
        <v>84</v>
      </c>
      <c r="CC114" t="s">
        <v>84</v>
      </c>
      <c r="CD114" t="s">
        <v>334</v>
      </c>
      <c r="CE114" t="s">
        <v>4249</v>
      </c>
      <c r="CF114" t="s">
        <v>1118</v>
      </c>
      <c r="CG114" t="s">
        <v>907</v>
      </c>
      <c r="CH114">
        <v>3</v>
      </c>
      <c r="CI114" t="s">
        <v>84</v>
      </c>
      <c r="CJ114" t="s">
        <v>262</v>
      </c>
      <c r="CK114" t="s">
        <v>113</v>
      </c>
      <c r="CL114" t="s">
        <v>1494</v>
      </c>
      <c r="CM114" t="s">
        <v>193</v>
      </c>
      <c r="CN114" t="s">
        <v>3874</v>
      </c>
      <c r="CO114" t="s">
        <v>95</v>
      </c>
      <c r="CP114" t="s">
        <v>907</v>
      </c>
      <c r="CQ114" t="s">
        <v>116</v>
      </c>
      <c r="CR114" t="s">
        <v>84</v>
      </c>
      <c r="CS114" t="s">
        <v>117</v>
      </c>
      <c r="CT114" t="s">
        <v>907</v>
      </c>
      <c r="CU114" t="s">
        <v>322</v>
      </c>
      <c r="CV114" t="s">
        <v>812</v>
      </c>
      <c r="CW114" t="s">
        <v>265</v>
      </c>
      <c r="CX114" t="s">
        <v>166</v>
      </c>
      <c r="CY114" t="s">
        <v>167</v>
      </c>
      <c r="CZ114" t="s">
        <v>1377</v>
      </c>
      <c r="DA114">
        <v>2</v>
      </c>
      <c r="DB114" s="10">
        <v>5700</v>
      </c>
      <c r="DC114" t="s">
        <v>169</v>
      </c>
      <c r="DD114" t="s">
        <v>907</v>
      </c>
      <c r="DE114">
        <v>7</v>
      </c>
      <c r="DF114">
        <v>16</v>
      </c>
      <c r="DG114" t="s">
        <v>95</v>
      </c>
      <c r="DH114" t="s">
        <v>95</v>
      </c>
      <c r="DI114" t="s">
        <v>907</v>
      </c>
      <c r="DJ114" t="s">
        <v>907</v>
      </c>
      <c r="DK114" t="s">
        <v>907</v>
      </c>
      <c r="DL114" t="s">
        <v>907</v>
      </c>
      <c r="DM114" t="s">
        <v>291</v>
      </c>
      <c r="DN114" t="s">
        <v>907</v>
      </c>
      <c r="DO114" t="s">
        <v>907</v>
      </c>
      <c r="DP114">
        <v>50</v>
      </c>
      <c r="DQ114" t="s">
        <v>441</v>
      </c>
      <c r="DR114" t="s">
        <v>907</v>
      </c>
      <c r="DS114" t="s">
        <v>2609</v>
      </c>
      <c r="DT114" t="s">
        <v>271</v>
      </c>
      <c r="DU114" t="s">
        <v>95</v>
      </c>
      <c r="DV114" t="s">
        <v>907</v>
      </c>
      <c r="DW114" t="s">
        <v>907</v>
      </c>
      <c r="DX114" t="s">
        <v>907</v>
      </c>
      <c r="FQ114">
        <v>567124708</v>
      </c>
      <c r="FR114" t="s">
        <v>2610</v>
      </c>
      <c r="FS114" s="1">
        <v>45926.220219907409</v>
      </c>
      <c r="FV114" t="s">
        <v>134</v>
      </c>
      <c r="FW114" t="s">
        <v>135</v>
      </c>
      <c r="FX114" t="s">
        <v>136</v>
      </c>
      <c r="FZ114">
        <v>384</v>
      </c>
    </row>
    <row r="115" spans="1:182" hidden="1" x14ac:dyDescent="0.3">
      <c r="A115" s="1">
        <v>45925.59455840278</v>
      </c>
      <c r="B115" s="1">
        <v>45925.607866261576</v>
      </c>
      <c r="D115" t="s">
        <v>84</v>
      </c>
      <c r="E115" t="s">
        <v>297</v>
      </c>
      <c r="F115" t="s">
        <v>2555</v>
      </c>
      <c r="G115" t="s">
        <v>176</v>
      </c>
      <c r="H115" t="s">
        <v>4122</v>
      </c>
      <c r="I115" t="s">
        <v>2556</v>
      </c>
      <c r="J115" t="s">
        <v>2557</v>
      </c>
      <c r="K115" t="s">
        <v>90</v>
      </c>
      <c r="L115" t="s">
        <v>2558</v>
      </c>
      <c r="M115" t="s">
        <v>1871</v>
      </c>
      <c r="N115" t="s">
        <v>2559</v>
      </c>
      <c r="O115">
        <v>-15.1973983</v>
      </c>
      <c r="P115">
        <v>22.97354</v>
      </c>
      <c r="Q115">
        <v>1104.3</v>
      </c>
      <c r="R115">
        <v>4.7329999999999997</v>
      </c>
      <c r="S115" t="s">
        <v>84</v>
      </c>
      <c r="T115" t="s">
        <v>182</v>
      </c>
      <c r="U115">
        <v>5</v>
      </c>
      <c r="V115" t="s">
        <v>95</v>
      </c>
      <c r="W115" t="s">
        <v>907</v>
      </c>
      <c r="X115">
        <v>50</v>
      </c>
      <c r="Y115">
        <v>1</v>
      </c>
      <c r="Z115">
        <v>1</v>
      </c>
      <c r="AA115" t="s">
        <v>504</v>
      </c>
      <c r="AB115" t="s">
        <v>351</v>
      </c>
      <c r="AC115" t="s">
        <v>98</v>
      </c>
      <c r="AD115" t="s">
        <v>252</v>
      </c>
      <c r="AE115" t="s">
        <v>101</v>
      </c>
      <c r="AF115" t="s">
        <v>907</v>
      </c>
      <c r="AG115">
        <v>1000</v>
      </c>
      <c r="AH115" t="s">
        <v>3873</v>
      </c>
      <c r="AI115" t="s">
        <v>907</v>
      </c>
      <c r="AJ115" t="s">
        <v>907</v>
      </c>
      <c r="AK115" t="s">
        <v>102</v>
      </c>
      <c r="AL115" t="s">
        <v>907</v>
      </c>
      <c r="AM115" t="s">
        <v>4130</v>
      </c>
      <c r="AN115" t="s">
        <v>907</v>
      </c>
      <c r="AQ115" t="s">
        <v>2560</v>
      </c>
      <c r="AR115" t="s">
        <v>95</v>
      </c>
      <c r="AS115">
        <v>0</v>
      </c>
      <c r="AT115">
        <v>0</v>
      </c>
      <c r="AU115">
        <v>0</v>
      </c>
      <c r="AV115">
        <v>0</v>
      </c>
      <c r="AW115">
        <v>0</v>
      </c>
      <c r="AX115">
        <v>0</v>
      </c>
      <c r="AY115">
        <v>0</v>
      </c>
      <c r="AZ115" t="s">
        <v>256</v>
      </c>
      <c r="BA115" t="s">
        <v>95</v>
      </c>
      <c r="BB115" t="s">
        <v>154</v>
      </c>
      <c r="BC115" t="s">
        <v>907</v>
      </c>
      <c r="BD115" t="s">
        <v>107</v>
      </c>
      <c r="BE115" t="s">
        <v>258</v>
      </c>
      <c r="BF115" t="s">
        <v>4006</v>
      </c>
      <c r="BG115" t="s">
        <v>235</v>
      </c>
      <c r="BH115">
        <v>40</v>
      </c>
      <c r="BL115">
        <v>15</v>
      </c>
      <c r="BN115">
        <v>2</v>
      </c>
      <c r="BP115">
        <v>3</v>
      </c>
      <c r="BR115">
        <v>10</v>
      </c>
      <c r="BT115">
        <v>4</v>
      </c>
      <c r="BV115">
        <v>0</v>
      </c>
      <c r="BX115">
        <v>6</v>
      </c>
      <c r="BY115" t="s">
        <v>189</v>
      </c>
      <c r="BZ115">
        <v>2</v>
      </c>
      <c r="CA115">
        <v>6</v>
      </c>
      <c r="CB115" t="s">
        <v>84</v>
      </c>
      <c r="CC115" t="s">
        <v>84</v>
      </c>
      <c r="CD115" t="s">
        <v>2461</v>
      </c>
      <c r="CE115" t="s">
        <v>4252</v>
      </c>
      <c r="CF115" t="s">
        <v>2561</v>
      </c>
      <c r="CG115" t="s">
        <v>907</v>
      </c>
      <c r="CH115">
        <v>3</v>
      </c>
      <c r="CI115" t="s">
        <v>84</v>
      </c>
      <c r="CJ115" t="s">
        <v>262</v>
      </c>
      <c r="CK115" t="s">
        <v>289</v>
      </c>
      <c r="CL115" t="s">
        <v>456</v>
      </c>
      <c r="CM115" t="s">
        <v>193</v>
      </c>
      <c r="CN115" t="s">
        <v>194</v>
      </c>
      <c r="CO115" t="s">
        <v>95</v>
      </c>
      <c r="CP115" t="s">
        <v>907</v>
      </c>
      <c r="CQ115" t="s">
        <v>116</v>
      </c>
      <c r="CR115" t="s">
        <v>84</v>
      </c>
      <c r="CS115" t="s">
        <v>117</v>
      </c>
      <c r="CT115" t="s">
        <v>907</v>
      </c>
      <c r="CU115" t="s">
        <v>438</v>
      </c>
      <c r="CV115" t="s">
        <v>812</v>
      </c>
      <c r="CW115" t="s">
        <v>907</v>
      </c>
      <c r="CX115" t="s">
        <v>166</v>
      </c>
      <c r="CY115" t="s">
        <v>167</v>
      </c>
      <c r="CZ115" t="s">
        <v>2551</v>
      </c>
      <c r="DA115">
        <v>2</v>
      </c>
      <c r="DB115" s="10">
        <v>6700</v>
      </c>
      <c r="DC115" t="s">
        <v>123</v>
      </c>
      <c r="DD115" t="s">
        <v>2514</v>
      </c>
      <c r="DE115">
        <v>1</v>
      </c>
      <c r="DF115">
        <v>14</v>
      </c>
      <c r="DG115" t="s">
        <v>95</v>
      </c>
      <c r="DH115" t="s">
        <v>95</v>
      </c>
      <c r="DI115" t="s">
        <v>907</v>
      </c>
      <c r="DJ115" t="s">
        <v>907</v>
      </c>
      <c r="DK115" t="s">
        <v>907</v>
      </c>
      <c r="DL115" t="s">
        <v>907</v>
      </c>
      <c r="DM115" t="s">
        <v>291</v>
      </c>
      <c r="DN115" t="s">
        <v>907</v>
      </c>
      <c r="DO115" t="s">
        <v>907</v>
      </c>
      <c r="DP115">
        <v>9</v>
      </c>
      <c r="DQ115" t="s">
        <v>202</v>
      </c>
      <c r="DR115" t="s">
        <v>907</v>
      </c>
      <c r="DS115" t="s">
        <v>1362</v>
      </c>
      <c r="DT115" t="s">
        <v>2562</v>
      </c>
      <c r="DU115" t="s">
        <v>95</v>
      </c>
      <c r="DV115" t="s">
        <v>907</v>
      </c>
      <c r="DW115" t="s">
        <v>907</v>
      </c>
      <c r="DX115" t="s">
        <v>907</v>
      </c>
      <c r="FQ115">
        <v>566956965</v>
      </c>
      <c r="FR115" t="s">
        <v>2563</v>
      </c>
      <c r="FS115" s="1">
        <v>45925.844780092593</v>
      </c>
      <c r="FV115" t="s">
        <v>134</v>
      </c>
      <c r="FW115" t="s">
        <v>135</v>
      </c>
      <c r="FX115" t="s">
        <v>136</v>
      </c>
      <c r="FZ115">
        <v>364</v>
      </c>
    </row>
    <row r="116" spans="1:182" hidden="1" x14ac:dyDescent="0.3">
      <c r="A116" s="1">
        <v>45924.496074467592</v>
      </c>
      <c r="B116" s="1">
        <v>45924.509683506942</v>
      </c>
      <c r="D116" t="s">
        <v>84</v>
      </c>
      <c r="E116" t="s">
        <v>901</v>
      </c>
      <c r="F116" t="s">
        <v>935</v>
      </c>
      <c r="G116" t="s">
        <v>176</v>
      </c>
      <c r="H116" t="s">
        <v>4122</v>
      </c>
      <c r="I116" t="s">
        <v>936</v>
      </c>
      <c r="J116" t="s">
        <v>937</v>
      </c>
      <c r="K116" t="s">
        <v>90</v>
      </c>
      <c r="L116" t="s">
        <v>938</v>
      </c>
      <c r="M116" t="s">
        <v>722</v>
      </c>
      <c r="N116" t="s">
        <v>939</v>
      </c>
      <c r="O116">
        <v>-15.2970766</v>
      </c>
      <c r="P116">
        <v>23.032076400000001</v>
      </c>
      <c r="Q116">
        <v>1023.94091796875</v>
      </c>
      <c r="R116">
        <v>4.7089999999999996</v>
      </c>
      <c r="S116" t="s">
        <v>84</v>
      </c>
      <c r="T116" t="s">
        <v>182</v>
      </c>
      <c r="U116">
        <v>8</v>
      </c>
      <c r="V116" t="s">
        <v>95</v>
      </c>
      <c r="W116" t="s">
        <v>907</v>
      </c>
      <c r="X116">
        <v>15</v>
      </c>
      <c r="Y116">
        <v>1</v>
      </c>
      <c r="Z116">
        <v>1</v>
      </c>
      <c r="AA116" t="s">
        <v>504</v>
      </c>
      <c r="AB116" t="s">
        <v>351</v>
      </c>
      <c r="AC116" t="s">
        <v>98</v>
      </c>
      <c r="AD116" t="s">
        <v>145</v>
      </c>
      <c r="AE116" t="s">
        <v>101</v>
      </c>
      <c r="AF116" t="s">
        <v>907</v>
      </c>
      <c r="AG116">
        <v>4000</v>
      </c>
      <c r="AH116" t="s">
        <v>805</v>
      </c>
      <c r="AI116" t="s">
        <v>907</v>
      </c>
      <c r="AJ116" s="5">
        <v>4</v>
      </c>
      <c r="AK116" t="s">
        <v>102</v>
      </c>
      <c r="AL116" t="s">
        <v>907</v>
      </c>
      <c r="AM116" t="s">
        <v>940</v>
      </c>
      <c r="AN116" t="s">
        <v>907</v>
      </c>
      <c r="AO116" t="s">
        <v>941</v>
      </c>
      <c r="AP116" t="s">
        <v>466</v>
      </c>
      <c r="AQ116" t="s">
        <v>942</v>
      </c>
      <c r="AR116" t="s">
        <v>95</v>
      </c>
      <c r="AS116">
        <v>1</v>
      </c>
      <c r="AT116">
        <v>0</v>
      </c>
      <c r="AU116">
        <v>0</v>
      </c>
      <c r="AV116">
        <v>0</v>
      </c>
      <c r="AW116">
        <v>0</v>
      </c>
      <c r="AX116">
        <v>0</v>
      </c>
      <c r="AY116">
        <v>0</v>
      </c>
      <c r="AZ116" t="s">
        <v>929</v>
      </c>
      <c r="BA116" t="s">
        <v>95</v>
      </c>
      <c r="BB116" t="s">
        <v>308</v>
      </c>
      <c r="BC116" t="s">
        <v>907</v>
      </c>
      <c r="BD116" t="s">
        <v>257</v>
      </c>
      <c r="BE116" t="s">
        <v>363</v>
      </c>
      <c r="BF116" t="s">
        <v>155</v>
      </c>
      <c r="BG116" t="s">
        <v>156</v>
      </c>
      <c r="BH116">
        <v>30</v>
      </c>
      <c r="BL116">
        <v>19</v>
      </c>
      <c r="BN116">
        <v>0</v>
      </c>
      <c r="BP116">
        <v>0</v>
      </c>
      <c r="BR116">
        <v>0</v>
      </c>
      <c r="BT116">
        <v>7</v>
      </c>
      <c r="BV116">
        <v>0</v>
      </c>
      <c r="BX116">
        <v>4</v>
      </c>
      <c r="BY116" t="s">
        <v>110</v>
      </c>
      <c r="BZ116" t="s">
        <v>907</v>
      </c>
      <c r="CA116" t="s">
        <v>907</v>
      </c>
      <c r="CB116" t="s">
        <v>84</v>
      </c>
      <c r="CC116" t="s">
        <v>84</v>
      </c>
      <c r="CD116" t="s">
        <v>943</v>
      </c>
      <c r="CE116" t="s">
        <v>4251</v>
      </c>
      <c r="CF116" t="s">
        <v>3904</v>
      </c>
      <c r="CG116" t="s">
        <v>907</v>
      </c>
      <c r="CH116">
        <v>1</v>
      </c>
      <c r="CI116" t="s">
        <v>84</v>
      </c>
      <c r="CJ116" t="s">
        <v>586</v>
      </c>
      <c r="CK116" t="s">
        <v>289</v>
      </c>
      <c r="CL116" t="s">
        <v>944</v>
      </c>
      <c r="CM116" t="s">
        <v>193</v>
      </c>
      <c r="CN116" t="s">
        <v>194</v>
      </c>
      <c r="CO116" t="s">
        <v>95</v>
      </c>
      <c r="CP116" t="s">
        <v>907</v>
      </c>
      <c r="CQ116" t="s">
        <v>116</v>
      </c>
      <c r="CR116" t="s">
        <v>84</v>
      </c>
      <c r="CS116" t="s">
        <v>117</v>
      </c>
      <c r="CT116" t="s">
        <v>163</v>
      </c>
      <c r="CU116" t="s">
        <v>438</v>
      </c>
      <c r="CV116" t="s">
        <v>812</v>
      </c>
      <c r="CW116" t="s">
        <v>907</v>
      </c>
      <c r="CX116" t="s">
        <v>166</v>
      </c>
      <c r="CY116" t="s">
        <v>167</v>
      </c>
      <c r="CZ116" t="s">
        <v>945</v>
      </c>
      <c r="DA116">
        <v>0</v>
      </c>
      <c r="DB116" s="10">
        <v>0</v>
      </c>
      <c r="DC116" t="s">
        <v>169</v>
      </c>
      <c r="DD116" t="s">
        <v>907</v>
      </c>
      <c r="DE116">
        <v>4</v>
      </c>
      <c r="DF116">
        <v>10</v>
      </c>
      <c r="DG116" t="s">
        <v>95</v>
      </c>
      <c r="DH116" t="s">
        <v>95</v>
      </c>
      <c r="DI116" t="s">
        <v>907</v>
      </c>
      <c r="DJ116" t="s">
        <v>907</v>
      </c>
      <c r="DK116" t="s">
        <v>907</v>
      </c>
      <c r="DL116" t="s">
        <v>907</v>
      </c>
      <c r="DM116" t="s">
        <v>291</v>
      </c>
      <c r="DN116" t="s">
        <v>907</v>
      </c>
      <c r="DO116" t="s">
        <v>907</v>
      </c>
      <c r="DP116">
        <v>0.5</v>
      </c>
      <c r="DQ116" t="s">
        <v>441</v>
      </c>
      <c r="DR116" t="s">
        <v>907</v>
      </c>
      <c r="DS116" t="s">
        <v>917</v>
      </c>
      <c r="DT116" t="s">
        <v>946</v>
      </c>
      <c r="DU116" t="s">
        <v>84</v>
      </c>
      <c r="DV116" t="s">
        <v>884</v>
      </c>
      <c r="DW116" t="s">
        <v>533</v>
      </c>
      <c r="DX116" t="s">
        <v>95</v>
      </c>
      <c r="FQ116">
        <v>565934896</v>
      </c>
      <c r="FR116" t="s">
        <v>947</v>
      </c>
      <c r="FS116" s="1">
        <v>45924.665891203702</v>
      </c>
      <c r="FV116" t="s">
        <v>134</v>
      </c>
      <c r="FW116" t="s">
        <v>135</v>
      </c>
      <c r="FX116" t="s">
        <v>136</v>
      </c>
      <c r="FZ116">
        <v>180</v>
      </c>
    </row>
    <row r="117" spans="1:182" x14ac:dyDescent="0.3">
      <c r="A117" s="1">
        <v>45925.44974034722</v>
      </c>
      <c r="B117" s="1">
        <v>45925.482488449074</v>
      </c>
      <c r="D117" t="s">
        <v>84</v>
      </c>
      <c r="E117" t="s">
        <v>1397</v>
      </c>
      <c r="F117" t="s">
        <v>2120</v>
      </c>
      <c r="G117" t="s">
        <v>176</v>
      </c>
      <c r="H117" t="s">
        <v>4122</v>
      </c>
      <c r="I117" t="s">
        <v>2121</v>
      </c>
      <c r="J117" t="s">
        <v>2122</v>
      </c>
      <c r="K117" t="s">
        <v>90</v>
      </c>
      <c r="L117" t="s">
        <v>2123</v>
      </c>
      <c r="M117" t="s">
        <v>2124</v>
      </c>
      <c r="N117" t="s">
        <v>2125</v>
      </c>
      <c r="O117">
        <v>-15.233500599999999</v>
      </c>
      <c r="P117">
        <v>22.9918628</v>
      </c>
      <c r="Q117">
        <v>1023.074951171875</v>
      </c>
      <c r="R117">
        <v>4.2249999999999996</v>
      </c>
      <c r="S117" t="s">
        <v>84</v>
      </c>
      <c r="T117" t="s">
        <v>94</v>
      </c>
      <c r="U117">
        <v>7</v>
      </c>
      <c r="V117" t="s">
        <v>95</v>
      </c>
      <c r="W117" t="s">
        <v>907</v>
      </c>
      <c r="X117">
        <v>12</v>
      </c>
      <c r="Y117" s="3">
        <v>1.2</v>
      </c>
      <c r="Z117">
        <v>1</v>
      </c>
      <c r="AA117" t="s">
        <v>251</v>
      </c>
      <c r="AB117" t="s">
        <v>97</v>
      </c>
      <c r="AC117" t="s">
        <v>98</v>
      </c>
      <c r="AD117" t="s">
        <v>252</v>
      </c>
      <c r="AE117" t="s">
        <v>304</v>
      </c>
      <c r="AF117" t="s">
        <v>907</v>
      </c>
      <c r="AG117" s="3">
        <v>3000</v>
      </c>
      <c r="AH117" t="s">
        <v>2126</v>
      </c>
      <c r="AI117" t="s">
        <v>2127</v>
      </c>
      <c r="AJ117" s="5">
        <v>4000</v>
      </c>
      <c r="AK117" t="s">
        <v>102</v>
      </c>
      <c r="AL117" t="s">
        <v>907</v>
      </c>
      <c r="AM117" t="s">
        <v>2128</v>
      </c>
      <c r="AN117" t="s">
        <v>907</v>
      </c>
      <c r="AO117" t="s">
        <v>2129</v>
      </c>
      <c r="AP117" t="s">
        <v>2130</v>
      </c>
      <c r="AQ117" t="s">
        <v>466</v>
      </c>
      <c r="AR117" t="s">
        <v>84</v>
      </c>
      <c r="AS117">
        <v>4</v>
      </c>
      <c r="AT117">
        <v>0</v>
      </c>
      <c r="AU117">
        <v>0</v>
      </c>
      <c r="AV117">
        <v>23</v>
      </c>
      <c r="AW117">
        <v>0</v>
      </c>
      <c r="AX117">
        <v>0</v>
      </c>
      <c r="AY117">
        <v>0</v>
      </c>
      <c r="AZ117" t="s">
        <v>929</v>
      </c>
      <c r="BA117" t="s">
        <v>1065</v>
      </c>
      <c r="BB117" t="s">
        <v>154</v>
      </c>
      <c r="BC117" t="s">
        <v>907</v>
      </c>
      <c r="BD117" t="s">
        <v>107</v>
      </c>
      <c r="BE117" t="s">
        <v>258</v>
      </c>
      <c r="BF117" t="s">
        <v>2131</v>
      </c>
      <c r="BG117" t="s">
        <v>156</v>
      </c>
      <c r="BH117">
        <v>69</v>
      </c>
      <c r="BL117">
        <v>25</v>
      </c>
      <c r="BN117">
        <v>5</v>
      </c>
      <c r="BP117">
        <v>5</v>
      </c>
      <c r="BR117">
        <v>5</v>
      </c>
      <c r="BT117">
        <v>14</v>
      </c>
      <c r="BV117">
        <v>5</v>
      </c>
      <c r="BX117">
        <v>10</v>
      </c>
      <c r="BY117" t="s">
        <v>189</v>
      </c>
      <c r="BZ117">
        <v>4</v>
      </c>
      <c r="CA117">
        <v>60</v>
      </c>
      <c r="CB117" t="s">
        <v>84</v>
      </c>
      <c r="CC117" t="s">
        <v>84</v>
      </c>
      <c r="CD117" t="s">
        <v>778</v>
      </c>
      <c r="CE117" t="s">
        <v>4251</v>
      </c>
      <c r="CF117" t="s">
        <v>3977</v>
      </c>
      <c r="CG117" t="s">
        <v>907</v>
      </c>
      <c r="CH117">
        <v>3</v>
      </c>
      <c r="CI117" t="s">
        <v>84</v>
      </c>
      <c r="CJ117" t="s">
        <v>262</v>
      </c>
      <c r="CK117" t="s">
        <v>289</v>
      </c>
      <c r="CL117" t="s">
        <v>367</v>
      </c>
      <c r="CM117" t="s">
        <v>193</v>
      </c>
      <c r="CN117" t="s">
        <v>421</v>
      </c>
      <c r="CO117" t="s">
        <v>95</v>
      </c>
      <c r="CP117" t="s">
        <v>907</v>
      </c>
      <c r="CQ117" t="s">
        <v>116</v>
      </c>
      <c r="CR117" t="s">
        <v>84</v>
      </c>
      <c r="CS117" t="s">
        <v>117</v>
      </c>
      <c r="CT117" t="s">
        <v>163</v>
      </c>
      <c r="CU117" t="s">
        <v>438</v>
      </c>
      <c r="CV117" t="s">
        <v>812</v>
      </c>
      <c r="CW117" t="s">
        <v>495</v>
      </c>
      <c r="CX117" t="s">
        <v>166</v>
      </c>
      <c r="CY117" t="s">
        <v>167</v>
      </c>
      <c r="CZ117" t="s">
        <v>2132</v>
      </c>
      <c r="DA117">
        <v>2</v>
      </c>
      <c r="DB117" s="10">
        <v>9000</v>
      </c>
      <c r="DC117" t="s">
        <v>169</v>
      </c>
      <c r="DD117" t="s">
        <v>907</v>
      </c>
      <c r="DE117">
        <v>2</v>
      </c>
      <c r="DF117">
        <v>14</v>
      </c>
      <c r="DG117" t="s">
        <v>95</v>
      </c>
      <c r="DH117" t="s">
        <v>95</v>
      </c>
      <c r="DI117" t="s">
        <v>907</v>
      </c>
      <c r="DJ117" t="s">
        <v>907</v>
      </c>
      <c r="DK117" t="s">
        <v>907</v>
      </c>
      <c r="DL117" t="s">
        <v>907</v>
      </c>
      <c r="DM117" t="s">
        <v>291</v>
      </c>
      <c r="DN117" t="s">
        <v>907</v>
      </c>
      <c r="DO117" t="s">
        <v>907</v>
      </c>
      <c r="DP117">
        <v>0.5</v>
      </c>
      <c r="DQ117" t="s">
        <v>441</v>
      </c>
      <c r="DR117" t="s">
        <v>907</v>
      </c>
      <c r="DS117" t="s">
        <v>898</v>
      </c>
      <c r="DT117" t="s">
        <v>2133</v>
      </c>
      <c r="DU117" t="s">
        <v>84</v>
      </c>
      <c r="DV117" t="s">
        <v>2104</v>
      </c>
      <c r="DW117" t="s">
        <v>1305</v>
      </c>
      <c r="DX117" t="s">
        <v>95</v>
      </c>
      <c r="FQ117">
        <v>566874398</v>
      </c>
      <c r="FR117" t="s">
        <v>2134</v>
      </c>
      <c r="FS117" s="1">
        <v>45925.742638888893</v>
      </c>
      <c r="FV117" t="s">
        <v>134</v>
      </c>
      <c r="FW117" t="s">
        <v>135</v>
      </c>
      <c r="FX117" t="s">
        <v>136</v>
      </c>
      <c r="FZ117">
        <v>307</v>
      </c>
    </row>
    <row r="118" spans="1:182" hidden="1" x14ac:dyDescent="0.3">
      <c r="A118" s="1">
        <v>45930.510504212973</v>
      </c>
      <c r="B118" s="1">
        <v>45930.524853842588</v>
      </c>
      <c r="D118" t="s">
        <v>84</v>
      </c>
      <c r="E118" t="s">
        <v>297</v>
      </c>
      <c r="F118" t="s">
        <v>3618</v>
      </c>
      <c r="G118" t="s">
        <v>176</v>
      </c>
      <c r="H118" t="s">
        <v>4122</v>
      </c>
      <c r="I118" t="s">
        <v>3619</v>
      </c>
      <c r="J118" t="s">
        <v>3620</v>
      </c>
      <c r="K118" t="s">
        <v>90</v>
      </c>
      <c r="L118" t="s">
        <v>3611</v>
      </c>
      <c r="M118" t="s">
        <v>3612</v>
      </c>
      <c r="N118" t="s">
        <v>3621</v>
      </c>
      <c r="O118">
        <v>-15.2168867</v>
      </c>
      <c r="P118">
        <v>22.922661699999999</v>
      </c>
      <c r="Q118">
        <v>1005.8</v>
      </c>
      <c r="R118">
        <v>4.5999999999999996</v>
      </c>
      <c r="S118" t="s">
        <v>84</v>
      </c>
      <c r="T118" t="s">
        <v>182</v>
      </c>
      <c r="U118">
        <v>10</v>
      </c>
      <c r="V118" t="s">
        <v>95</v>
      </c>
      <c r="W118" t="s">
        <v>907</v>
      </c>
      <c r="X118">
        <v>7</v>
      </c>
      <c r="Y118">
        <v>1.4</v>
      </c>
      <c r="Z118">
        <v>1</v>
      </c>
      <c r="AA118" t="s">
        <v>96</v>
      </c>
      <c r="AB118" t="s">
        <v>97</v>
      </c>
      <c r="AC118" t="s">
        <v>98</v>
      </c>
      <c r="AD118" t="s">
        <v>99</v>
      </c>
      <c r="AE118" t="s">
        <v>101</v>
      </c>
      <c r="AF118" t="s">
        <v>907</v>
      </c>
      <c r="AG118">
        <v>1000</v>
      </c>
      <c r="AH118" t="s">
        <v>3873</v>
      </c>
      <c r="AI118" t="s">
        <v>907</v>
      </c>
      <c r="AJ118" t="s">
        <v>907</v>
      </c>
      <c r="AK118" t="s">
        <v>148</v>
      </c>
      <c r="AL118" t="s">
        <v>907</v>
      </c>
      <c r="AM118" t="s">
        <v>3512</v>
      </c>
      <c r="AN118" t="s">
        <v>907</v>
      </c>
      <c r="AO118" t="s">
        <v>267</v>
      </c>
      <c r="AP118" t="s">
        <v>3622</v>
      </c>
      <c r="AQ118" t="s">
        <v>3623</v>
      </c>
      <c r="AR118" t="s">
        <v>95</v>
      </c>
      <c r="AS118">
        <v>0</v>
      </c>
      <c r="AT118">
        <v>0</v>
      </c>
      <c r="AU118">
        <v>0</v>
      </c>
      <c r="AV118">
        <v>0</v>
      </c>
      <c r="AW118">
        <v>0</v>
      </c>
      <c r="AX118">
        <v>0</v>
      </c>
      <c r="AY118">
        <v>0</v>
      </c>
      <c r="AZ118" t="s">
        <v>284</v>
      </c>
      <c r="BA118" t="s">
        <v>95</v>
      </c>
      <c r="BB118" t="s">
        <v>154</v>
      </c>
      <c r="BC118" t="s">
        <v>907</v>
      </c>
      <c r="BD118" t="s">
        <v>107</v>
      </c>
      <c r="BE118" t="s">
        <v>258</v>
      </c>
      <c r="BF118" t="s">
        <v>4103</v>
      </c>
      <c r="BG118" t="s">
        <v>156</v>
      </c>
      <c r="BH118">
        <v>51</v>
      </c>
      <c r="BL118">
        <v>20</v>
      </c>
      <c r="BN118">
        <v>5</v>
      </c>
      <c r="BP118">
        <v>3</v>
      </c>
      <c r="BR118">
        <v>0</v>
      </c>
      <c r="BT118">
        <v>7</v>
      </c>
      <c r="BV118">
        <v>0</v>
      </c>
      <c r="BX118">
        <v>16</v>
      </c>
      <c r="BY118" t="s">
        <v>189</v>
      </c>
      <c r="BZ118">
        <v>4</v>
      </c>
      <c r="CA118">
        <v>11</v>
      </c>
      <c r="CB118" t="s">
        <v>84</v>
      </c>
      <c r="CC118" t="s">
        <v>84</v>
      </c>
      <c r="CD118" t="s">
        <v>3624</v>
      </c>
      <c r="CE118" t="s">
        <v>4252</v>
      </c>
      <c r="CF118" t="s">
        <v>3625</v>
      </c>
      <c r="CG118" t="s">
        <v>907</v>
      </c>
      <c r="CH118">
        <v>3</v>
      </c>
      <c r="CI118" t="s">
        <v>84</v>
      </c>
      <c r="CJ118" t="s">
        <v>546</v>
      </c>
      <c r="CK118" t="s">
        <v>289</v>
      </c>
      <c r="CL118" t="s">
        <v>263</v>
      </c>
      <c r="CM118" t="s">
        <v>193</v>
      </c>
      <c r="CN118" t="s">
        <v>3626</v>
      </c>
      <c r="CO118" t="s">
        <v>95</v>
      </c>
      <c r="CP118" t="s">
        <v>907</v>
      </c>
      <c r="CQ118" t="s">
        <v>116</v>
      </c>
      <c r="CR118" t="s">
        <v>84</v>
      </c>
      <c r="CS118" t="s">
        <v>117</v>
      </c>
      <c r="CT118" t="s">
        <v>264</v>
      </c>
      <c r="CU118" t="s">
        <v>3869</v>
      </c>
      <c r="CV118" t="s">
        <v>119</v>
      </c>
      <c r="CW118" t="s">
        <v>3627</v>
      </c>
      <c r="CX118" t="s">
        <v>166</v>
      </c>
      <c r="CY118" t="s">
        <v>167</v>
      </c>
      <c r="CZ118" t="s">
        <v>1270</v>
      </c>
      <c r="DA118">
        <v>2</v>
      </c>
      <c r="DB118" s="10">
        <v>11300</v>
      </c>
      <c r="DC118" t="s">
        <v>169</v>
      </c>
      <c r="DD118" t="s">
        <v>907</v>
      </c>
      <c r="DE118">
        <v>3</v>
      </c>
      <c r="DF118">
        <v>15</v>
      </c>
      <c r="DG118" t="s">
        <v>95</v>
      </c>
      <c r="DH118" t="s">
        <v>95</v>
      </c>
      <c r="DI118" t="s">
        <v>907</v>
      </c>
      <c r="DJ118" t="s">
        <v>907</v>
      </c>
      <c r="DK118" t="s">
        <v>907</v>
      </c>
      <c r="DL118" t="s">
        <v>907</v>
      </c>
      <c r="DM118" t="s">
        <v>291</v>
      </c>
      <c r="DN118" t="s">
        <v>907</v>
      </c>
      <c r="DO118" t="s">
        <v>907</v>
      </c>
      <c r="DP118">
        <v>5</v>
      </c>
      <c r="DQ118" t="s">
        <v>441</v>
      </c>
      <c r="DR118" t="s">
        <v>907</v>
      </c>
      <c r="DS118" t="s">
        <v>1423</v>
      </c>
      <c r="DT118" t="s">
        <v>1459</v>
      </c>
      <c r="DU118" t="s">
        <v>95</v>
      </c>
      <c r="DV118" t="s">
        <v>907</v>
      </c>
      <c r="DW118" t="s">
        <v>907</v>
      </c>
      <c r="DX118" t="s">
        <v>907</v>
      </c>
      <c r="FQ118">
        <v>569968892</v>
      </c>
      <c r="FR118" t="s">
        <v>3628</v>
      </c>
      <c r="FS118" s="1">
        <v>45930.441643518519</v>
      </c>
      <c r="FV118" t="s">
        <v>134</v>
      </c>
      <c r="FW118" t="s">
        <v>135</v>
      </c>
      <c r="FX118" t="s">
        <v>136</v>
      </c>
      <c r="FZ118">
        <v>566</v>
      </c>
    </row>
    <row r="119" spans="1:182" hidden="1" x14ac:dyDescent="0.3">
      <c r="A119" s="1">
        <v>45929.519365983797</v>
      </c>
      <c r="B119" s="1">
        <v>45930.283346388889</v>
      </c>
      <c r="D119" t="s">
        <v>84</v>
      </c>
      <c r="E119" t="s">
        <v>3876</v>
      </c>
      <c r="F119" t="s">
        <v>3269</v>
      </c>
      <c r="G119" t="s">
        <v>87</v>
      </c>
      <c r="H119" t="s">
        <v>4122</v>
      </c>
      <c r="I119" t="s">
        <v>3270</v>
      </c>
      <c r="J119" t="s">
        <v>3271</v>
      </c>
      <c r="K119" t="s">
        <v>90</v>
      </c>
      <c r="L119" t="s">
        <v>3248</v>
      </c>
      <c r="M119" t="s">
        <v>3242</v>
      </c>
      <c r="S119" t="s">
        <v>84</v>
      </c>
      <c r="T119" t="s">
        <v>94</v>
      </c>
      <c r="U119">
        <v>6</v>
      </c>
      <c r="V119" t="s">
        <v>95</v>
      </c>
      <c r="W119" t="s">
        <v>907</v>
      </c>
      <c r="X119">
        <v>15</v>
      </c>
      <c r="Y119">
        <v>4</v>
      </c>
      <c r="Z119">
        <v>4</v>
      </c>
      <c r="AA119" t="s">
        <v>96</v>
      </c>
      <c r="AB119" t="s">
        <v>351</v>
      </c>
      <c r="AC119" t="s">
        <v>98</v>
      </c>
      <c r="AD119" t="s">
        <v>99</v>
      </c>
      <c r="AE119" t="s">
        <v>304</v>
      </c>
      <c r="AF119" t="s">
        <v>907</v>
      </c>
      <c r="AG119">
        <v>14000</v>
      </c>
      <c r="AH119" t="s">
        <v>1047</v>
      </c>
      <c r="AI119" t="s">
        <v>907</v>
      </c>
      <c r="AJ119" s="5">
        <v>10000</v>
      </c>
      <c r="AK119" t="s">
        <v>102</v>
      </c>
      <c r="AL119" t="s">
        <v>907</v>
      </c>
      <c r="AM119" t="s">
        <v>149</v>
      </c>
      <c r="AN119" t="s">
        <v>907</v>
      </c>
      <c r="AO119" t="s">
        <v>267</v>
      </c>
      <c r="AP119" t="s">
        <v>3272</v>
      </c>
      <c r="AQ119" t="s">
        <v>3273</v>
      </c>
      <c r="AR119" t="s">
        <v>95</v>
      </c>
      <c r="AS119">
        <v>0</v>
      </c>
      <c r="AT119">
        <v>0</v>
      </c>
      <c r="AU119">
        <v>0</v>
      </c>
      <c r="AV119">
        <v>0</v>
      </c>
      <c r="AW119">
        <v>0</v>
      </c>
      <c r="AX119">
        <v>0</v>
      </c>
      <c r="AY119">
        <v>0</v>
      </c>
      <c r="AZ119" t="s">
        <v>1003</v>
      </c>
      <c r="BA119" t="s">
        <v>95</v>
      </c>
      <c r="BB119" t="s">
        <v>308</v>
      </c>
      <c r="BC119" t="s">
        <v>907</v>
      </c>
      <c r="BD119" t="s">
        <v>107</v>
      </c>
      <c r="BE119" t="s">
        <v>258</v>
      </c>
      <c r="BF119" t="s">
        <v>3274</v>
      </c>
      <c r="BG119" t="s">
        <v>156</v>
      </c>
      <c r="BH119">
        <v>34</v>
      </c>
      <c r="BL119">
        <v>12</v>
      </c>
      <c r="BN119">
        <v>3</v>
      </c>
      <c r="BP119">
        <v>5</v>
      </c>
      <c r="BR119">
        <v>2</v>
      </c>
      <c r="BT119">
        <v>2</v>
      </c>
      <c r="BV119">
        <v>3</v>
      </c>
      <c r="BX119">
        <v>7</v>
      </c>
      <c r="BY119" t="s">
        <v>110</v>
      </c>
      <c r="BZ119" t="s">
        <v>907</v>
      </c>
      <c r="CA119" t="s">
        <v>907</v>
      </c>
      <c r="CB119" t="s">
        <v>84</v>
      </c>
      <c r="CC119" t="s">
        <v>95</v>
      </c>
      <c r="CD119" t="s">
        <v>1167</v>
      </c>
      <c r="CE119" t="s">
        <v>4249</v>
      </c>
      <c r="CF119" t="s">
        <v>3275</v>
      </c>
      <c r="CG119" t="s">
        <v>907</v>
      </c>
      <c r="CH119">
        <v>3</v>
      </c>
      <c r="CI119" t="s">
        <v>95</v>
      </c>
      <c r="CJ119" t="s">
        <v>907</v>
      </c>
      <c r="CK119" t="s">
        <v>1005</v>
      </c>
      <c r="CL119" t="s">
        <v>895</v>
      </c>
      <c r="CM119" t="s">
        <v>547</v>
      </c>
      <c r="CN119" t="s">
        <v>3874</v>
      </c>
      <c r="CO119" t="s">
        <v>95</v>
      </c>
      <c r="CP119" t="s">
        <v>907</v>
      </c>
      <c r="CQ119" t="s">
        <v>116</v>
      </c>
      <c r="CR119" t="s">
        <v>95</v>
      </c>
      <c r="CS119" t="s">
        <v>907</v>
      </c>
      <c r="CT119" t="s">
        <v>907</v>
      </c>
      <c r="CU119" t="s">
        <v>907</v>
      </c>
      <c r="CV119" t="s">
        <v>119</v>
      </c>
      <c r="CW119" t="s">
        <v>3276</v>
      </c>
      <c r="CX119" t="s">
        <v>166</v>
      </c>
      <c r="CY119" t="s">
        <v>634</v>
      </c>
      <c r="CZ119" t="s">
        <v>3277</v>
      </c>
      <c r="DA119">
        <v>1</v>
      </c>
      <c r="DB119" s="10">
        <v>6000</v>
      </c>
      <c r="DC119" t="s">
        <v>169</v>
      </c>
      <c r="DD119" t="s">
        <v>907</v>
      </c>
      <c r="DE119">
        <v>5</v>
      </c>
      <c r="DF119">
        <v>20</v>
      </c>
      <c r="DG119" t="s">
        <v>95</v>
      </c>
      <c r="DH119" t="s">
        <v>95</v>
      </c>
      <c r="DI119" t="s">
        <v>907</v>
      </c>
      <c r="DJ119" t="s">
        <v>907</v>
      </c>
      <c r="DK119" t="s">
        <v>907</v>
      </c>
      <c r="DL119" t="s">
        <v>907</v>
      </c>
      <c r="DM119" t="s">
        <v>291</v>
      </c>
      <c r="DN119" t="s">
        <v>907</v>
      </c>
      <c r="DO119" t="s">
        <v>907</v>
      </c>
      <c r="DP119">
        <v>1</v>
      </c>
      <c r="DQ119" t="s">
        <v>441</v>
      </c>
      <c r="DR119" t="s">
        <v>907</v>
      </c>
      <c r="DS119" t="s">
        <v>442</v>
      </c>
      <c r="DT119" t="s">
        <v>621</v>
      </c>
      <c r="DU119" t="s">
        <v>84</v>
      </c>
      <c r="DV119" t="s">
        <v>294</v>
      </c>
      <c r="DW119" t="s">
        <v>132</v>
      </c>
      <c r="DX119" t="s">
        <v>95</v>
      </c>
      <c r="FQ119">
        <v>569746378</v>
      </c>
      <c r="FR119" t="s">
        <v>3278</v>
      </c>
      <c r="FS119" s="1">
        <v>45930.200254629628</v>
      </c>
      <c r="FV119" t="s">
        <v>134</v>
      </c>
      <c r="FW119" t="s">
        <v>135</v>
      </c>
      <c r="FX119" t="s">
        <v>136</v>
      </c>
      <c r="FZ119">
        <v>526</v>
      </c>
    </row>
    <row r="120" spans="1:182" hidden="1" x14ac:dyDescent="0.3">
      <c r="A120" s="1">
        <v>45930.424306759262</v>
      </c>
      <c r="B120" s="1">
        <v>45930.462766990742</v>
      </c>
      <c r="D120" t="s">
        <v>84</v>
      </c>
      <c r="E120" t="s">
        <v>1878</v>
      </c>
      <c r="F120" t="s">
        <v>4098</v>
      </c>
      <c r="G120" t="s">
        <v>176</v>
      </c>
      <c r="H120" t="s">
        <v>4121</v>
      </c>
      <c r="I120" t="s">
        <v>3508</v>
      </c>
      <c r="J120" t="s">
        <v>3509</v>
      </c>
      <c r="K120" t="s">
        <v>90</v>
      </c>
      <c r="L120" t="s">
        <v>3510</v>
      </c>
      <c r="M120" t="s">
        <v>1871</v>
      </c>
      <c r="N120" t="s">
        <v>3511</v>
      </c>
      <c r="O120">
        <v>-15.242387900000001</v>
      </c>
      <c r="P120">
        <v>22.877375399999998</v>
      </c>
      <c r="Q120">
        <v>1033.4000000000001</v>
      </c>
      <c r="R120">
        <v>4.0599999999999996</v>
      </c>
      <c r="S120" t="s">
        <v>95</v>
      </c>
      <c r="T120" t="s">
        <v>907</v>
      </c>
      <c r="U120" t="s">
        <v>907</v>
      </c>
      <c r="V120" t="s">
        <v>95</v>
      </c>
      <c r="W120" t="s">
        <v>907</v>
      </c>
      <c r="X120">
        <v>15</v>
      </c>
      <c r="Y120">
        <v>1</v>
      </c>
      <c r="Z120">
        <v>1</v>
      </c>
      <c r="AA120" t="s">
        <v>96</v>
      </c>
      <c r="AB120" t="s">
        <v>97</v>
      </c>
      <c r="AC120" t="s">
        <v>144</v>
      </c>
      <c r="AD120" t="s">
        <v>280</v>
      </c>
      <c r="AE120" t="s">
        <v>101</v>
      </c>
      <c r="AF120" t="s">
        <v>907</v>
      </c>
      <c r="AG120">
        <v>700</v>
      </c>
      <c r="AH120" t="s">
        <v>100</v>
      </c>
      <c r="AI120" t="s">
        <v>907</v>
      </c>
      <c r="AJ120" s="5">
        <v>175</v>
      </c>
      <c r="AK120" t="s">
        <v>102</v>
      </c>
      <c r="AL120" t="s">
        <v>907</v>
      </c>
      <c r="AM120" t="s">
        <v>3512</v>
      </c>
      <c r="AN120" t="s">
        <v>907</v>
      </c>
      <c r="AO120" t="s">
        <v>3513</v>
      </c>
      <c r="AP120" t="s">
        <v>3514</v>
      </c>
      <c r="AQ120" t="s">
        <v>3515</v>
      </c>
      <c r="AR120" t="s">
        <v>95</v>
      </c>
      <c r="AS120">
        <v>0</v>
      </c>
      <c r="AT120">
        <v>5</v>
      </c>
      <c r="AU120">
        <v>0</v>
      </c>
      <c r="AV120">
        <v>0</v>
      </c>
      <c r="AW120">
        <v>0</v>
      </c>
      <c r="AX120">
        <v>0</v>
      </c>
      <c r="AY120">
        <v>0</v>
      </c>
      <c r="AZ120" t="s">
        <v>629</v>
      </c>
      <c r="BA120" t="s">
        <v>95</v>
      </c>
      <c r="BB120" t="s">
        <v>308</v>
      </c>
      <c r="BC120" t="s">
        <v>907</v>
      </c>
      <c r="BD120" t="s">
        <v>257</v>
      </c>
      <c r="BE120" t="s">
        <v>363</v>
      </c>
      <c r="BF120" t="s">
        <v>2115</v>
      </c>
      <c r="BG120" t="s">
        <v>235</v>
      </c>
      <c r="BH120">
        <v>22</v>
      </c>
      <c r="BL120">
        <v>9</v>
      </c>
      <c r="BN120">
        <v>1</v>
      </c>
      <c r="BP120">
        <v>2</v>
      </c>
      <c r="BR120">
        <v>3</v>
      </c>
      <c r="BT120">
        <v>2</v>
      </c>
      <c r="BV120">
        <v>0</v>
      </c>
      <c r="BX120">
        <v>5</v>
      </c>
      <c r="BY120" t="s">
        <v>189</v>
      </c>
      <c r="BZ120">
        <v>3</v>
      </c>
      <c r="CA120">
        <v>5</v>
      </c>
      <c r="CB120" t="s">
        <v>84</v>
      </c>
      <c r="CC120" t="s">
        <v>84</v>
      </c>
      <c r="CD120" t="s">
        <v>2696</v>
      </c>
      <c r="CE120" t="s">
        <v>4249</v>
      </c>
      <c r="CF120" t="s">
        <v>3516</v>
      </c>
      <c r="CG120" t="s">
        <v>907</v>
      </c>
      <c r="CH120">
        <v>3</v>
      </c>
      <c r="CI120" t="s">
        <v>84</v>
      </c>
      <c r="CJ120" t="s">
        <v>546</v>
      </c>
      <c r="CK120" t="s">
        <v>289</v>
      </c>
      <c r="CL120" t="s">
        <v>263</v>
      </c>
      <c r="CM120" t="s">
        <v>193</v>
      </c>
      <c r="CN120" t="s">
        <v>3874</v>
      </c>
      <c r="CO120" t="s">
        <v>95</v>
      </c>
      <c r="CP120" t="s">
        <v>907</v>
      </c>
      <c r="CQ120" t="s">
        <v>116</v>
      </c>
      <c r="CR120" t="s">
        <v>84</v>
      </c>
      <c r="CS120" t="s">
        <v>117</v>
      </c>
      <c r="CT120" t="s">
        <v>163</v>
      </c>
      <c r="CU120" t="s">
        <v>3869</v>
      </c>
      <c r="CV120" t="s">
        <v>812</v>
      </c>
      <c r="CW120" t="s">
        <v>495</v>
      </c>
      <c r="CX120" t="s">
        <v>166</v>
      </c>
      <c r="CY120" t="s">
        <v>167</v>
      </c>
      <c r="CZ120" t="s">
        <v>3517</v>
      </c>
      <c r="DA120">
        <v>2</v>
      </c>
      <c r="DB120" s="10">
        <v>13000</v>
      </c>
      <c r="DC120" t="s">
        <v>169</v>
      </c>
      <c r="DD120" t="s">
        <v>907</v>
      </c>
      <c r="DE120">
        <v>1</v>
      </c>
      <c r="DF120">
        <v>26</v>
      </c>
      <c r="DG120" t="s">
        <v>84</v>
      </c>
      <c r="DH120" t="s">
        <v>95</v>
      </c>
      <c r="DI120" t="s">
        <v>907</v>
      </c>
      <c r="DJ120" t="s">
        <v>907</v>
      </c>
      <c r="DK120" t="s">
        <v>907</v>
      </c>
      <c r="DL120" t="s">
        <v>907</v>
      </c>
      <c r="DM120" t="s">
        <v>291</v>
      </c>
      <c r="DN120" t="s">
        <v>907</v>
      </c>
      <c r="DO120" t="s">
        <v>907</v>
      </c>
      <c r="DP120">
        <v>3</v>
      </c>
      <c r="DQ120" t="s">
        <v>128</v>
      </c>
      <c r="DR120" t="s">
        <v>907</v>
      </c>
      <c r="DS120" t="s">
        <v>172</v>
      </c>
      <c r="DT120" t="s">
        <v>650</v>
      </c>
      <c r="DU120" t="s">
        <v>95</v>
      </c>
      <c r="DV120" t="s">
        <v>907</v>
      </c>
      <c r="DW120" t="s">
        <v>907</v>
      </c>
      <c r="DX120" t="s">
        <v>907</v>
      </c>
      <c r="FQ120">
        <v>569916760</v>
      </c>
      <c r="FR120" t="s">
        <v>3518</v>
      </c>
      <c r="FS120" s="1">
        <v>45930.395092592589</v>
      </c>
      <c r="FV120" t="s">
        <v>134</v>
      </c>
      <c r="FW120" t="s">
        <v>135</v>
      </c>
      <c r="FX120" t="s">
        <v>136</v>
      </c>
      <c r="FZ120">
        <v>555</v>
      </c>
    </row>
    <row r="121" spans="1:182" x14ac:dyDescent="0.3">
      <c r="A121" s="1">
        <v>45929.509814224541</v>
      </c>
      <c r="B121" s="1">
        <v>45929.520878831019</v>
      </c>
      <c r="D121" t="s">
        <v>84</v>
      </c>
      <c r="E121" t="s">
        <v>1226</v>
      </c>
      <c r="F121" t="s">
        <v>3311</v>
      </c>
      <c r="G121" t="s">
        <v>176</v>
      </c>
      <c r="H121" t="s">
        <v>4122</v>
      </c>
      <c r="I121" t="s">
        <v>3312</v>
      </c>
      <c r="J121" t="s">
        <v>3313</v>
      </c>
      <c r="K121" t="s">
        <v>90</v>
      </c>
      <c r="L121" t="s">
        <v>4072</v>
      </c>
      <c r="M121" t="s">
        <v>3314</v>
      </c>
      <c r="N121" t="s">
        <v>3315</v>
      </c>
      <c r="O121">
        <v>-15.382441699999999</v>
      </c>
      <c r="P121">
        <v>23.014476699999999</v>
      </c>
      <c r="Q121">
        <v>1015</v>
      </c>
      <c r="R121">
        <v>4.9000000000000004</v>
      </c>
      <c r="S121" t="s">
        <v>84</v>
      </c>
      <c r="T121" t="s">
        <v>94</v>
      </c>
      <c r="U121">
        <v>5</v>
      </c>
      <c r="V121" t="s">
        <v>95</v>
      </c>
      <c r="W121" t="s">
        <v>907</v>
      </c>
      <c r="X121">
        <v>10</v>
      </c>
      <c r="Y121">
        <v>10</v>
      </c>
      <c r="Z121">
        <v>2</v>
      </c>
      <c r="AA121" t="s">
        <v>251</v>
      </c>
      <c r="AB121" t="s">
        <v>97</v>
      </c>
      <c r="AC121" t="s">
        <v>98</v>
      </c>
      <c r="AD121" t="s">
        <v>252</v>
      </c>
      <c r="AE121" t="s">
        <v>304</v>
      </c>
      <c r="AF121" t="s">
        <v>907</v>
      </c>
      <c r="AG121" s="3">
        <v>5000</v>
      </c>
      <c r="AH121" t="s">
        <v>908</v>
      </c>
      <c r="AI121" t="s">
        <v>907</v>
      </c>
      <c r="AJ121" s="5">
        <v>2000</v>
      </c>
      <c r="AK121" t="s">
        <v>102</v>
      </c>
      <c r="AL121" t="s">
        <v>907</v>
      </c>
      <c r="AM121" t="s">
        <v>4130</v>
      </c>
      <c r="AN121" t="s">
        <v>907</v>
      </c>
      <c r="AQ121" t="s">
        <v>909</v>
      </c>
      <c r="AR121" t="s">
        <v>95</v>
      </c>
      <c r="AS121">
        <v>0</v>
      </c>
      <c r="AT121">
        <v>0</v>
      </c>
      <c r="AU121">
        <v>0</v>
      </c>
      <c r="AV121">
        <v>0</v>
      </c>
      <c r="AW121">
        <v>0</v>
      </c>
      <c r="AX121">
        <v>0</v>
      </c>
      <c r="AY121">
        <v>0</v>
      </c>
      <c r="AZ121" t="s">
        <v>284</v>
      </c>
      <c r="BA121" t="s">
        <v>95</v>
      </c>
      <c r="BB121" t="s">
        <v>154</v>
      </c>
      <c r="BC121" t="s">
        <v>907</v>
      </c>
      <c r="BD121" t="s">
        <v>107</v>
      </c>
      <c r="BE121" t="s">
        <v>258</v>
      </c>
      <c r="BF121" t="s">
        <v>309</v>
      </c>
      <c r="BG121" t="s">
        <v>2033</v>
      </c>
      <c r="BH121">
        <v>26</v>
      </c>
      <c r="BL121">
        <v>9</v>
      </c>
      <c r="BN121">
        <v>2</v>
      </c>
      <c r="BP121">
        <v>2</v>
      </c>
      <c r="BR121">
        <v>3</v>
      </c>
      <c r="BT121">
        <v>2</v>
      </c>
      <c r="BV121">
        <v>4</v>
      </c>
      <c r="BX121">
        <v>4</v>
      </c>
      <c r="BY121" t="s">
        <v>110</v>
      </c>
      <c r="BZ121" t="s">
        <v>907</v>
      </c>
      <c r="CA121" t="s">
        <v>907</v>
      </c>
      <c r="CB121" t="s">
        <v>84</v>
      </c>
      <c r="CC121" t="s">
        <v>84</v>
      </c>
      <c r="CD121" t="s">
        <v>334</v>
      </c>
      <c r="CE121" t="s">
        <v>4251</v>
      </c>
      <c r="CF121" t="s">
        <v>4073</v>
      </c>
      <c r="CG121" t="s">
        <v>907</v>
      </c>
      <c r="CH121">
        <v>3</v>
      </c>
      <c r="CI121" t="s">
        <v>95</v>
      </c>
      <c r="CJ121" t="s">
        <v>907</v>
      </c>
      <c r="CK121" t="s">
        <v>289</v>
      </c>
      <c r="CL121" t="s">
        <v>367</v>
      </c>
      <c r="CM121" t="s">
        <v>193</v>
      </c>
      <c r="CN121" t="s">
        <v>421</v>
      </c>
      <c r="CO121" t="s">
        <v>95</v>
      </c>
      <c r="CP121" t="s">
        <v>907</v>
      </c>
      <c r="CQ121" t="s">
        <v>116</v>
      </c>
      <c r="CR121" t="s">
        <v>84</v>
      </c>
      <c r="CS121" t="s">
        <v>117</v>
      </c>
      <c r="CT121" t="s">
        <v>118</v>
      </c>
      <c r="CU121" t="s">
        <v>3869</v>
      </c>
      <c r="CV121" t="s">
        <v>812</v>
      </c>
      <c r="CW121" t="s">
        <v>529</v>
      </c>
      <c r="CX121" t="s">
        <v>166</v>
      </c>
      <c r="CY121" t="s">
        <v>167</v>
      </c>
      <c r="CZ121" t="s">
        <v>530</v>
      </c>
      <c r="DA121">
        <v>2</v>
      </c>
      <c r="DB121" s="10">
        <v>15000</v>
      </c>
      <c r="DC121" t="s">
        <v>169</v>
      </c>
      <c r="DD121" t="s">
        <v>907</v>
      </c>
      <c r="DE121">
        <v>4</v>
      </c>
      <c r="DF121">
        <v>20</v>
      </c>
      <c r="DG121" t="s">
        <v>95</v>
      </c>
      <c r="DH121" t="s">
        <v>95</v>
      </c>
      <c r="DI121" t="s">
        <v>907</v>
      </c>
      <c r="DJ121" t="s">
        <v>907</v>
      </c>
      <c r="DK121" t="s">
        <v>907</v>
      </c>
      <c r="DL121" t="s">
        <v>907</v>
      </c>
      <c r="DM121" t="s">
        <v>291</v>
      </c>
      <c r="DN121" t="s">
        <v>907</v>
      </c>
      <c r="DO121" t="s">
        <v>907</v>
      </c>
      <c r="DP121">
        <v>4</v>
      </c>
      <c r="DQ121" t="s">
        <v>441</v>
      </c>
      <c r="DR121" t="s">
        <v>907</v>
      </c>
      <c r="DS121" t="s">
        <v>3316</v>
      </c>
      <c r="DT121" t="s">
        <v>3317</v>
      </c>
      <c r="DU121" t="s">
        <v>84</v>
      </c>
      <c r="DV121" t="s">
        <v>796</v>
      </c>
      <c r="DW121" t="s">
        <v>533</v>
      </c>
      <c r="DX121" t="s">
        <v>95</v>
      </c>
      <c r="FQ121">
        <v>569747602</v>
      </c>
      <c r="FR121" t="s">
        <v>3318</v>
      </c>
      <c r="FS121" s="1">
        <v>45930.2030787037</v>
      </c>
      <c r="FV121" t="s">
        <v>134</v>
      </c>
      <c r="FW121" t="s">
        <v>135</v>
      </c>
      <c r="FX121" t="s">
        <v>136</v>
      </c>
      <c r="FZ121">
        <v>530</v>
      </c>
    </row>
    <row r="122" spans="1:182" hidden="1" x14ac:dyDescent="0.3">
      <c r="A122" s="1">
        <v>45925.391550081018</v>
      </c>
      <c r="B122" s="1">
        <v>45925.41167804398</v>
      </c>
      <c r="D122" t="s">
        <v>84</v>
      </c>
      <c r="E122" t="s">
        <v>3878</v>
      </c>
      <c r="F122" t="s">
        <v>1859</v>
      </c>
      <c r="G122" t="s">
        <v>176</v>
      </c>
      <c r="H122" t="s">
        <v>4122</v>
      </c>
      <c r="I122" t="s">
        <v>1860</v>
      </c>
      <c r="J122" t="s">
        <v>1861</v>
      </c>
      <c r="K122" t="s">
        <v>90</v>
      </c>
      <c r="L122" t="s">
        <v>1862</v>
      </c>
      <c r="M122" t="s">
        <v>1731</v>
      </c>
      <c r="N122" t="s">
        <v>1863</v>
      </c>
      <c r="O122">
        <v>-15.22064</v>
      </c>
      <c r="P122">
        <v>22.9984967</v>
      </c>
      <c r="Q122">
        <v>1033.2</v>
      </c>
      <c r="R122">
        <v>4.55</v>
      </c>
      <c r="S122" t="s">
        <v>84</v>
      </c>
      <c r="T122" t="s">
        <v>94</v>
      </c>
      <c r="U122">
        <v>5</v>
      </c>
      <c r="V122" t="s">
        <v>95</v>
      </c>
      <c r="W122" t="s">
        <v>907</v>
      </c>
      <c r="X122">
        <v>16</v>
      </c>
      <c r="Y122">
        <v>0.25</v>
      </c>
      <c r="Z122">
        <v>0.25</v>
      </c>
      <c r="AA122" t="s">
        <v>4181</v>
      </c>
      <c r="AB122" t="s">
        <v>97</v>
      </c>
      <c r="AC122" t="s">
        <v>144</v>
      </c>
      <c r="AD122" t="s">
        <v>280</v>
      </c>
      <c r="AE122" t="s">
        <v>304</v>
      </c>
      <c r="AF122" t="s">
        <v>907</v>
      </c>
      <c r="AG122">
        <v>8000</v>
      </c>
      <c r="AH122" t="s">
        <v>100</v>
      </c>
      <c r="AI122" t="s">
        <v>907</v>
      </c>
      <c r="AJ122" s="5">
        <v>6000</v>
      </c>
      <c r="AK122" t="s">
        <v>304</v>
      </c>
      <c r="AL122" t="s">
        <v>907</v>
      </c>
      <c r="AM122" t="s">
        <v>907</v>
      </c>
      <c r="AN122" t="s">
        <v>907</v>
      </c>
      <c r="AQ122" t="s">
        <v>907</v>
      </c>
      <c r="AR122" t="s">
        <v>907</v>
      </c>
      <c r="AS122">
        <v>0</v>
      </c>
      <c r="AT122">
        <v>0</v>
      </c>
      <c r="AU122">
        <v>0</v>
      </c>
      <c r="AV122">
        <v>0</v>
      </c>
      <c r="AW122">
        <v>0</v>
      </c>
      <c r="AX122">
        <v>0</v>
      </c>
      <c r="AY122">
        <v>0</v>
      </c>
      <c r="AZ122" t="s">
        <v>106</v>
      </c>
      <c r="BA122" t="s">
        <v>907</v>
      </c>
      <c r="BB122" t="s">
        <v>232</v>
      </c>
      <c r="BC122" t="s">
        <v>95</v>
      </c>
      <c r="BD122" t="s">
        <v>907</v>
      </c>
      <c r="BE122" t="s">
        <v>907</v>
      </c>
      <c r="BF122" t="s">
        <v>907</v>
      </c>
      <c r="BG122" t="s">
        <v>156</v>
      </c>
      <c r="BH122">
        <v>105</v>
      </c>
      <c r="BL122">
        <v>52</v>
      </c>
      <c r="BN122">
        <v>4</v>
      </c>
      <c r="BP122">
        <v>0</v>
      </c>
      <c r="BR122">
        <v>0</v>
      </c>
      <c r="BT122">
        <v>14</v>
      </c>
      <c r="BV122">
        <v>0</v>
      </c>
      <c r="BX122">
        <v>28</v>
      </c>
      <c r="BY122" t="s">
        <v>189</v>
      </c>
      <c r="BZ122">
        <v>3</v>
      </c>
      <c r="CA122">
        <v>34</v>
      </c>
      <c r="CB122" t="s">
        <v>84</v>
      </c>
      <c r="CC122" t="s">
        <v>84</v>
      </c>
      <c r="CD122" t="s">
        <v>1167</v>
      </c>
      <c r="CE122" t="s">
        <v>4252</v>
      </c>
      <c r="CF122" t="s">
        <v>1735</v>
      </c>
      <c r="CG122" t="s">
        <v>907</v>
      </c>
      <c r="CH122">
        <v>3</v>
      </c>
      <c r="CI122" t="s">
        <v>95</v>
      </c>
      <c r="CJ122" t="s">
        <v>907</v>
      </c>
      <c r="CK122" t="s">
        <v>113</v>
      </c>
      <c r="CL122" t="s">
        <v>1196</v>
      </c>
      <c r="CM122" t="s">
        <v>162</v>
      </c>
      <c r="CN122" t="s">
        <v>3903</v>
      </c>
      <c r="CO122" t="s">
        <v>95</v>
      </c>
      <c r="CP122" t="s">
        <v>907</v>
      </c>
      <c r="CQ122" t="s">
        <v>116</v>
      </c>
      <c r="CR122" t="s">
        <v>95</v>
      </c>
      <c r="CS122" t="s">
        <v>907</v>
      </c>
      <c r="CT122" t="s">
        <v>907</v>
      </c>
      <c r="CU122" t="s">
        <v>907</v>
      </c>
      <c r="CV122" t="s">
        <v>907</v>
      </c>
      <c r="CW122" t="s">
        <v>907</v>
      </c>
      <c r="CX122" t="s">
        <v>166</v>
      </c>
      <c r="CY122" t="s">
        <v>167</v>
      </c>
      <c r="CZ122" t="s">
        <v>1864</v>
      </c>
      <c r="DA122">
        <v>6</v>
      </c>
      <c r="DB122" s="10">
        <v>35000</v>
      </c>
      <c r="DC122" t="s">
        <v>169</v>
      </c>
      <c r="DD122" t="s">
        <v>907</v>
      </c>
      <c r="DE122">
        <v>2</v>
      </c>
      <c r="DF122">
        <v>11</v>
      </c>
      <c r="DG122" t="s">
        <v>84</v>
      </c>
      <c r="DH122" t="s">
        <v>95</v>
      </c>
      <c r="DI122" t="s">
        <v>907</v>
      </c>
      <c r="DJ122" t="s">
        <v>907</v>
      </c>
      <c r="DK122" t="s">
        <v>907</v>
      </c>
      <c r="DL122" t="s">
        <v>907</v>
      </c>
      <c r="DM122" t="s">
        <v>291</v>
      </c>
      <c r="DN122" t="s">
        <v>907</v>
      </c>
      <c r="DO122" t="s">
        <v>907</v>
      </c>
      <c r="DP122">
        <v>2</v>
      </c>
      <c r="DQ122" t="s">
        <v>441</v>
      </c>
      <c r="DR122" t="s">
        <v>907</v>
      </c>
      <c r="DS122" t="s">
        <v>1865</v>
      </c>
      <c r="DT122" t="s">
        <v>621</v>
      </c>
      <c r="DU122" t="s">
        <v>95</v>
      </c>
      <c r="DV122" t="s">
        <v>907</v>
      </c>
      <c r="DW122" t="s">
        <v>907</v>
      </c>
      <c r="DX122" t="s">
        <v>907</v>
      </c>
      <c r="FQ122">
        <v>566790071</v>
      </c>
      <c r="FR122" t="s">
        <v>1866</v>
      </c>
      <c r="FS122" s="1">
        <v>45925.665439814817</v>
      </c>
      <c r="FV122" t="s">
        <v>134</v>
      </c>
      <c r="FW122" t="s">
        <v>135</v>
      </c>
      <c r="FX122" t="s">
        <v>136</v>
      </c>
      <c r="FZ122">
        <v>284</v>
      </c>
    </row>
    <row r="123" spans="1:182" x14ac:dyDescent="0.3">
      <c r="A123" s="1">
        <v>45925.483043599539</v>
      </c>
      <c r="B123" s="1">
        <v>45925.510156192133</v>
      </c>
      <c r="D123" t="s">
        <v>84</v>
      </c>
      <c r="E123" t="s">
        <v>1397</v>
      </c>
      <c r="F123" t="s">
        <v>2135</v>
      </c>
      <c r="G123" t="s">
        <v>176</v>
      </c>
      <c r="H123" t="s">
        <v>4122</v>
      </c>
      <c r="I123" t="s">
        <v>2136</v>
      </c>
      <c r="J123" t="s">
        <v>2137</v>
      </c>
      <c r="K123" t="s">
        <v>90</v>
      </c>
      <c r="L123" t="s">
        <v>2138</v>
      </c>
      <c r="M123" t="s">
        <v>2139</v>
      </c>
      <c r="N123" t="s">
        <v>2140</v>
      </c>
      <c r="O123">
        <v>-15.233533</v>
      </c>
      <c r="P123">
        <v>22.991833100000001</v>
      </c>
      <c r="Q123">
        <v>1022.637817382812</v>
      </c>
      <c r="R123">
        <v>3.9830000000000001</v>
      </c>
      <c r="S123" t="s">
        <v>84</v>
      </c>
      <c r="T123" t="s">
        <v>94</v>
      </c>
      <c r="U123">
        <v>6</v>
      </c>
      <c r="V123" t="s">
        <v>95</v>
      </c>
      <c r="W123" t="s">
        <v>907</v>
      </c>
      <c r="X123">
        <v>20</v>
      </c>
      <c r="Y123" s="3">
        <v>40</v>
      </c>
      <c r="Z123">
        <v>3</v>
      </c>
      <c r="AA123" t="s">
        <v>251</v>
      </c>
      <c r="AB123" t="s">
        <v>351</v>
      </c>
      <c r="AC123" t="s">
        <v>98</v>
      </c>
      <c r="AD123" t="s">
        <v>252</v>
      </c>
      <c r="AE123" t="s">
        <v>100</v>
      </c>
      <c r="AF123" t="s">
        <v>907</v>
      </c>
      <c r="AG123" s="3">
        <v>1000</v>
      </c>
      <c r="AH123" t="s">
        <v>101</v>
      </c>
      <c r="AI123" t="s">
        <v>907</v>
      </c>
      <c r="AJ123" s="5">
        <v>2000</v>
      </c>
      <c r="AK123" t="s">
        <v>102</v>
      </c>
      <c r="AL123" t="s">
        <v>907</v>
      </c>
      <c r="AM123" t="s">
        <v>2141</v>
      </c>
      <c r="AN123" t="s">
        <v>907</v>
      </c>
      <c r="AO123" t="s">
        <v>2142</v>
      </c>
      <c r="AP123" t="s">
        <v>2143</v>
      </c>
      <c r="AQ123" t="s">
        <v>466</v>
      </c>
      <c r="AR123" t="s">
        <v>95</v>
      </c>
      <c r="AS123">
        <v>7</v>
      </c>
      <c r="AT123">
        <v>0</v>
      </c>
      <c r="AU123">
        <v>0</v>
      </c>
      <c r="AV123">
        <v>10</v>
      </c>
      <c r="AW123">
        <v>0</v>
      </c>
      <c r="AX123">
        <v>0</v>
      </c>
      <c r="AY123">
        <v>0</v>
      </c>
      <c r="AZ123" t="s">
        <v>284</v>
      </c>
      <c r="BA123" t="s">
        <v>452</v>
      </c>
      <c r="BB123" t="s">
        <v>154</v>
      </c>
      <c r="BC123" t="s">
        <v>907</v>
      </c>
      <c r="BD123" t="s">
        <v>107</v>
      </c>
      <c r="BE123" t="s">
        <v>258</v>
      </c>
      <c r="BF123" t="s">
        <v>2144</v>
      </c>
      <c r="BG123" t="s">
        <v>109</v>
      </c>
      <c r="BH123">
        <v>28</v>
      </c>
      <c r="BL123">
        <v>10</v>
      </c>
      <c r="BN123">
        <v>4</v>
      </c>
      <c r="BP123">
        <v>2</v>
      </c>
      <c r="BR123">
        <v>5</v>
      </c>
      <c r="BT123">
        <v>1</v>
      </c>
      <c r="BV123">
        <v>2</v>
      </c>
      <c r="BX123">
        <v>4</v>
      </c>
      <c r="BY123" t="s">
        <v>110</v>
      </c>
      <c r="BZ123" t="s">
        <v>907</v>
      </c>
      <c r="CA123" t="s">
        <v>907</v>
      </c>
      <c r="CB123" t="s">
        <v>84</v>
      </c>
      <c r="CC123" t="s">
        <v>84</v>
      </c>
      <c r="CD123" t="s">
        <v>957</v>
      </c>
      <c r="CE123" t="s">
        <v>4250</v>
      </c>
      <c r="CF123" t="s">
        <v>2145</v>
      </c>
      <c r="CG123" t="s">
        <v>907</v>
      </c>
      <c r="CH123">
        <v>3</v>
      </c>
      <c r="CI123" t="s">
        <v>95</v>
      </c>
      <c r="CJ123" t="s">
        <v>907</v>
      </c>
      <c r="CK123" t="s">
        <v>289</v>
      </c>
      <c r="CL123" t="s">
        <v>367</v>
      </c>
      <c r="CM123" t="s">
        <v>547</v>
      </c>
      <c r="CN123" t="s">
        <v>421</v>
      </c>
      <c r="CO123" t="s">
        <v>95</v>
      </c>
      <c r="CP123" t="s">
        <v>907</v>
      </c>
      <c r="CQ123" t="s">
        <v>116</v>
      </c>
      <c r="CR123" t="s">
        <v>84</v>
      </c>
      <c r="CS123" t="s">
        <v>117</v>
      </c>
      <c r="CT123" t="s">
        <v>118</v>
      </c>
      <c r="CU123" t="s">
        <v>3869</v>
      </c>
      <c r="CV123" t="s">
        <v>812</v>
      </c>
      <c r="CW123" t="s">
        <v>495</v>
      </c>
      <c r="CX123" t="s">
        <v>166</v>
      </c>
      <c r="CY123" t="s">
        <v>167</v>
      </c>
      <c r="CZ123" t="s">
        <v>2146</v>
      </c>
      <c r="DA123">
        <v>0</v>
      </c>
      <c r="DB123" s="10" t="s">
        <v>907</v>
      </c>
      <c r="DC123" t="s">
        <v>169</v>
      </c>
      <c r="DD123" t="s">
        <v>907</v>
      </c>
      <c r="DE123">
        <v>5</v>
      </c>
      <c r="DF123">
        <v>12</v>
      </c>
      <c r="DG123" t="s">
        <v>95</v>
      </c>
      <c r="DH123" t="s">
        <v>95</v>
      </c>
      <c r="DI123" t="s">
        <v>907</v>
      </c>
      <c r="DJ123" t="s">
        <v>907</v>
      </c>
      <c r="DK123" t="s">
        <v>907</v>
      </c>
      <c r="DL123" t="s">
        <v>907</v>
      </c>
      <c r="DM123" t="s">
        <v>291</v>
      </c>
      <c r="DN123" t="s">
        <v>907</v>
      </c>
      <c r="DO123" t="s">
        <v>907</v>
      </c>
      <c r="DP123">
        <v>100</v>
      </c>
      <c r="DQ123" t="s">
        <v>441</v>
      </c>
      <c r="DR123" t="s">
        <v>907</v>
      </c>
      <c r="DS123" t="s">
        <v>898</v>
      </c>
      <c r="DT123" t="s">
        <v>1408</v>
      </c>
      <c r="DU123" t="s">
        <v>84</v>
      </c>
      <c r="DV123" t="s">
        <v>2147</v>
      </c>
      <c r="DW123" t="s">
        <v>2148</v>
      </c>
      <c r="DX123" t="s">
        <v>95</v>
      </c>
      <c r="FQ123">
        <v>566874410</v>
      </c>
      <c r="FR123" t="s">
        <v>2149</v>
      </c>
      <c r="FS123" s="1">
        <v>45925.742650462962</v>
      </c>
      <c r="FV123" t="s">
        <v>134</v>
      </c>
      <c r="FW123" t="s">
        <v>135</v>
      </c>
      <c r="FX123" t="s">
        <v>136</v>
      </c>
      <c r="FZ123">
        <v>308</v>
      </c>
    </row>
    <row r="124" spans="1:182" hidden="1" x14ac:dyDescent="0.3">
      <c r="A124" s="1">
        <v>45924.682219351853</v>
      </c>
      <c r="B124" s="1">
        <v>45924.712133993053</v>
      </c>
      <c r="D124" t="s">
        <v>84</v>
      </c>
      <c r="E124" t="s">
        <v>297</v>
      </c>
      <c r="F124" t="s">
        <v>1545</v>
      </c>
      <c r="G124" t="s">
        <v>176</v>
      </c>
      <c r="H124" t="s">
        <v>4121</v>
      </c>
      <c r="I124" t="s">
        <v>1546</v>
      </c>
      <c r="J124" t="s">
        <v>1547</v>
      </c>
      <c r="K124" t="s">
        <v>90</v>
      </c>
      <c r="L124" t="s">
        <v>1548</v>
      </c>
      <c r="M124" t="s">
        <v>670</v>
      </c>
      <c r="N124" t="s">
        <v>1549</v>
      </c>
      <c r="O124">
        <v>-15.2762005</v>
      </c>
      <c r="P124">
        <v>23.035276199999998</v>
      </c>
      <c r="Q124">
        <v>1027.924926757812</v>
      </c>
      <c r="R124">
        <v>4.6319999999999997</v>
      </c>
      <c r="S124" t="s">
        <v>84</v>
      </c>
      <c r="T124" t="s">
        <v>94</v>
      </c>
      <c r="U124">
        <v>1</v>
      </c>
      <c r="V124" t="s">
        <v>95</v>
      </c>
      <c r="W124" t="s">
        <v>907</v>
      </c>
      <c r="X124">
        <v>2</v>
      </c>
      <c r="Y124">
        <v>1</v>
      </c>
      <c r="Z124">
        <v>1</v>
      </c>
      <c r="AA124" t="s">
        <v>96</v>
      </c>
      <c r="AB124" t="s">
        <v>351</v>
      </c>
      <c r="AC124" t="s">
        <v>144</v>
      </c>
      <c r="AD124" t="s">
        <v>99</v>
      </c>
      <c r="AE124" t="s">
        <v>100</v>
      </c>
      <c r="AF124" t="s">
        <v>907</v>
      </c>
      <c r="AG124">
        <v>500</v>
      </c>
      <c r="AH124" t="s">
        <v>101</v>
      </c>
      <c r="AI124" t="s">
        <v>907</v>
      </c>
      <c r="AJ124" s="5">
        <v>200</v>
      </c>
      <c r="AK124" t="s">
        <v>148</v>
      </c>
      <c r="AL124" t="s">
        <v>907</v>
      </c>
      <c r="AM124" t="s">
        <v>1076</v>
      </c>
      <c r="AN124" t="s">
        <v>1550</v>
      </c>
      <c r="AO124" t="s">
        <v>1551</v>
      </c>
      <c r="AP124" t="s">
        <v>267</v>
      </c>
      <c r="AQ124" t="s">
        <v>466</v>
      </c>
      <c r="AR124" t="s">
        <v>95</v>
      </c>
      <c r="AS124">
        <v>0</v>
      </c>
      <c r="AT124">
        <v>0</v>
      </c>
      <c r="AU124">
        <v>0</v>
      </c>
      <c r="AV124">
        <v>0</v>
      </c>
      <c r="AW124">
        <v>0</v>
      </c>
      <c r="AX124">
        <v>0</v>
      </c>
      <c r="AY124">
        <v>0</v>
      </c>
      <c r="AZ124" t="s">
        <v>256</v>
      </c>
      <c r="BA124" t="s">
        <v>95</v>
      </c>
      <c r="BB124" t="s">
        <v>154</v>
      </c>
      <c r="BC124" t="s">
        <v>907</v>
      </c>
      <c r="BD124" t="s">
        <v>107</v>
      </c>
      <c r="BE124" t="s">
        <v>258</v>
      </c>
      <c r="BF124" t="s">
        <v>403</v>
      </c>
      <c r="BG124" t="s">
        <v>156</v>
      </c>
      <c r="BH124">
        <v>31</v>
      </c>
      <c r="BL124">
        <v>10</v>
      </c>
      <c r="BN124">
        <v>1</v>
      </c>
      <c r="BP124">
        <v>2</v>
      </c>
      <c r="BR124">
        <v>7</v>
      </c>
      <c r="BT124">
        <v>0</v>
      </c>
      <c r="BV124">
        <v>0</v>
      </c>
      <c r="BX124">
        <v>11</v>
      </c>
      <c r="BY124" t="s">
        <v>110</v>
      </c>
      <c r="BZ124" t="s">
        <v>907</v>
      </c>
      <c r="CA124" t="s">
        <v>907</v>
      </c>
      <c r="CB124" t="s">
        <v>84</v>
      </c>
      <c r="CC124" t="s">
        <v>84</v>
      </c>
      <c r="CD124" t="s">
        <v>978</v>
      </c>
      <c r="CE124" t="s">
        <v>4250</v>
      </c>
      <c r="CF124" t="s">
        <v>1552</v>
      </c>
      <c r="CG124" t="s">
        <v>907</v>
      </c>
      <c r="CH124">
        <v>3</v>
      </c>
      <c r="CI124" t="s">
        <v>84</v>
      </c>
      <c r="CJ124" t="s">
        <v>586</v>
      </c>
      <c r="CK124" t="s">
        <v>113</v>
      </c>
      <c r="CL124" t="s">
        <v>1505</v>
      </c>
      <c r="CM124" t="s">
        <v>193</v>
      </c>
      <c r="CN124" t="s">
        <v>3874</v>
      </c>
      <c r="CO124" t="s">
        <v>95</v>
      </c>
      <c r="CP124" t="s">
        <v>907</v>
      </c>
      <c r="CQ124" t="s">
        <v>116</v>
      </c>
      <c r="CR124" t="s">
        <v>84</v>
      </c>
      <c r="CS124" t="s">
        <v>117</v>
      </c>
      <c r="CT124" t="s">
        <v>264</v>
      </c>
      <c r="CU124" t="s">
        <v>793</v>
      </c>
      <c r="CV124" t="s">
        <v>812</v>
      </c>
      <c r="CW124" t="s">
        <v>1553</v>
      </c>
      <c r="CX124" t="s">
        <v>166</v>
      </c>
      <c r="CY124" t="s">
        <v>167</v>
      </c>
      <c r="CZ124" t="s">
        <v>1301</v>
      </c>
      <c r="DA124">
        <v>1</v>
      </c>
      <c r="DB124" s="10">
        <v>3000</v>
      </c>
      <c r="DC124" t="s">
        <v>123</v>
      </c>
      <c r="DD124" t="s">
        <v>3944</v>
      </c>
      <c r="DE124">
        <v>3</v>
      </c>
      <c r="DF124">
        <v>60</v>
      </c>
      <c r="DG124" t="s">
        <v>95</v>
      </c>
      <c r="DH124" t="s">
        <v>95</v>
      </c>
      <c r="DI124" t="s">
        <v>907</v>
      </c>
      <c r="DJ124" t="s">
        <v>907</v>
      </c>
      <c r="DK124" t="s">
        <v>907</v>
      </c>
      <c r="DL124" t="s">
        <v>907</v>
      </c>
      <c r="DM124" t="s">
        <v>291</v>
      </c>
      <c r="DN124" t="s">
        <v>907</v>
      </c>
      <c r="DO124" t="s">
        <v>907</v>
      </c>
      <c r="DP124">
        <v>70</v>
      </c>
      <c r="DQ124" t="s">
        <v>441</v>
      </c>
      <c r="DR124" t="s">
        <v>907</v>
      </c>
      <c r="DS124" t="s">
        <v>1506</v>
      </c>
      <c r="DT124" t="s">
        <v>1437</v>
      </c>
      <c r="DU124" t="s">
        <v>95</v>
      </c>
      <c r="DV124" t="s">
        <v>907</v>
      </c>
      <c r="DW124" t="s">
        <v>907</v>
      </c>
      <c r="DX124" t="s">
        <v>907</v>
      </c>
      <c r="FQ124">
        <v>566103214</v>
      </c>
      <c r="FR124" t="s">
        <v>1554</v>
      </c>
      <c r="FS124" s="1">
        <v>45924.855752314812</v>
      </c>
      <c r="FV124" t="s">
        <v>134</v>
      </c>
      <c r="FW124" t="s">
        <v>135</v>
      </c>
      <c r="FX124" t="s">
        <v>136</v>
      </c>
      <c r="FZ124">
        <v>252</v>
      </c>
    </row>
    <row r="125" spans="1:182" x14ac:dyDescent="0.3">
      <c r="A125" s="1">
        <v>45924.726741550927</v>
      </c>
      <c r="B125" s="1">
        <v>45924.745744108797</v>
      </c>
      <c r="D125" t="s">
        <v>84</v>
      </c>
      <c r="E125" t="s">
        <v>297</v>
      </c>
      <c r="F125" t="s">
        <v>1555</v>
      </c>
      <c r="G125" t="s">
        <v>87</v>
      </c>
      <c r="H125" t="s">
        <v>4122</v>
      </c>
      <c r="I125" t="s">
        <v>1556</v>
      </c>
      <c r="J125" t="s">
        <v>1557</v>
      </c>
      <c r="K125" t="s">
        <v>90</v>
      </c>
      <c r="L125" t="s">
        <v>1558</v>
      </c>
      <c r="M125" t="s">
        <v>722</v>
      </c>
      <c r="N125" t="s">
        <v>1559</v>
      </c>
      <c r="O125">
        <v>-15.2762069</v>
      </c>
      <c r="P125">
        <v>23.035171500000001</v>
      </c>
      <c r="Q125">
        <v>1012.783813476562</v>
      </c>
      <c r="R125">
        <v>4.593</v>
      </c>
      <c r="S125" t="s">
        <v>84</v>
      </c>
      <c r="T125" t="s">
        <v>94</v>
      </c>
      <c r="U125">
        <v>7</v>
      </c>
      <c r="V125" t="s">
        <v>212</v>
      </c>
      <c r="W125" t="s">
        <v>1560</v>
      </c>
      <c r="X125">
        <v>30</v>
      </c>
      <c r="Y125">
        <v>4</v>
      </c>
      <c r="Z125">
        <v>2</v>
      </c>
      <c r="AA125" t="s">
        <v>96</v>
      </c>
      <c r="AB125" t="s">
        <v>351</v>
      </c>
      <c r="AC125" t="s">
        <v>98</v>
      </c>
      <c r="AD125" t="s">
        <v>252</v>
      </c>
      <c r="AE125" t="s">
        <v>100</v>
      </c>
      <c r="AF125" t="s">
        <v>907</v>
      </c>
      <c r="AG125">
        <v>1500</v>
      </c>
      <c r="AH125" t="s">
        <v>3873</v>
      </c>
      <c r="AI125" t="s">
        <v>907</v>
      </c>
      <c r="AJ125" t="s">
        <v>907</v>
      </c>
      <c r="AK125" t="s">
        <v>102</v>
      </c>
      <c r="AL125" t="s">
        <v>907</v>
      </c>
      <c r="AM125" t="s">
        <v>909</v>
      </c>
      <c r="AN125" t="s">
        <v>907</v>
      </c>
      <c r="AO125" t="s">
        <v>1561</v>
      </c>
      <c r="AP125" t="s">
        <v>1562</v>
      </c>
      <c r="AQ125" t="s">
        <v>1116</v>
      </c>
      <c r="AR125" t="s">
        <v>84</v>
      </c>
      <c r="AS125">
        <v>0</v>
      </c>
      <c r="AT125">
        <v>0</v>
      </c>
      <c r="AU125">
        <v>0</v>
      </c>
      <c r="AV125">
        <v>30</v>
      </c>
      <c r="AW125">
        <v>0</v>
      </c>
      <c r="AX125">
        <v>0</v>
      </c>
      <c r="AY125">
        <v>0</v>
      </c>
      <c r="AZ125" t="s">
        <v>1003</v>
      </c>
      <c r="BA125" t="s">
        <v>1065</v>
      </c>
      <c r="BB125" t="s">
        <v>154</v>
      </c>
      <c r="BC125" t="s">
        <v>907</v>
      </c>
      <c r="BD125" t="s">
        <v>107</v>
      </c>
      <c r="BE125" t="s">
        <v>810</v>
      </c>
      <c r="BF125" t="s">
        <v>3945</v>
      </c>
      <c r="BG125" t="s">
        <v>156</v>
      </c>
      <c r="BH125">
        <v>40</v>
      </c>
      <c r="BL125">
        <v>20</v>
      </c>
      <c r="BN125">
        <v>2</v>
      </c>
      <c r="BP125">
        <v>6</v>
      </c>
      <c r="BR125">
        <v>7</v>
      </c>
      <c r="BT125">
        <v>5</v>
      </c>
      <c r="BV125">
        <v>0</v>
      </c>
      <c r="BX125">
        <v>0</v>
      </c>
      <c r="BY125" t="s">
        <v>189</v>
      </c>
      <c r="BZ125">
        <v>2</v>
      </c>
      <c r="CA125">
        <v>25</v>
      </c>
      <c r="CB125" t="s">
        <v>84</v>
      </c>
      <c r="CC125" t="s">
        <v>84</v>
      </c>
      <c r="CD125" t="s">
        <v>334</v>
      </c>
      <c r="CE125" t="s">
        <v>1998</v>
      </c>
      <c r="CF125" t="s">
        <v>1563</v>
      </c>
      <c r="CG125" t="s">
        <v>907</v>
      </c>
      <c r="CH125">
        <v>3</v>
      </c>
      <c r="CI125" t="s">
        <v>84</v>
      </c>
      <c r="CJ125" t="s">
        <v>586</v>
      </c>
      <c r="CK125" t="s">
        <v>289</v>
      </c>
      <c r="CL125" t="s">
        <v>1564</v>
      </c>
      <c r="CM125" t="s">
        <v>193</v>
      </c>
      <c r="CN125" t="s">
        <v>421</v>
      </c>
      <c r="CO125" t="s">
        <v>95</v>
      </c>
      <c r="CP125" t="s">
        <v>907</v>
      </c>
      <c r="CQ125" t="s">
        <v>116</v>
      </c>
      <c r="CR125" t="s">
        <v>84</v>
      </c>
      <c r="CS125" t="s">
        <v>117</v>
      </c>
      <c r="CT125" t="s">
        <v>907</v>
      </c>
      <c r="CU125" t="s">
        <v>438</v>
      </c>
      <c r="CV125" t="s">
        <v>812</v>
      </c>
      <c r="CW125" t="s">
        <v>1565</v>
      </c>
      <c r="CX125" t="s">
        <v>166</v>
      </c>
      <c r="CY125" t="s">
        <v>167</v>
      </c>
      <c r="CZ125" t="s">
        <v>1566</v>
      </c>
      <c r="DA125">
        <v>3</v>
      </c>
      <c r="DB125" s="10">
        <v>24000</v>
      </c>
      <c r="DC125" t="s">
        <v>123</v>
      </c>
      <c r="DD125" t="s">
        <v>1567</v>
      </c>
      <c r="DE125">
        <v>1</v>
      </c>
      <c r="DF125">
        <v>15</v>
      </c>
      <c r="DG125" t="s">
        <v>95</v>
      </c>
      <c r="DH125" t="s">
        <v>95</v>
      </c>
      <c r="DI125" t="s">
        <v>907</v>
      </c>
      <c r="DJ125" t="s">
        <v>907</v>
      </c>
      <c r="DK125" t="s">
        <v>907</v>
      </c>
      <c r="DL125" t="s">
        <v>907</v>
      </c>
      <c r="DM125" t="s">
        <v>291</v>
      </c>
      <c r="DN125" t="s">
        <v>907</v>
      </c>
      <c r="DO125" t="s">
        <v>907</v>
      </c>
      <c r="DP125">
        <v>20</v>
      </c>
      <c r="DQ125" t="s">
        <v>441</v>
      </c>
      <c r="DR125" t="s">
        <v>907</v>
      </c>
      <c r="DS125" t="s">
        <v>1506</v>
      </c>
      <c r="DT125" t="s">
        <v>932</v>
      </c>
      <c r="DU125" t="s">
        <v>95</v>
      </c>
      <c r="DV125" t="s">
        <v>907</v>
      </c>
      <c r="DW125" t="s">
        <v>907</v>
      </c>
      <c r="DX125" t="s">
        <v>907</v>
      </c>
      <c r="FQ125">
        <v>566103239</v>
      </c>
      <c r="FR125" t="s">
        <v>1568</v>
      </c>
      <c r="FS125" s="1">
        <v>45924.855775462973</v>
      </c>
      <c r="FV125" t="s">
        <v>134</v>
      </c>
      <c r="FW125" t="s">
        <v>135</v>
      </c>
      <c r="FX125" t="s">
        <v>136</v>
      </c>
      <c r="FZ125">
        <v>253</v>
      </c>
    </row>
    <row r="126" spans="1:182" hidden="1" x14ac:dyDescent="0.3">
      <c r="A126" s="1">
        <v>45924.476058298613</v>
      </c>
      <c r="B126" s="1">
        <v>45924.49598796296</v>
      </c>
      <c r="D126" t="s">
        <v>84</v>
      </c>
      <c r="E126" t="s">
        <v>901</v>
      </c>
      <c r="F126" t="s">
        <v>920</v>
      </c>
      <c r="G126" t="s">
        <v>176</v>
      </c>
      <c r="H126" t="s">
        <v>4122</v>
      </c>
      <c r="I126" t="s">
        <v>921</v>
      </c>
      <c r="J126" t="s">
        <v>922</v>
      </c>
      <c r="K126" t="s">
        <v>90</v>
      </c>
      <c r="L126" t="s">
        <v>923</v>
      </c>
      <c r="M126" t="s">
        <v>670</v>
      </c>
      <c r="N126" t="s">
        <v>924</v>
      </c>
      <c r="O126">
        <v>-15.297072399999999</v>
      </c>
      <c r="P126">
        <v>23.032027299999999</v>
      </c>
      <c r="Q126">
        <v>1027.560546875</v>
      </c>
      <c r="R126">
        <v>4.8780000000000001</v>
      </c>
      <c r="S126" t="s">
        <v>84</v>
      </c>
      <c r="T126" t="s">
        <v>182</v>
      </c>
      <c r="U126">
        <v>7</v>
      </c>
      <c r="V126" t="s">
        <v>95</v>
      </c>
      <c r="W126" t="s">
        <v>907</v>
      </c>
      <c r="X126">
        <v>12</v>
      </c>
      <c r="Y126">
        <v>8</v>
      </c>
      <c r="Z126">
        <v>2</v>
      </c>
      <c r="AA126" t="s">
        <v>504</v>
      </c>
      <c r="AB126" t="s">
        <v>351</v>
      </c>
      <c r="AC126" t="s">
        <v>98</v>
      </c>
      <c r="AD126" t="s">
        <v>145</v>
      </c>
      <c r="AE126" t="s">
        <v>101</v>
      </c>
      <c r="AF126" t="s">
        <v>907</v>
      </c>
      <c r="AG126">
        <v>3000</v>
      </c>
      <c r="AH126" t="s">
        <v>925</v>
      </c>
      <c r="AI126" t="s">
        <v>907</v>
      </c>
      <c r="AJ126" s="5">
        <v>5000</v>
      </c>
      <c r="AK126" t="s">
        <v>148</v>
      </c>
      <c r="AL126" t="s">
        <v>907</v>
      </c>
      <c r="AM126" t="s">
        <v>466</v>
      </c>
      <c r="AN126" t="s">
        <v>907</v>
      </c>
      <c r="AO126" t="s">
        <v>926</v>
      </c>
      <c r="AP126" t="s">
        <v>927</v>
      </c>
      <c r="AQ126" t="s">
        <v>928</v>
      </c>
      <c r="AR126" t="s">
        <v>95</v>
      </c>
      <c r="AS126">
        <v>12</v>
      </c>
      <c r="AT126">
        <v>0</v>
      </c>
      <c r="AU126">
        <v>0</v>
      </c>
      <c r="AV126">
        <v>19</v>
      </c>
      <c r="AW126">
        <v>0</v>
      </c>
      <c r="AX126">
        <v>0</v>
      </c>
      <c r="AY126">
        <v>0</v>
      </c>
      <c r="AZ126" t="s">
        <v>929</v>
      </c>
      <c r="BA126" t="s">
        <v>95</v>
      </c>
      <c r="BB126" t="s">
        <v>154</v>
      </c>
      <c r="BC126" t="s">
        <v>907</v>
      </c>
      <c r="BD126" t="s">
        <v>107</v>
      </c>
      <c r="BE126" t="s">
        <v>363</v>
      </c>
      <c r="BF126" t="s">
        <v>644</v>
      </c>
      <c r="BG126" t="s">
        <v>156</v>
      </c>
      <c r="BH126">
        <v>68</v>
      </c>
      <c r="BL126">
        <v>34</v>
      </c>
      <c r="BN126">
        <v>3</v>
      </c>
      <c r="BP126">
        <v>0</v>
      </c>
      <c r="BR126">
        <v>0</v>
      </c>
      <c r="BT126">
        <v>9</v>
      </c>
      <c r="BV126">
        <v>7</v>
      </c>
      <c r="BX126">
        <v>15</v>
      </c>
      <c r="BY126" t="s">
        <v>110</v>
      </c>
      <c r="BZ126" t="s">
        <v>907</v>
      </c>
      <c r="CA126" t="s">
        <v>907</v>
      </c>
      <c r="CB126" t="s">
        <v>84</v>
      </c>
      <c r="CC126" t="s">
        <v>84</v>
      </c>
      <c r="CD126" t="s">
        <v>930</v>
      </c>
      <c r="CE126" t="s">
        <v>4251</v>
      </c>
      <c r="CF126" t="s">
        <v>3902</v>
      </c>
      <c r="CG126" t="s">
        <v>907</v>
      </c>
      <c r="CH126">
        <v>3</v>
      </c>
      <c r="CI126" t="s">
        <v>84</v>
      </c>
      <c r="CJ126" t="s">
        <v>546</v>
      </c>
      <c r="CK126" t="s">
        <v>289</v>
      </c>
      <c r="CL126" t="s">
        <v>4262</v>
      </c>
      <c r="CM126" t="s">
        <v>193</v>
      </c>
      <c r="CN126" t="s">
        <v>3903</v>
      </c>
      <c r="CO126" t="s">
        <v>95</v>
      </c>
      <c r="CP126" t="s">
        <v>907</v>
      </c>
      <c r="CQ126" t="s">
        <v>116</v>
      </c>
      <c r="CR126" t="s">
        <v>95</v>
      </c>
      <c r="CS126" t="s">
        <v>907</v>
      </c>
      <c r="CT126" t="s">
        <v>907</v>
      </c>
      <c r="CU126" t="s">
        <v>907</v>
      </c>
      <c r="CV126" t="s">
        <v>812</v>
      </c>
      <c r="CW126" t="s">
        <v>907</v>
      </c>
      <c r="CX126" t="s">
        <v>166</v>
      </c>
      <c r="CY126" t="s">
        <v>167</v>
      </c>
      <c r="CZ126" t="s">
        <v>931</v>
      </c>
      <c r="DA126">
        <v>4</v>
      </c>
      <c r="DB126" s="10">
        <v>28000</v>
      </c>
      <c r="DC126" t="s">
        <v>169</v>
      </c>
      <c r="DD126" t="s">
        <v>907</v>
      </c>
      <c r="DE126">
        <v>1</v>
      </c>
      <c r="DF126">
        <v>13</v>
      </c>
      <c r="DG126" t="s">
        <v>95</v>
      </c>
      <c r="DH126" t="s">
        <v>95</v>
      </c>
      <c r="DI126" t="s">
        <v>907</v>
      </c>
      <c r="DJ126" t="s">
        <v>907</v>
      </c>
      <c r="DK126" t="s">
        <v>907</v>
      </c>
      <c r="DL126" t="s">
        <v>907</v>
      </c>
      <c r="DM126" t="s">
        <v>291</v>
      </c>
      <c r="DN126" t="s">
        <v>907</v>
      </c>
      <c r="DO126" t="s">
        <v>907</v>
      </c>
      <c r="DP126">
        <v>0.5</v>
      </c>
      <c r="DQ126" t="s">
        <v>441</v>
      </c>
      <c r="DR126" t="s">
        <v>907</v>
      </c>
      <c r="DS126" t="s">
        <v>917</v>
      </c>
      <c r="DT126" t="s">
        <v>932</v>
      </c>
      <c r="DU126" t="s">
        <v>84</v>
      </c>
      <c r="DV126" t="s">
        <v>884</v>
      </c>
      <c r="DW126" t="s">
        <v>933</v>
      </c>
      <c r="DX126" t="s">
        <v>95</v>
      </c>
      <c r="FQ126">
        <v>565934881</v>
      </c>
      <c r="FR126" t="s">
        <v>934</v>
      </c>
      <c r="FS126" s="1">
        <v>45924.665879629632</v>
      </c>
      <c r="FV126" t="s">
        <v>134</v>
      </c>
      <c r="FW126" t="s">
        <v>135</v>
      </c>
      <c r="FX126" t="s">
        <v>136</v>
      </c>
      <c r="FZ126">
        <v>179</v>
      </c>
    </row>
    <row r="127" spans="1:182" hidden="1" x14ac:dyDescent="0.3">
      <c r="A127" s="1">
        <v>45925.470093657408</v>
      </c>
      <c r="B127" s="1">
        <v>45925.49018400463</v>
      </c>
      <c r="D127" t="s">
        <v>84</v>
      </c>
      <c r="E127" t="s">
        <v>297</v>
      </c>
      <c r="F127" t="s">
        <v>2497</v>
      </c>
      <c r="G127" t="s">
        <v>176</v>
      </c>
      <c r="H127" t="s">
        <v>4122</v>
      </c>
      <c r="I127" t="s">
        <v>2498</v>
      </c>
      <c r="J127" t="s">
        <v>2499</v>
      </c>
      <c r="K127" t="s">
        <v>90</v>
      </c>
      <c r="L127" t="s">
        <v>2500</v>
      </c>
      <c r="M127" t="s">
        <v>1871</v>
      </c>
      <c r="N127" t="s">
        <v>2501</v>
      </c>
      <c r="O127">
        <v>-15.1975</v>
      </c>
      <c r="P127">
        <v>22.973543299999999</v>
      </c>
      <c r="Q127">
        <v>1019.9</v>
      </c>
      <c r="R127">
        <v>4.6660000000000004</v>
      </c>
      <c r="S127" t="s">
        <v>84</v>
      </c>
      <c r="T127" t="s">
        <v>182</v>
      </c>
      <c r="U127">
        <v>7</v>
      </c>
      <c r="V127" t="s">
        <v>95</v>
      </c>
      <c r="W127" t="s">
        <v>907</v>
      </c>
      <c r="X127">
        <v>57</v>
      </c>
      <c r="Y127">
        <v>2</v>
      </c>
      <c r="Z127">
        <v>2</v>
      </c>
      <c r="AA127" t="s">
        <v>504</v>
      </c>
      <c r="AB127" t="s">
        <v>351</v>
      </c>
      <c r="AC127" t="s">
        <v>98</v>
      </c>
      <c r="AD127" t="s">
        <v>280</v>
      </c>
      <c r="AE127" t="s">
        <v>100</v>
      </c>
      <c r="AF127" t="s">
        <v>907</v>
      </c>
      <c r="AG127">
        <v>25000</v>
      </c>
      <c r="AH127" t="s">
        <v>101</v>
      </c>
      <c r="AI127" t="s">
        <v>907</v>
      </c>
      <c r="AJ127" s="5">
        <v>2500</v>
      </c>
      <c r="AK127" t="s">
        <v>102</v>
      </c>
      <c r="AL127" t="s">
        <v>907</v>
      </c>
      <c r="AM127" t="s">
        <v>2502</v>
      </c>
      <c r="AN127" t="s">
        <v>907</v>
      </c>
      <c r="AO127" t="s">
        <v>2503</v>
      </c>
      <c r="AP127" t="s">
        <v>2503</v>
      </c>
      <c r="AQ127" t="s">
        <v>466</v>
      </c>
      <c r="AR127" t="s">
        <v>95</v>
      </c>
      <c r="AS127">
        <v>0</v>
      </c>
      <c r="AT127">
        <v>0</v>
      </c>
      <c r="AU127">
        <v>10</v>
      </c>
      <c r="AV127">
        <v>0</v>
      </c>
      <c r="AW127">
        <v>0</v>
      </c>
      <c r="AX127">
        <v>10</v>
      </c>
      <c r="AY127">
        <v>0</v>
      </c>
      <c r="AZ127" t="s">
        <v>929</v>
      </c>
      <c r="BA127" t="s">
        <v>1065</v>
      </c>
      <c r="BB127" t="s">
        <v>154</v>
      </c>
      <c r="BC127" t="s">
        <v>907</v>
      </c>
      <c r="BD127" t="s">
        <v>285</v>
      </c>
      <c r="BE127" t="s">
        <v>258</v>
      </c>
      <c r="BF127" t="s">
        <v>3964</v>
      </c>
      <c r="BG127" t="s">
        <v>235</v>
      </c>
      <c r="BH127">
        <v>81</v>
      </c>
      <c r="BL127">
        <v>31</v>
      </c>
      <c r="BN127">
        <v>3</v>
      </c>
      <c r="BP127">
        <v>4</v>
      </c>
      <c r="BR127">
        <v>11</v>
      </c>
      <c r="BT127">
        <v>6</v>
      </c>
      <c r="BV127">
        <v>14</v>
      </c>
      <c r="BX127">
        <v>11</v>
      </c>
      <c r="BY127" t="s">
        <v>189</v>
      </c>
      <c r="BZ127">
        <v>2</v>
      </c>
      <c r="CA127">
        <v>4</v>
      </c>
      <c r="CB127" t="s">
        <v>84</v>
      </c>
      <c r="CC127" t="s">
        <v>84</v>
      </c>
      <c r="CD127" t="s">
        <v>2461</v>
      </c>
      <c r="CE127" t="s">
        <v>4250</v>
      </c>
      <c r="CF127" t="s">
        <v>4000</v>
      </c>
      <c r="CG127" t="s">
        <v>907</v>
      </c>
      <c r="CH127">
        <v>3</v>
      </c>
      <c r="CI127" t="s">
        <v>84</v>
      </c>
      <c r="CJ127" t="s">
        <v>336</v>
      </c>
      <c r="CK127" t="s">
        <v>289</v>
      </c>
      <c r="CL127" t="s">
        <v>456</v>
      </c>
      <c r="CM127" t="s">
        <v>193</v>
      </c>
      <c r="CN127" t="s">
        <v>3874</v>
      </c>
      <c r="CO127" t="s">
        <v>95</v>
      </c>
      <c r="CP127" t="s">
        <v>907</v>
      </c>
      <c r="CQ127" t="s">
        <v>116</v>
      </c>
      <c r="CR127" t="s">
        <v>84</v>
      </c>
      <c r="CS127" t="s">
        <v>117</v>
      </c>
      <c r="CT127" t="s">
        <v>907</v>
      </c>
      <c r="CU127" t="s">
        <v>793</v>
      </c>
      <c r="CV127" t="s">
        <v>812</v>
      </c>
      <c r="CW127" t="s">
        <v>1543</v>
      </c>
      <c r="CX127" t="s">
        <v>166</v>
      </c>
      <c r="CY127" t="s">
        <v>167</v>
      </c>
      <c r="CZ127" t="s">
        <v>2504</v>
      </c>
      <c r="DA127">
        <v>6</v>
      </c>
      <c r="DB127" s="10">
        <v>28000</v>
      </c>
      <c r="DC127" t="s">
        <v>169</v>
      </c>
      <c r="DD127" t="s">
        <v>907</v>
      </c>
      <c r="DE127">
        <v>1</v>
      </c>
      <c r="DF127">
        <v>16</v>
      </c>
      <c r="DG127" t="s">
        <v>95</v>
      </c>
      <c r="DH127" t="s">
        <v>95</v>
      </c>
      <c r="DI127" t="s">
        <v>907</v>
      </c>
      <c r="DJ127" t="s">
        <v>907</v>
      </c>
      <c r="DK127" t="s">
        <v>907</v>
      </c>
      <c r="DL127" t="s">
        <v>907</v>
      </c>
      <c r="DM127" t="s">
        <v>291</v>
      </c>
      <c r="DN127" t="s">
        <v>907</v>
      </c>
      <c r="DO127" t="s">
        <v>907</v>
      </c>
      <c r="DP127">
        <v>45</v>
      </c>
      <c r="DQ127" t="s">
        <v>441</v>
      </c>
      <c r="DR127" t="s">
        <v>907</v>
      </c>
      <c r="DS127" t="s">
        <v>2505</v>
      </c>
      <c r="DT127" t="s">
        <v>2486</v>
      </c>
      <c r="DU127" t="s">
        <v>95</v>
      </c>
      <c r="DV127" t="s">
        <v>907</v>
      </c>
      <c r="DW127" t="s">
        <v>907</v>
      </c>
      <c r="DX127" t="s">
        <v>907</v>
      </c>
      <c r="FQ127">
        <v>566956929</v>
      </c>
      <c r="FR127" t="s">
        <v>2506</v>
      </c>
      <c r="FS127" s="1">
        <v>45925.844733796293</v>
      </c>
      <c r="FV127" t="s">
        <v>134</v>
      </c>
      <c r="FW127" t="s">
        <v>135</v>
      </c>
      <c r="FX127" t="s">
        <v>136</v>
      </c>
      <c r="FZ127">
        <v>359</v>
      </c>
    </row>
    <row r="128" spans="1:182" hidden="1" x14ac:dyDescent="0.3">
      <c r="A128" s="1">
        <v>45925.417032731479</v>
      </c>
      <c r="B128" s="1">
        <v>45925.436932083343</v>
      </c>
      <c r="D128" t="s">
        <v>84</v>
      </c>
      <c r="E128" t="s">
        <v>297</v>
      </c>
      <c r="F128" t="s">
        <v>2468</v>
      </c>
      <c r="G128" t="s">
        <v>176</v>
      </c>
      <c r="H128" t="s">
        <v>4121</v>
      </c>
      <c r="I128" t="s">
        <v>2469</v>
      </c>
      <c r="J128" t="s">
        <v>2470</v>
      </c>
      <c r="K128" t="s">
        <v>90</v>
      </c>
      <c r="L128" t="s">
        <v>2471</v>
      </c>
      <c r="M128" t="s">
        <v>1883</v>
      </c>
      <c r="N128" t="s">
        <v>2472</v>
      </c>
      <c r="O128">
        <v>-15.197419999999999</v>
      </c>
      <c r="P128">
        <v>22.9736583</v>
      </c>
      <c r="Q128">
        <v>1041</v>
      </c>
      <c r="R128">
        <v>4.95</v>
      </c>
      <c r="S128" t="s">
        <v>84</v>
      </c>
      <c r="T128" t="s">
        <v>94</v>
      </c>
      <c r="U128">
        <v>7</v>
      </c>
      <c r="V128" t="s">
        <v>95</v>
      </c>
      <c r="W128" t="s">
        <v>907</v>
      </c>
      <c r="X128">
        <v>20</v>
      </c>
      <c r="Y128">
        <v>2</v>
      </c>
      <c r="Z128">
        <v>2</v>
      </c>
      <c r="AA128" t="s">
        <v>96</v>
      </c>
      <c r="AB128" t="s">
        <v>97</v>
      </c>
      <c r="AC128" t="s">
        <v>98</v>
      </c>
      <c r="AD128" t="s">
        <v>280</v>
      </c>
      <c r="AE128" t="s">
        <v>100</v>
      </c>
      <c r="AF128" t="s">
        <v>907</v>
      </c>
      <c r="AG128">
        <v>1500</v>
      </c>
      <c r="AH128" t="s">
        <v>101</v>
      </c>
      <c r="AI128" t="s">
        <v>907</v>
      </c>
      <c r="AJ128" s="5">
        <v>7000</v>
      </c>
      <c r="AK128" t="s">
        <v>102</v>
      </c>
      <c r="AL128" t="s">
        <v>907</v>
      </c>
      <c r="AM128" t="s">
        <v>466</v>
      </c>
      <c r="AN128" t="s">
        <v>907</v>
      </c>
      <c r="AO128" t="s">
        <v>2473</v>
      </c>
      <c r="AP128" t="s">
        <v>2474</v>
      </c>
      <c r="AQ128" t="s">
        <v>402</v>
      </c>
      <c r="AR128" t="s">
        <v>84</v>
      </c>
      <c r="AS128">
        <v>1</v>
      </c>
      <c r="AT128">
        <v>0</v>
      </c>
      <c r="AU128">
        <v>0</v>
      </c>
      <c r="AV128">
        <v>15</v>
      </c>
      <c r="AW128">
        <v>0</v>
      </c>
      <c r="AX128">
        <v>0</v>
      </c>
      <c r="AY128">
        <v>0</v>
      </c>
      <c r="AZ128" t="s">
        <v>1003</v>
      </c>
      <c r="BA128" t="s">
        <v>95</v>
      </c>
      <c r="BB128" t="s">
        <v>154</v>
      </c>
      <c r="BC128" t="s">
        <v>907</v>
      </c>
      <c r="BD128" t="s">
        <v>107</v>
      </c>
      <c r="BE128" t="s">
        <v>258</v>
      </c>
      <c r="BF128" t="s">
        <v>3998</v>
      </c>
      <c r="BG128" t="s">
        <v>156</v>
      </c>
      <c r="BH128">
        <v>53</v>
      </c>
      <c r="BL128">
        <v>21</v>
      </c>
      <c r="BN128">
        <v>1</v>
      </c>
      <c r="BP128">
        <v>0</v>
      </c>
      <c r="BR128">
        <v>0</v>
      </c>
      <c r="BV128">
        <v>2</v>
      </c>
      <c r="BX128">
        <v>14</v>
      </c>
      <c r="BY128" t="s">
        <v>189</v>
      </c>
      <c r="BZ128">
        <v>2</v>
      </c>
      <c r="CA128">
        <v>8</v>
      </c>
      <c r="CB128" t="s">
        <v>84</v>
      </c>
      <c r="CC128" t="s">
        <v>84</v>
      </c>
      <c r="CD128" t="s">
        <v>2461</v>
      </c>
      <c r="CE128" t="s">
        <v>4249</v>
      </c>
      <c r="CF128" t="s">
        <v>2024</v>
      </c>
      <c r="CG128" t="s">
        <v>907</v>
      </c>
      <c r="CH128">
        <v>3</v>
      </c>
      <c r="CI128" t="s">
        <v>84</v>
      </c>
      <c r="CJ128" t="s">
        <v>405</v>
      </c>
      <c r="CK128" t="s">
        <v>289</v>
      </c>
      <c r="CL128" t="s">
        <v>263</v>
      </c>
      <c r="CM128" t="s">
        <v>193</v>
      </c>
      <c r="CN128" t="s">
        <v>3874</v>
      </c>
      <c r="CO128" t="s">
        <v>95</v>
      </c>
      <c r="CP128" t="s">
        <v>907</v>
      </c>
      <c r="CQ128" t="s">
        <v>116</v>
      </c>
      <c r="CR128" t="s">
        <v>84</v>
      </c>
      <c r="CS128" t="s">
        <v>117</v>
      </c>
      <c r="CT128" t="s">
        <v>907</v>
      </c>
      <c r="CU128" t="s">
        <v>793</v>
      </c>
      <c r="CV128" t="s">
        <v>812</v>
      </c>
      <c r="CW128" t="s">
        <v>240</v>
      </c>
      <c r="CX128" t="s">
        <v>166</v>
      </c>
      <c r="CY128" t="s">
        <v>167</v>
      </c>
      <c r="CZ128" t="s">
        <v>1197</v>
      </c>
      <c r="DA128">
        <v>5</v>
      </c>
      <c r="DB128" s="10">
        <v>30000</v>
      </c>
      <c r="DC128" t="s">
        <v>169</v>
      </c>
      <c r="DD128" t="s">
        <v>907</v>
      </c>
      <c r="DE128">
        <v>2</v>
      </c>
      <c r="DF128">
        <v>16</v>
      </c>
      <c r="DG128" t="s">
        <v>84</v>
      </c>
      <c r="DH128" t="s">
        <v>95</v>
      </c>
      <c r="DI128" t="s">
        <v>907</v>
      </c>
      <c r="DJ128" t="s">
        <v>907</v>
      </c>
      <c r="DK128" t="s">
        <v>907</v>
      </c>
      <c r="DL128" t="s">
        <v>907</v>
      </c>
      <c r="DM128" t="s">
        <v>291</v>
      </c>
      <c r="DN128" t="s">
        <v>907</v>
      </c>
      <c r="DO128" t="s">
        <v>907</v>
      </c>
      <c r="DP128">
        <v>40</v>
      </c>
      <c r="DQ128" t="s">
        <v>441</v>
      </c>
      <c r="DR128" t="s">
        <v>907</v>
      </c>
      <c r="DS128" t="s">
        <v>716</v>
      </c>
      <c r="DT128" t="s">
        <v>2475</v>
      </c>
      <c r="DU128" t="s">
        <v>95</v>
      </c>
      <c r="DV128" t="s">
        <v>907</v>
      </c>
      <c r="DW128" t="s">
        <v>907</v>
      </c>
      <c r="DX128" t="s">
        <v>907</v>
      </c>
      <c r="FQ128">
        <v>566956906</v>
      </c>
      <c r="FR128" t="s">
        <v>2476</v>
      </c>
      <c r="FS128" s="1">
        <v>45925.844699074078</v>
      </c>
      <c r="FV128" t="s">
        <v>134</v>
      </c>
      <c r="FW128" t="s">
        <v>135</v>
      </c>
      <c r="FX128" t="s">
        <v>136</v>
      </c>
      <c r="FZ128">
        <v>356</v>
      </c>
    </row>
    <row r="129" spans="1:182" hidden="1" x14ac:dyDescent="0.3">
      <c r="A129" s="1">
        <v>45925.323359618058</v>
      </c>
      <c r="B129" s="1">
        <v>45925.847730393521</v>
      </c>
      <c r="D129" t="s">
        <v>84</v>
      </c>
      <c r="E129" t="s">
        <v>85</v>
      </c>
      <c r="F129" t="s">
        <v>2345</v>
      </c>
      <c r="G129" t="s">
        <v>176</v>
      </c>
      <c r="H129" t="s">
        <v>4122</v>
      </c>
      <c r="I129" t="s">
        <v>2346</v>
      </c>
      <c r="J129" t="s">
        <v>2347</v>
      </c>
      <c r="K129" t="s">
        <v>90</v>
      </c>
      <c r="L129" t="s">
        <v>2348</v>
      </c>
      <c r="M129" t="s">
        <v>141</v>
      </c>
      <c r="N129" t="s">
        <v>2349</v>
      </c>
      <c r="O129">
        <v>-15.386477899999999</v>
      </c>
      <c r="P129">
        <v>23.185451</v>
      </c>
      <c r="Q129">
        <v>1021.3505859375</v>
      </c>
      <c r="R129">
        <v>4.5519999999999996</v>
      </c>
      <c r="S129" t="s">
        <v>84</v>
      </c>
      <c r="T129" t="s">
        <v>182</v>
      </c>
      <c r="U129">
        <v>13</v>
      </c>
      <c r="V129" t="s">
        <v>95</v>
      </c>
      <c r="W129" t="s">
        <v>907</v>
      </c>
      <c r="X129">
        <v>25</v>
      </c>
      <c r="Y129">
        <v>50</v>
      </c>
      <c r="Z129">
        <v>2</v>
      </c>
      <c r="AA129" t="s">
        <v>96</v>
      </c>
      <c r="AB129" t="s">
        <v>97</v>
      </c>
      <c r="AC129" t="s">
        <v>98</v>
      </c>
      <c r="AD129" t="s">
        <v>99</v>
      </c>
      <c r="AE129" t="s">
        <v>100</v>
      </c>
      <c r="AF129" t="s">
        <v>907</v>
      </c>
      <c r="AG129">
        <v>0</v>
      </c>
      <c r="AH129" t="s">
        <v>304</v>
      </c>
      <c r="AI129" t="s">
        <v>907</v>
      </c>
      <c r="AJ129" s="5">
        <v>0</v>
      </c>
      <c r="AK129" t="s">
        <v>102</v>
      </c>
      <c r="AL129" t="s">
        <v>907</v>
      </c>
      <c r="AM129" t="s">
        <v>149</v>
      </c>
      <c r="AN129" t="s">
        <v>907</v>
      </c>
      <c r="AO129">
        <v>0</v>
      </c>
      <c r="AP129" t="s">
        <v>2350</v>
      </c>
      <c r="AQ129" t="s">
        <v>149</v>
      </c>
      <c r="AR129" t="s">
        <v>84</v>
      </c>
      <c r="AS129">
        <v>0</v>
      </c>
      <c r="AT129">
        <v>0</v>
      </c>
      <c r="AU129">
        <v>0</v>
      </c>
      <c r="AV129">
        <v>10</v>
      </c>
      <c r="AW129">
        <v>70</v>
      </c>
      <c r="AX129">
        <v>0</v>
      </c>
      <c r="AY129">
        <v>0</v>
      </c>
      <c r="AZ129" t="s">
        <v>1003</v>
      </c>
      <c r="BA129" t="s">
        <v>95</v>
      </c>
      <c r="BB129" t="s">
        <v>154</v>
      </c>
      <c r="BC129" t="s">
        <v>907</v>
      </c>
      <c r="BD129" t="s">
        <v>107</v>
      </c>
      <c r="BE129" t="s">
        <v>108</v>
      </c>
      <c r="BF129" t="s">
        <v>321</v>
      </c>
      <c r="BG129" t="s">
        <v>235</v>
      </c>
      <c r="BH129">
        <v>375</v>
      </c>
      <c r="BY129" t="s">
        <v>110</v>
      </c>
      <c r="BZ129" t="s">
        <v>907</v>
      </c>
      <c r="CA129" t="s">
        <v>907</v>
      </c>
      <c r="CB129" t="s">
        <v>84</v>
      </c>
      <c r="CC129" t="s">
        <v>84</v>
      </c>
      <c r="CD129" t="s">
        <v>545</v>
      </c>
      <c r="CE129" t="s">
        <v>4250</v>
      </c>
      <c r="CF129" t="s">
        <v>2351</v>
      </c>
      <c r="CG129" t="s">
        <v>907</v>
      </c>
      <c r="CH129">
        <v>3</v>
      </c>
      <c r="CI129" t="s">
        <v>84</v>
      </c>
      <c r="CJ129" t="s">
        <v>160</v>
      </c>
      <c r="CK129" t="s">
        <v>1005</v>
      </c>
      <c r="CL129" t="s">
        <v>4262</v>
      </c>
      <c r="CM129" t="s">
        <v>162</v>
      </c>
      <c r="CN129" t="s">
        <v>3886</v>
      </c>
      <c r="CO129" t="s">
        <v>95</v>
      </c>
      <c r="CP129" t="s">
        <v>907</v>
      </c>
      <c r="CQ129" t="s">
        <v>116</v>
      </c>
      <c r="CR129" t="s">
        <v>84</v>
      </c>
      <c r="CS129" t="s">
        <v>117</v>
      </c>
      <c r="CT129" t="s">
        <v>160</v>
      </c>
      <c r="CU129" t="s">
        <v>438</v>
      </c>
      <c r="CV129" t="s">
        <v>2352</v>
      </c>
      <c r="CW129" t="s">
        <v>168</v>
      </c>
      <c r="CX129" t="s">
        <v>166</v>
      </c>
      <c r="CY129" t="s">
        <v>167</v>
      </c>
      <c r="CZ129" t="s">
        <v>495</v>
      </c>
      <c r="DA129">
        <v>40</v>
      </c>
      <c r="DB129" s="10">
        <v>450000</v>
      </c>
      <c r="DC129" t="s">
        <v>169</v>
      </c>
      <c r="DD129" t="s">
        <v>907</v>
      </c>
      <c r="DE129">
        <v>3</v>
      </c>
      <c r="DF129">
        <v>15</v>
      </c>
      <c r="DG129" t="s">
        <v>84</v>
      </c>
      <c r="DH129" t="s">
        <v>95</v>
      </c>
      <c r="DI129" t="s">
        <v>907</v>
      </c>
      <c r="DJ129" t="s">
        <v>907</v>
      </c>
      <c r="DK129" t="s">
        <v>907</v>
      </c>
      <c r="DL129" t="s">
        <v>907</v>
      </c>
      <c r="DM129" t="s">
        <v>125</v>
      </c>
      <c r="DN129" t="s">
        <v>170</v>
      </c>
      <c r="DO129" t="s">
        <v>324</v>
      </c>
      <c r="DP129">
        <v>5</v>
      </c>
      <c r="DQ129" t="s">
        <v>128</v>
      </c>
      <c r="DR129" t="s">
        <v>907</v>
      </c>
      <c r="DS129" t="s">
        <v>203</v>
      </c>
      <c r="DT129" t="s">
        <v>2353</v>
      </c>
      <c r="DU129" t="s">
        <v>95</v>
      </c>
      <c r="DV129" t="s">
        <v>907</v>
      </c>
      <c r="DW129" t="s">
        <v>907</v>
      </c>
      <c r="DX129" t="s">
        <v>907</v>
      </c>
      <c r="FQ129">
        <v>566893223</v>
      </c>
      <c r="FR129" t="s">
        <v>2354</v>
      </c>
      <c r="FS129" s="1">
        <v>45925.765023148153</v>
      </c>
      <c r="FV129" t="s">
        <v>134</v>
      </c>
      <c r="FW129" t="s">
        <v>135</v>
      </c>
      <c r="FX129" t="s">
        <v>136</v>
      </c>
      <c r="FZ129">
        <v>328</v>
      </c>
    </row>
    <row r="130" spans="1:182" hidden="1" x14ac:dyDescent="0.3">
      <c r="A130" s="1">
        <v>45926.361935358793</v>
      </c>
      <c r="B130" s="1">
        <v>45926.382260810176</v>
      </c>
      <c r="D130" t="s">
        <v>84</v>
      </c>
      <c r="E130" t="s">
        <v>3878</v>
      </c>
      <c r="F130" t="s">
        <v>4027</v>
      </c>
      <c r="G130" t="s">
        <v>176</v>
      </c>
      <c r="H130" t="s">
        <v>4121</v>
      </c>
      <c r="I130" t="s">
        <v>2937</v>
      </c>
      <c r="J130" t="s">
        <v>2938</v>
      </c>
      <c r="K130" t="s">
        <v>90</v>
      </c>
      <c r="L130" t="s">
        <v>2867</v>
      </c>
      <c r="M130" t="s">
        <v>2868</v>
      </c>
      <c r="N130" t="s">
        <v>2939</v>
      </c>
      <c r="O130">
        <v>-15.214336400000001</v>
      </c>
      <c r="P130">
        <v>22.934954900000001</v>
      </c>
      <c r="Q130">
        <v>1019.5</v>
      </c>
      <c r="R130">
        <v>4.12</v>
      </c>
      <c r="S130" t="s">
        <v>84</v>
      </c>
      <c r="T130" t="s">
        <v>94</v>
      </c>
      <c r="U130">
        <v>8</v>
      </c>
      <c r="V130" t="s">
        <v>95</v>
      </c>
      <c r="W130" t="s">
        <v>907</v>
      </c>
      <c r="X130">
        <v>10</v>
      </c>
      <c r="Y130">
        <v>2</v>
      </c>
      <c r="Z130">
        <v>1</v>
      </c>
      <c r="AA130" t="s">
        <v>251</v>
      </c>
      <c r="AB130" t="s">
        <v>489</v>
      </c>
      <c r="AC130" t="s">
        <v>98</v>
      </c>
      <c r="AD130" t="s">
        <v>252</v>
      </c>
      <c r="AE130" t="s">
        <v>304</v>
      </c>
      <c r="AF130" t="s">
        <v>907</v>
      </c>
      <c r="AG130">
        <v>5000</v>
      </c>
      <c r="AH130" t="s">
        <v>3873</v>
      </c>
      <c r="AI130" t="s">
        <v>907</v>
      </c>
      <c r="AJ130" t="s">
        <v>907</v>
      </c>
      <c r="AK130" t="s">
        <v>102</v>
      </c>
      <c r="AL130" t="s">
        <v>907</v>
      </c>
      <c r="AM130" t="s">
        <v>4130</v>
      </c>
      <c r="AN130" t="s">
        <v>907</v>
      </c>
      <c r="AQ130" t="s">
        <v>2940</v>
      </c>
      <c r="AR130" t="s">
        <v>95</v>
      </c>
      <c r="AS130">
        <v>0</v>
      </c>
      <c r="AT130">
        <v>0</v>
      </c>
      <c r="AU130">
        <v>0</v>
      </c>
      <c r="AV130">
        <v>0</v>
      </c>
      <c r="AW130">
        <v>0</v>
      </c>
      <c r="AX130">
        <v>0</v>
      </c>
      <c r="AY130">
        <v>0</v>
      </c>
      <c r="AZ130" t="s">
        <v>929</v>
      </c>
      <c r="BA130" t="s">
        <v>95</v>
      </c>
      <c r="BB130" t="s">
        <v>3866</v>
      </c>
      <c r="BC130" t="s">
        <v>907</v>
      </c>
      <c r="BD130" t="s">
        <v>107</v>
      </c>
      <c r="BE130" t="s">
        <v>258</v>
      </c>
      <c r="BF130" t="s">
        <v>2941</v>
      </c>
      <c r="BG130" t="s">
        <v>235</v>
      </c>
      <c r="BH130">
        <v>57</v>
      </c>
      <c r="BL130">
        <v>47</v>
      </c>
      <c r="BN130">
        <v>1</v>
      </c>
      <c r="BP130">
        <v>0</v>
      </c>
      <c r="BR130">
        <v>0</v>
      </c>
      <c r="BT130">
        <v>4</v>
      </c>
      <c r="BV130">
        <v>0</v>
      </c>
      <c r="BX130">
        <v>7</v>
      </c>
      <c r="BY130" t="s">
        <v>189</v>
      </c>
      <c r="BZ130">
        <v>2</v>
      </c>
      <c r="CA130">
        <v>27</v>
      </c>
      <c r="CB130" t="s">
        <v>84</v>
      </c>
      <c r="CC130" t="s">
        <v>84</v>
      </c>
      <c r="CD130" t="s">
        <v>2942</v>
      </c>
      <c r="CE130" t="s">
        <v>4252</v>
      </c>
      <c r="CF130" t="s">
        <v>2943</v>
      </c>
      <c r="CG130" t="s">
        <v>907</v>
      </c>
      <c r="CH130">
        <v>4</v>
      </c>
      <c r="CI130" t="s">
        <v>84</v>
      </c>
      <c r="CJ130" t="s">
        <v>262</v>
      </c>
      <c r="CK130" t="s">
        <v>1005</v>
      </c>
      <c r="CL130" t="s">
        <v>895</v>
      </c>
      <c r="CM130" t="s">
        <v>162</v>
      </c>
      <c r="CN130" t="s">
        <v>3874</v>
      </c>
      <c r="CO130" t="s">
        <v>95</v>
      </c>
      <c r="CP130" t="s">
        <v>907</v>
      </c>
      <c r="CQ130" t="s">
        <v>116</v>
      </c>
      <c r="CR130" t="s">
        <v>95</v>
      </c>
      <c r="CS130" t="s">
        <v>907</v>
      </c>
      <c r="CT130" t="s">
        <v>907</v>
      </c>
      <c r="CU130" t="s">
        <v>907</v>
      </c>
      <c r="CV130" t="s">
        <v>812</v>
      </c>
      <c r="CW130" t="s">
        <v>907</v>
      </c>
      <c r="CX130" t="s">
        <v>119</v>
      </c>
      <c r="CY130" t="s">
        <v>121</v>
      </c>
      <c r="CZ130" t="s">
        <v>980</v>
      </c>
      <c r="DA130">
        <v>3</v>
      </c>
      <c r="DB130" s="10">
        <v>13300</v>
      </c>
      <c r="DC130" t="s">
        <v>169</v>
      </c>
      <c r="DD130" t="s">
        <v>907</v>
      </c>
      <c r="DE130">
        <v>10</v>
      </c>
      <c r="DF130">
        <v>25</v>
      </c>
      <c r="DG130" t="s">
        <v>95</v>
      </c>
      <c r="DH130" t="s">
        <v>95</v>
      </c>
      <c r="DI130" t="s">
        <v>907</v>
      </c>
      <c r="DJ130" t="s">
        <v>907</v>
      </c>
      <c r="DK130" t="s">
        <v>907</v>
      </c>
      <c r="DL130" t="s">
        <v>907</v>
      </c>
      <c r="DM130" t="s">
        <v>291</v>
      </c>
      <c r="DN130" t="s">
        <v>907</v>
      </c>
      <c r="DO130" t="s">
        <v>907</v>
      </c>
      <c r="DP130">
        <v>1</v>
      </c>
      <c r="DQ130" t="s">
        <v>441</v>
      </c>
      <c r="DR130" t="s">
        <v>907</v>
      </c>
      <c r="DS130" t="s">
        <v>1362</v>
      </c>
      <c r="DT130" t="s">
        <v>2944</v>
      </c>
      <c r="DU130" t="s">
        <v>95</v>
      </c>
      <c r="DV130" t="s">
        <v>907</v>
      </c>
      <c r="DW130" t="s">
        <v>907</v>
      </c>
      <c r="DX130" t="s">
        <v>907</v>
      </c>
      <c r="FQ130">
        <v>567443410</v>
      </c>
      <c r="FR130" t="s">
        <v>2945</v>
      </c>
      <c r="FS130" s="1">
        <v>45926.568252314813</v>
      </c>
      <c r="FV130" t="s">
        <v>134</v>
      </c>
      <c r="FW130" t="s">
        <v>135</v>
      </c>
      <c r="FX130" t="s">
        <v>136</v>
      </c>
      <c r="FZ130">
        <v>419</v>
      </c>
    </row>
    <row r="131" spans="1:182" hidden="1" x14ac:dyDescent="0.3">
      <c r="A131" s="1">
        <v>45926.49008314815</v>
      </c>
      <c r="B131" s="1">
        <v>45926.503278159733</v>
      </c>
      <c r="D131" t="s">
        <v>84</v>
      </c>
      <c r="E131" t="s">
        <v>297</v>
      </c>
      <c r="F131" t="s">
        <v>3104</v>
      </c>
      <c r="G131" t="s">
        <v>176</v>
      </c>
      <c r="H131" t="s">
        <v>4122</v>
      </c>
      <c r="I131">
        <v>0</v>
      </c>
      <c r="J131" t="s">
        <v>3105</v>
      </c>
      <c r="K131" t="s">
        <v>90</v>
      </c>
      <c r="L131" t="s">
        <v>3106</v>
      </c>
      <c r="M131" t="s">
        <v>1871</v>
      </c>
      <c r="N131" t="s">
        <v>3107</v>
      </c>
      <c r="O131">
        <v>-15.247585000000001</v>
      </c>
      <c r="P131">
        <v>22.9615911</v>
      </c>
      <c r="Q131">
        <v>1048.366333007812</v>
      </c>
      <c r="R131">
        <v>4.4779999999999998</v>
      </c>
      <c r="S131" t="s">
        <v>84</v>
      </c>
      <c r="T131" t="s">
        <v>94</v>
      </c>
      <c r="U131">
        <v>8</v>
      </c>
      <c r="V131" t="s">
        <v>95</v>
      </c>
      <c r="W131" t="s">
        <v>907</v>
      </c>
      <c r="X131">
        <v>30</v>
      </c>
      <c r="Y131">
        <v>3</v>
      </c>
      <c r="Z131">
        <v>1</v>
      </c>
      <c r="AA131" t="s">
        <v>504</v>
      </c>
      <c r="AB131" t="s">
        <v>351</v>
      </c>
      <c r="AC131" t="s">
        <v>98</v>
      </c>
      <c r="AD131" t="s">
        <v>145</v>
      </c>
      <c r="AE131" t="s">
        <v>123</v>
      </c>
      <c r="AF131" t="s">
        <v>3108</v>
      </c>
      <c r="AG131">
        <v>300</v>
      </c>
      <c r="AH131" t="s">
        <v>3873</v>
      </c>
      <c r="AI131" t="s">
        <v>907</v>
      </c>
      <c r="AJ131" t="s">
        <v>907</v>
      </c>
      <c r="AK131" t="s">
        <v>102</v>
      </c>
      <c r="AL131" t="s">
        <v>907</v>
      </c>
      <c r="AM131" t="s">
        <v>4130</v>
      </c>
      <c r="AN131" t="s">
        <v>907</v>
      </c>
      <c r="AQ131" t="s">
        <v>466</v>
      </c>
      <c r="AR131" t="s">
        <v>95</v>
      </c>
      <c r="AS131">
        <v>0</v>
      </c>
      <c r="AT131">
        <v>0</v>
      </c>
      <c r="AU131">
        <v>0</v>
      </c>
      <c r="AV131">
        <v>0</v>
      </c>
      <c r="AW131">
        <v>0</v>
      </c>
      <c r="AX131">
        <v>0</v>
      </c>
      <c r="AY131">
        <v>0</v>
      </c>
      <c r="AZ131" t="s">
        <v>929</v>
      </c>
      <c r="BA131" t="s">
        <v>95</v>
      </c>
      <c r="BB131" t="s">
        <v>154</v>
      </c>
      <c r="BC131" t="s">
        <v>907</v>
      </c>
      <c r="BD131" t="s">
        <v>107</v>
      </c>
      <c r="BE131" t="s">
        <v>258</v>
      </c>
      <c r="BF131" t="s">
        <v>4045</v>
      </c>
      <c r="BG131" t="s">
        <v>235</v>
      </c>
      <c r="BH131">
        <v>40</v>
      </c>
      <c r="BL131">
        <v>52</v>
      </c>
      <c r="BN131">
        <v>3</v>
      </c>
      <c r="BP131">
        <v>0</v>
      </c>
      <c r="BR131">
        <v>1</v>
      </c>
      <c r="BT131">
        <v>8</v>
      </c>
      <c r="BV131">
        <v>0</v>
      </c>
      <c r="BX131">
        <v>8</v>
      </c>
      <c r="BY131" t="s">
        <v>189</v>
      </c>
      <c r="BZ131">
        <v>2</v>
      </c>
      <c r="CA131">
        <v>10</v>
      </c>
      <c r="CB131" t="s">
        <v>84</v>
      </c>
      <c r="CC131" t="s">
        <v>84</v>
      </c>
      <c r="CD131" t="s">
        <v>3109</v>
      </c>
      <c r="CE131" t="s">
        <v>4251</v>
      </c>
      <c r="CF131" t="s">
        <v>4048</v>
      </c>
      <c r="CG131" t="s">
        <v>907</v>
      </c>
      <c r="CH131">
        <v>4</v>
      </c>
      <c r="CI131" t="s">
        <v>95</v>
      </c>
      <c r="CJ131" t="s">
        <v>907</v>
      </c>
      <c r="CK131" t="s">
        <v>289</v>
      </c>
      <c r="CL131" t="s">
        <v>879</v>
      </c>
      <c r="CM131" t="s">
        <v>547</v>
      </c>
      <c r="CN131" t="s">
        <v>421</v>
      </c>
      <c r="CO131" t="s">
        <v>95</v>
      </c>
      <c r="CP131" t="s">
        <v>907</v>
      </c>
      <c r="CQ131" t="s">
        <v>116</v>
      </c>
      <c r="CR131" t="s">
        <v>84</v>
      </c>
      <c r="CS131" t="s">
        <v>117</v>
      </c>
      <c r="CT131" t="s">
        <v>907</v>
      </c>
      <c r="CU131" t="s">
        <v>438</v>
      </c>
      <c r="CV131" t="s">
        <v>119</v>
      </c>
      <c r="CW131" t="s">
        <v>1566</v>
      </c>
      <c r="CX131" t="s">
        <v>166</v>
      </c>
      <c r="CY131" t="s">
        <v>167</v>
      </c>
      <c r="CZ131" t="s">
        <v>3066</v>
      </c>
      <c r="DA131">
        <v>0</v>
      </c>
      <c r="DB131" s="10">
        <v>0</v>
      </c>
      <c r="DC131" t="s">
        <v>123</v>
      </c>
      <c r="DD131" t="s">
        <v>2514</v>
      </c>
      <c r="DE131" t="s">
        <v>907</v>
      </c>
      <c r="DF131" t="s">
        <v>907</v>
      </c>
      <c r="DG131" t="s">
        <v>95</v>
      </c>
      <c r="DH131" t="s">
        <v>95</v>
      </c>
      <c r="DI131" t="s">
        <v>907</v>
      </c>
      <c r="DJ131" t="s">
        <v>907</v>
      </c>
      <c r="DK131" t="s">
        <v>907</v>
      </c>
      <c r="DL131" t="s">
        <v>907</v>
      </c>
      <c r="DM131" t="s">
        <v>291</v>
      </c>
      <c r="DN131" t="s">
        <v>907</v>
      </c>
      <c r="DO131" t="s">
        <v>907</v>
      </c>
      <c r="DP131">
        <v>13</v>
      </c>
      <c r="DQ131" t="s">
        <v>441</v>
      </c>
      <c r="DR131" t="s">
        <v>907</v>
      </c>
      <c r="DS131" t="s">
        <v>3075</v>
      </c>
      <c r="DT131" t="s">
        <v>3110</v>
      </c>
      <c r="DU131" t="s">
        <v>95</v>
      </c>
      <c r="DV131" t="s">
        <v>907</v>
      </c>
      <c r="DW131" t="s">
        <v>907</v>
      </c>
      <c r="DX131" t="s">
        <v>907</v>
      </c>
      <c r="FQ131">
        <v>567958297</v>
      </c>
      <c r="FR131" t="s">
        <v>3111</v>
      </c>
      <c r="FS131" s="1">
        <v>45927.345231481479</v>
      </c>
      <c r="FV131" t="s">
        <v>134</v>
      </c>
      <c r="FW131" t="s">
        <v>135</v>
      </c>
      <c r="FX131" t="s">
        <v>136</v>
      </c>
      <c r="FZ131">
        <v>449</v>
      </c>
    </row>
    <row r="132" spans="1:182" hidden="1" x14ac:dyDescent="0.3">
      <c r="A132" s="1">
        <v>45925.444000115742</v>
      </c>
      <c r="B132" s="1">
        <v>45925.847738414363</v>
      </c>
      <c r="D132" t="s">
        <v>84</v>
      </c>
      <c r="E132" t="s">
        <v>85</v>
      </c>
      <c r="F132" t="s">
        <v>2399</v>
      </c>
      <c r="G132" t="s">
        <v>176</v>
      </c>
      <c r="H132" t="s">
        <v>4122</v>
      </c>
      <c r="I132" t="s">
        <v>2400</v>
      </c>
      <c r="J132" t="s">
        <v>2401</v>
      </c>
      <c r="K132" t="s">
        <v>90</v>
      </c>
      <c r="L132" t="s">
        <v>2380</v>
      </c>
      <c r="M132" t="s">
        <v>141</v>
      </c>
      <c r="N132" t="s">
        <v>2402</v>
      </c>
      <c r="O132">
        <v>-15.385942699999999</v>
      </c>
      <c r="P132">
        <v>23.184937399999999</v>
      </c>
      <c r="Q132">
        <v>1033.315673828125</v>
      </c>
      <c r="R132">
        <v>4.4960000000000004</v>
      </c>
      <c r="S132" t="s">
        <v>84</v>
      </c>
      <c r="T132" t="s">
        <v>182</v>
      </c>
      <c r="U132">
        <v>7</v>
      </c>
      <c r="V132" t="s">
        <v>95</v>
      </c>
      <c r="W132" t="s">
        <v>907</v>
      </c>
      <c r="X132">
        <v>55</v>
      </c>
      <c r="Y132">
        <v>100</v>
      </c>
      <c r="Z132">
        <v>3</v>
      </c>
      <c r="AA132" t="s">
        <v>96</v>
      </c>
      <c r="AB132" t="s">
        <v>351</v>
      </c>
      <c r="AC132" t="s">
        <v>98</v>
      </c>
      <c r="AD132" t="s">
        <v>99</v>
      </c>
      <c r="AE132" t="s">
        <v>100</v>
      </c>
      <c r="AF132" t="s">
        <v>907</v>
      </c>
      <c r="AG132">
        <v>0</v>
      </c>
      <c r="AH132" t="s">
        <v>147</v>
      </c>
      <c r="AI132" t="s">
        <v>907</v>
      </c>
      <c r="AJ132" s="5">
        <v>0</v>
      </c>
      <c r="AK132" t="s">
        <v>148</v>
      </c>
      <c r="AL132" t="s">
        <v>907</v>
      </c>
      <c r="AM132" t="s">
        <v>149</v>
      </c>
      <c r="AN132" t="s">
        <v>907</v>
      </c>
      <c r="AO132" t="s">
        <v>2403</v>
      </c>
      <c r="AP132" t="s">
        <v>2404</v>
      </c>
      <c r="AQ132" t="s">
        <v>149</v>
      </c>
      <c r="AR132" t="s">
        <v>95</v>
      </c>
      <c r="AS132">
        <v>5</v>
      </c>
      <c r="AT132">
        <v>11</v>
      </c>
      <c r="AU132">
        <v>0</v>
      </c>
      <c r="AV132">
        <v>17</v>
      </c>
      <c r="AW132">
        <v>17</v>
      </c>
      <c r="AX132">
        <v>0</v>
      </c>
      <c r="AY132">
        <v>0</v>
      </c>
      <c r="AZ132" t="s">
        <v>1003</v>
      </c>
      <c r="BA132" t="s">
        <v>95</v>
      </c>
      <c r="BB132" t="s">
        <v>3866</v>
      </c>
      <c r="BC132" t="s">
        <v>907</v>
      </c>
      <c r="BD132" t="s">
        <v>107</v>
      </c>
      <c r="BE132" t="s">
        <v>108</v>
      </c>
      <c r="BF132" t="s">
        <v>309</v>
      </c>
      <c r="BG132" t="s">
        <v>235</v>
      </c>
      <c r="BH132">
        <v>65</v>
      </c>
      <c r="BY132" t="s">
        <v>110</v>
      </c>
      <c r="BZ132" t="s">
        <v>907</v>
      </c>
      <c r="CA132" t="s">
        <v>907</v>
      </c>
      <c r="CB132" t="s">
        <v>84</v>
      </c>
      <c r="CC132" t="s">
        <v>84</v>
      </c>
      <c r="CD132" t="s">
        <v>545</v>
      </c>
      <c r="CE132" t="s">
        <v>4250</v>
      </c>
      <c r="CF132" t="s">
        <v>2405</v>
      </c>
      <c r="CG132" t="s">
        <v>907</v>
      </c>
      <c r="CH132">
        <v>4</v>
      </c>
      <c r="CI132" t="s">
        <v>84</v>
      </c>
      <c r="CJ132" t="s">
        <v>262</v>
      </c>
      <c r="CK132" t="s">
        <v>289</v>
      </c>
      <c r="CL132" t="s">
        <v>4262</v>
      </c>
      <c r="CM132" t="s">
        <v>115</v>
      </c>
      <c r="CN132" t="s">
        <v>3868</v>
      </c>
      <c r="CO132" t="s">
        <v>95</v>
      </c>
      <c r="CP132" t="s">
        <v>907</v>
      </c>
      <c r="CQ132" t="s">
        <v>116</v>
      </c>
      <c r="CR132" t="s">
        <v>84</v>
      </c>
      <c r="CS132" t="s">
        <v>117</v>
      </c>
      <c r="CT132" t="s">
        <v>163</v>
      </c>
      <c r="CU132" t="s">
        <v>793</v>
      </c>
      <c r="CV132" t="s">
        <v>119</v>
      </c>
      <c r="CW132" t="s">
        <v>559</v>
      </c>
      <c r="CX132" t="s">
        <v>166</v>
      </c>
      <c r="CY132" t="s">
        <v>549</v>
      </c>
      <c r="CZ132" t="s">
        <v>559</v>
      </c>
      <c r="DA132">
        <v>0</v>
      </c>
      <c r="DB132" s="10">
        <v>0</v>
      </c>
      <c r="DC132" t="s">
        <v>169</v>
      </c>
      <c r="DD132" t="s">
        <v>907</v>
      </c>
      <c r="DE132">
        <v>4</v>
      </c>
      <c r="DF132">
        <v>16</v>
      </c>
      <c r="DG132" t="s">
        <v>95</v>
      </c>
      <c r="DH132" t="s">
        <v>95</v>
      </c>
      <c r="DI132" t="s">
        <v>907</v>
      </c>
      <c r="DJ132" t="s">
        <v>907</v>
      </c>
      <c r="DK132" t="s">
        <v>907</v>
      </c>
      <c r="DL132" t="s">
        <v>907</v>
      </c>
      <c r="DM132" t="s">
        <v>125</v>
      </c>
      <c r="DN132" t="s">
        <v>170</v>
      </c>
      <c r="DO132" t="s">
        <v>171</v>
      </c>
      <c r="DP132">
        <v>7</v>
      </c>
      <c r="DQ132" t="s">
        <v>128</v>
      </c>
      <c r="DR132" t="s">
        <v>907</v>
      </c>
      <c r="DS132" t="s">
        <v>203</v>
      </c>
      <c r="DT132" t="s">
        <v>2406</v>
      </c>
      <c r="DU132" t="s">
        <v>84</v>
      </c>
      <c r="DV132" t="s">
        <v>225</v>
      </c>
      <c r="DW132" t="s">
        <v>533</v>
      </c>
      <c r="DX132" t="s">
        <v>95</v>
      </c>
      <c r="FQ132">
        <v>566893267</v>
      </c>
      <c r="FR132" t="s">
        <v>2407</v>
      </c>
      <c r="FS132" s="1">
        <v>45925.765092592592</v>
      </c>
      <c r="FV132" t="s">
        <v>134</v>
      </c>
      <c r="FW132" t="s">
        <v>135</v>
      </c>
      <c r="FX132" t="s">
        <v>136</v>
      </c>
      <c r="FZ132">
        <v>333</v>
      </c>
    </row>
    <row r="133" spans="1:182" hidden="1" x14ac:dyDescent="0.3">
      <c r="A133" s="1">
        <v>45925.374684918977</v>
      </c>
      <c r="B133" s="1">
        <v>45925.38947898148</v>
      </c>
      <c r="D133" t="s">
        <v>84</v>
      </c>
      <c r="E133" t="s">
        <v>535</v>
      </c>
      <c r="F133" t="s">
        <v>2323</v>
      </c>
      <c r="G133" t="s">
        <v>176</v>
      </c>
      <c r="H133" t="s">
        <v>4122</v>
      </c>
      <c r="I133" t="s">
        <v>2324</v>
      </c>
      <c r="J133" t="s">
        <v>2325</v>
      </c>
      <c r="K133" t="s">
        <v>90</v>
      </c>
      <c r="L133" t="s">
        <v>2326</v>
      </c>
      <c r="M133" t="s">
        <v>540</v>
      </c>
      <c r="N133" t="s">
        <v>2327</v>
      </c>
      <c r="O133">
        <v>-15.385949099999999</v>
      </c>
      <c r="P133">
        <v>23.184937099999999</v>
      </c>
      <c r="Q133">
        <v>1024.283203125</v>
      </c>
      <c r="R133">
        <v>4.7560000000000002</v>
      </c>
      <c r="S133" t="s">
        <v>84</v>
      </c>
      <c r="T133" t="s">
        <v>182</v>
      </c>
      <c r="U133">
        <v>9</v>
      </c>
      <c r="V133" t="s">
        <v>95</v>
      </c>
      <c r="W133" t="s">
        <v>907</v>
      </c>
      <c r="X133">
        <v>23</v>
      </c>
      <c r="Y133">
        <v>50</v>
      </c>
      <c r="Z133">
        <v>6</v>
      </c>
      <c r="AA133" t="s">
        <v>96</v>
      </c>
      <c r="AB133" t="s">
        <v>351</v>
      </c>
      <c r="AC133" t="s">
        <v>144</v>
      </c>
      <c r="AD133" t="s">
        <v>99</v>
      </c>
      <c r="AE133" t="s">
        <v>100</v>
      </c>
      <c r="AF133" t="s">
        <v>907</v>
      </c>
      <c r="AG133">
        <v>0</v>
      </c>
      <c r="AH133" t="s">
        <v>100</v>
      </c>
      <c r="AI133" t="s">
        <v>907</v>
      </c>
      <c r="AJ133" s="5">
        <v>0</v>
      </c>
      <c r="AK133" t="s">
        <v>102</v>
      </c>
      <c r="AL133" t="s">
        <v>907</v>
      </c>
      <c r="AM133" t="s">
        <v>185</v>
      </c>
      <c r="AN133" t="s">
        <v>907</v>
      </c>
      <c r="AO133" t="s">
        <v>2328</v>
      </c>
      <c r="AP133" t="s">
        <v>2329</v>
      </c>
      <c r="AQ133" t="s">
        <v>185</v>
      </c>
      <c r="AR133" t="s">
        <v>95</v>
      </c>
      <c r="AS133">
        <v>7</v>
      </c>
      <c r="AT133">
        <v>35</v>
      </c>
      <c r="AU133">
        <v>0</v>
      </c>
      <c r="AV133">
        <v>0</v>
      </c>
      <c r="AW133">
        <v>67</v>
      </c>
      <c r="AX133">
        <v>0</v>
      </c>
      <c r="AY133">
        <v>0</v>
      </c>
      <c r="AZ133" t="s">
        <v>106</v>
      </c>
      <c r="BA133" t="s">
        <v>95</v>
      </c>
      <c r="BB133" t="s">
        <v>154</v>
      </c>
      <c r="BC133" t="s">
        <v>907</v>
      </c>
      <c r="BD133" t="s">
        <v>107</v>
      </c>
      <c r="BE133" t="s">
        <v>108</v>
      </c>
      <c r="BF133" t="s">
        <v>309</v>
      </c>
      <c r="BG133" t="s">
        <v>235</v>
      </c>
      <c r="BH133">
        <v>61</v>
      </c>
      <c r="BY133" t="s">
        <v>110</v>
      </c>
      <c r="BZ133" t="s">
        <v>907</v>
      </c>
      <c r="CA133" t="s">
        <v>907</v>
      </c>
      <c r="CB133" t="s">
        <v>84</v>
      </c>
      <c r="CC133" t="s">
        <v>84</v>
      </c>
      <c r="CD133" t="s">
        <v>545</v>
      </c>
      <c r="CE133" t="s">
        <v>4250</v>
      </c>
      <c r="CF133" t="s">
        <v>2330</v>
      </c>
      <c r="CG133" t="s">
        <v>907</v>
      </c>
      <c r="CH133">
        <v>4</v>
      </c>
      <c r="CI133" t="s">
        <v>84</v>
      </c>
      <c r="CJ133" t="s">
        <v>262</v>
      </c>
      <c r="CK133" t="s">
        <v>289</v>
      </c>
      <c r="CL133" t="s">
        <v>4262</v>
      </c>
      <c r="CM133" t="s">
        <v>115</v>
      </c>
      <c r="CN133" t="s">
        <v>3886</v>
      </c>
      <c r="CO133" t="s">
        <v>95</v>
      </c>
      <c r="CP133" t="s">
        <v>907</v>
      </c>
      <c r="CQ133" t="s">
        <v>116</v>
      </c>
      <c r="CR133" t="s">
        <v>84</v>
      </c>
      <c r="CS133" t="s">
        <v>117</v>
      </c>
      <c r="CT133" t="s">
        <v>163</v>
      </c>
      <c r="CU133" t="s">
        <v>3869</v>
      </c>
      <c r="CV133" t="s">
        <v>119</v>
      </c>
      <c r="CW133" t="s">
        <v>168</v>
      </c>
      <c r="CX133" t="s">
        <v>166</v>
      </c>
      <c r="CY133" t="s">
        <v>549</v>
      </c>
      <c r="CZ133" t="s">
        <v>559</v>
      </c>
      <c r="DA133">
        <v>0</v>
      </c>
      <c r="DB133" s="10">
        <v>0</v>
      </c>
      <c r="DC133" t="s">
        <v>169</v>
      </c>
      <c r="DD133" t="s">
        <v>907</v>
      </c>
      <c r="DE133">
        <v>2</v>
      </c>
      <c r="DF133">
        <v>15</v>
      </c>
      <c r="DG133" t="s">
        <v>95</v>
      </c>
      <c r="DH133" t="s">
        <v>95</v>
      </c>
      <c r="DI133" t="s">
        <v>907</v>
      </c>
      <c r="DJ133" t="s">
        <v>907</v>
      </c>
      <c r="DK133" t="s">
        <v>907</v>
      </c>
      <c r="DL133" t="s">
        <v>907</v>
      </c>
      <c r="DM133" t="s">
        <v>125</v>
      </c>
      <c r="DN133" t="s">
        <v>170</v>
      </c>
      <c r="DO133" t="s">
        <v>2331</v>
      </c>
      <c r="DP133">
        <v>6</v>
      </c>
      <c r="DQ133" t="s">
        <v>128</v>
      </c>
      <c r="DR133" t="s">
        <v>907</v>
      </c>
      <c r="DS133" t="s">
        <v>716</v>
      </c>
      <c r="DT133" t="s">
        <v>2332</v>
      </c>
      <c r="DU133" t="s">
        <v>84</v>
      </c>
      <c r="DV133" t="s">
        <v>225</v>
      </c>
      <c r="DW133" t="s">
        <v>533</v>
      </c>
      <c r="DX133" t="s">
        <v>95</v>
      </c>
      <c r="FQ133">
        <v>566893200</v>
      </c>
      <c r="FR133" t="s">
        <v>2333</v>
      </c>
      <c r="FS133" s="1">
        <v>45925.764999999999</v>
      </c>
      <c r="FV133" t="s">
        <v>134</v>
      </c>
      <c r="FW133" t="s">
        <v>135</v>
      </c>
      <c r="FX133" t="s">
        <v>136</v>
      </c>
      <c r="FZ133">
        <v>326</v>
      </c>
    </row>
    <row r="134" spans="1:182" x14ac:dyDescent="0.3">
      <c r="A134" s="1">
        <v>45923.380072812499</v>
      </c>
      <c r="B134" s="1">
        <v>45923.429984374998</v>
      </c>
      <c r="D134" t="s">
        <v>84</v>
      </c>
      <c r="E134" t="s">
        <v>1226</v>
      </c>
      <c r="F134" t="s">
        <v>1227</v>
      </c>
      <c r="G134" t="s">
        <v>176</v>
      </c>
      <c r="H134" t="s">
        <v>4122</v>
      </c>
      <c r="I134" t="s">
        <v>1228</v>
      </c>
      <c r="J134" t="s">
        <v>1229</v>
      </c>
      <c r="K134" t="s">
        <v>90</v>
      </c>
      <c r="L134" t="s">
        <v>3913</v>
      </c>
      <c r="M134" t="s">
        <v>349</v>
      </c>
      <c r="N134" t="s">
        <v>1230</v>
      </c>
      <c r="O134">
        <v>-15.467598300000001</v>
      </c>
      <c r="P134">
        <v>23.2201533</v>
      </c>
      <c r="Q134">
        <v>1078.5999999999999</v>
      </c>
      <c r="R134">
        <v>4.6829999999999998</v>
      </c>
      <c r="S134" t="s">
        <v>84</v>
      </c>
      <c r="T134" t="s">
        <v>182</v>
      </c>
      <c r="U134">
        <v>8</v>
      </c>
      <c r="V134" t="s">
        <v>95</v>
      </c>
      <c r="W134" t="s">
        <v>907</v>
      </c>
      <c r="X134">
        <v>10</v>
      </c>
      <c r="Y134">
        <v>5</v>
      </c>
      <c r="Z134">
        <v>3</v>
      </c>
      <c r="AA134" t="s">
        <v>504</v>
      </c>
      <c r="AB134" t="s">
        <v>97</v>
      </c>
      <c r="AC134" t="s">
        <v>98</v>
      </c>
      <c r="AD134" t="s">
        <v>99</v>
      </c>
      <c r="AE134" t="s">
        <v>100</v>
      </c>
      <c r="AF134" t="s">
        <v>907</v>
      </c>
      <c r="AG134">
        <v>1875</v>
      </c>
      <c r="AH134" t="s">
        <v>1231</v>
      </c>
      <c r="AI134" t="s">
        <v>1232</v>
      </c>
      <c r="AJ134" s="5">
        <v>1000</v>
      </c>
      <c r="AK134" t="s">
        <v>102</v>
      </c>
      <c r="AL134" t="s">
        <v>907</v>
      </c>
      <c r="AM134" t="s">
        <v>1233</v>
      </c>
      <c r="AN134" t="s">
        <v>907</v>
      </c>
      <c r="AO134" t="s">
        <v>1234</v>
      </c>
      <c r="AP134" t="s">
        <v>1235</v>
      </c>
      <c r="AQ134" t="s">
        <v>1236</v>
      </c>
      <c r="AR134" t="s">
        <v>95</v>
      </c>
      <c r="AS134">
        <v>4</v>
      </c>
      <c r="AT134">
        <v>4</v>
      </c>
      <c r="AU134">
        <v>1000</v>
      </c>
      <c r="AV134">
        <v>0</v>
      </c>
      <c r="AW134">
        <v>50</v>
      </c>
      <c r="AX134">
        <v>0</v>
      </c>
      <c r="AY134">
        <v>0</v>
      </c>
      <c r="AZ134" t="s">
        <v>629</v>
      </c>
      <c r="BA134" t="s">
        <v>452</v>
      </c>
      <c r="BB134" t="s">
        <v>308</v>
      </c>
      <c r="BC134" t="s">
        <v>907</v>
      </c>
      <c r="BD134" t="s">
        <v>257</v>
      </c>
      <c r="BE134" t="s">
        <v>810</v>
      </c>
      <c r="BF134" t="s">
        <v>3916</v>
      </c>
      <c r="BG134" t="s">
        <v>156</v>
      </c>
      <c r="BH134">
        <v>39</v>
      </c>
      <c r="BL134">
        <v>18</v>
      </c>
      <c r="BN134">
        <v>2</v>
      </c>
      <c r="BP134">
        <v>5</v>
      </c>
      <c r="BR134">
        <v>3</v>
      </c>
      <c r="BT134">
        <v>4</v>
      </c>
      <c r="BV134">
        <v>2</v>
      </c>
      <c r="BX134">
        <v>5</v>
      </c>
      <c r="BY134" t="s">
        <v>110</v>
      </c>
      <c r="BZ134" t="s">
        <v>907</v>
      </c>
      <c r="CA134" t="s">
        <v>907</v>
      </c>
      <c r="CB134" t="s">
        <v>84</v>
      </c>
      <c r="CC134" t="s">
        <v>84</v>
      </c>
      <c r="CD134" t="s">
        <v>1237</v>
      </c>
      <c r="CE134" t="s">
        <v>4250</v>
      </c>
      <c r="CF134" t="s">
        <v>3917</v>
      </c>
      <c r="CG134" t="s">
        <v>907</v>
      </c>
      <c r="CH134">
        <v>4</v>
      </c>
      <c r="CI134" t="s">
        <v>84</v>
      </c>
      <c r="CJ134" t="s">
        <v>262</v>
      </c>
      <c r="CK134" t="s">
        <v>289</v>
      </c>
      <c r="CL134" t="s">
        <v>1238</v>
      </c>
      <c r="CM134" t="s">
        <v>193</v>
      </c>
      <c r="CN134" t="s">
        <v>3868</v>
      </c>
      <c r="CO134" t="s">
        <v>95</v>
      </c>
      <c r="CP134" t="s">
        <v>907</v>
      </c>
      <c r="CQ134" t="s">
        <v>116</v>
      </c>
      <c r="CR134" t="s">
        <v>84</v>
      </c>
      <c r="CS134" t="s">
        <v>117</v>
      </c>
      <c r="CT134" t="s">
        <v>118</v>
      </c>
      <c r="CU134" t="s">
        <v>3869</v>
      </c>
      <c r="CV134" t="s">
        <v>119</v>
      </c>
      <c r="CW134" t="s">
        <v>240</v>
      </c>
      <c r="CX134" t="s">
        <v>166</v>
      </c>
      <c r="CY134" t="s">
        <v>167</v>
      </c>
      <c r="CZ134" t="s">
        <v>1239</v>
      </c>
      <c r="DA134">
        <v>1</v>
      </c>
      <c r="DB134" s="10">
        <v>3560</v>
      </c>
      <c r="DC134" t="s">
        <v>169</v>
      </c>
      <c r="DD134" t="s">
        <v>907</v>
      </c>
      <c r="DE134">
        <v>5</v>
      </c>
      <c r="DF134">
        <v>20</v>
      </c>
      <c r="DG134" t="s">
        <v>95</v>
      </c>
      <c r="DH134" t="s">
        <v>95</v>
      </c>
      <c r="DI134" t="s">
        <v>907</v>
      </c>
      <c r="DJ134" t="s">
        <v>907</v>
      </c>
      <c r="DK134" t="s">
        <v>907</v>
      </c>
      <c r="DL134" t="s">
        <v>907</v>
      </c>
      <c r="DM134" t="s">
        <v>125</v>
      </c>
      <c r="DN134" t="s">
        <v>1240</v>
      </c>
      <c r="DO134" t="s">
        <v>342</v>
      </c>
      <c r="DP134">
        <v>3</v>
      </c>
      <c r="DQ134" t="s">
        <v>202</v>
      </c>
      <c r="DR134" t="s">
        <v>907</v>
      </c>
      <c r="DS134" t="s">
        <v>1241</v>
      </c>
      <c r="DT134" t="s">
        <v>1242</v>
      </c>
      <c r="DU134" t="s">
        <v>84</v>
      </c>
      <c r="DV134" t="s">
        <v>344</v>
      </c>
      <c r="DW134" t="s">
        <v>132</v>
      </c>
      <c r="DX134" t="s">
        <v>95</v>
      </c>
      <c r="FQ134">
        <v>566012824</v>
      </c>
      <c r="FR134" t="s">
        <v>1243</v>
      </c>
      <c r="FS134" s="1">
        <v>45924.733842592592</v>
      </c>
      <c r="FV134" t="s">
        <v>134</v>
      </c>
      <c r="FW134" t="s">
        <v>135</v>
      </c>
      <c r="FX134" t="s">
        <v>136</v>
      </c>
      <c r="FZ134">
        <v>208</v>
      </c>
    </row>
    <row r="135" spans="1:182" hidden="1" x14ac:dyDescent="0.3">
      <c r="A135" s="1">
        <v>45924.582406469897</v>
      </c>
      <c r="B135" s="1">
        <v>45924.593420879632</v>
      </c>
      <c r="D135" t="s">
        <v>84</v>
      </c>
      <c r="E135" t="s">
        <v>535</v>
      </c>
      <c r="F135" t="s">
        <v>536</v>
      </c>
      <c r="G135" t="s">
        <v>176</v>
      </c>
      <c r="H135" t="s">
        <v>4122</v>
      </c>
      <c r="I135" t="s">
        <v>537</v>
      </c>
      <c r="J135" t="s">
        <v>538</v>
      </c>
      <c r="K135" t="s">
        <v>90</v>
      </c>
      <c r="L135" t="s">
        <v>539</v>
      </c>
      <c r="M135" t="s">
        <v>540</v>
      </c>
      <c r="N135" t="s">
        <v>541</v>
      </c>
      <c r="O135">
        <v>-15.345708999999999</v>
      </c>
      <c r="P135">
        <v>23.1288941</v>
      </c>
      <c r="Q135">
        <v>1025.560424804688</v>
      </c>
      <c r="R135">
        <v>4.1749999999999998</v>
      </c>
      <c r="S135" t="s">
        <v>84</v>
      </c>
      <c r="T135" t="s">
        <v>94</v>
      </c>
      <c r="U135">
        <v>7</v>
      </c>
      <c r="V135" t="s">
        <v>95</v>
      </c>
      <c r="W135" t="s">
        <v>907</v>
      </c>
      <c r="X135">
        <v>17</v>
      </c>
      <c r="Y135">
        <v>25</v>
      </c>
      <c r="Z135">
        <v>4</v>
      </c>
      <c r="AA135" t="s">
        <v>96</v>
      </c>
      <c r="AB135" t="s">
        <v>97</v>
      </c>
      <c r="AC135" t="s">
        <v>98</v>
      </c>
      <c r="AD135" t="s">
        <v>99</v>
      </c>
      <c r="AE135" t="s">
        <v>101</v>
      </c>
      <c r="AF135" t="s">
        <v>907</v>
      </c>
      <c r="AG135">
        <v>0</v>
      </c>
      <c r="AH135" t="s">
        <v>100</v>
      </c>
      <c r="AI135" t="s">
        <v>907</v>
      </c>
      <c r="AJ135" s="5">
        <v>0</v>
      </c>
      <c r="AK135" t="s">
        <v>102</v>
      </c>
      <c r="AL135" t="s">
        <v>907</v>
      </c>
      <c r="AM135" t="s">
        <v>149</v>
      </c>
      <c r="AN135" t="s">
        <v>907</v>
      </c>
      <c r="AO135">
        <v>0</v>
      </c>
      <c r="AP135" t="s">
        <v>542</v>
      </c>
      <c r="AQ135" t="s">
        <v>543</v>
      </c>
      <c r="AR135" t="s">
        <v>95</v>
      </c>
      <c r="AS135">
        <v>0</v>
      </c>
      <c r="AT135">
        <v>0</v>
      </c>
      <c r="AU135">
        <v>0</v>
      </c>
      <c r="AV135">
        <v>0</v>
      </c>
      <c r="AW135">
        <v>98</v>
      </c>
      <c r="AX135">
        <v>0</v>
      </c>
      <c r="AY135">
        <v>0</v>
      </c>
      <c r="AZ135" t="s">
        <v>284</v>
      </c>
      <c r="BA135" t="s">
        <v>95</v>
      </c>
      <c r="BB135" t="s">
        <v>154</v>
      </c>
      <c r="BC135" t="s">
        <v>907</v>
      </c>
      <c r="BD135" t="s">
        <v>107</v>
      </c>
      <c r="BE135" t="s">
        <v>108</v>
      </c>
      <c r="BF135" t="s">
        <v>544</v>
      </c>
      <c r="BG135" t="s">
        <v>235</v>
      </c>
      <c r="BH135">
        <v>37</v>
      </c>
      <c r="BY135" t="s">
        <v>110</v>
      </c>
      <c r="BZ135" t="s">
        <v>907</v>
      </c>
      <c r="CA135" t="s">
        <v>907</v>
      </c>
      <c r="CB135" t="s">
        <v>84</v>
      </c>
      <c r="CC135" t="s">
        <v>84</v>
      </c>
      <c r="CD135" t="s">
        <v>545</v>
      </c>
      <c r="CE135" t="s">
        <v>4250</v>
      </c>
      <c r="CF135" t="s">
        <v>3882</v>
      </c>
      <c r="CG135" t="s">
        <v>907</v>
      </c>
      <c r="CH135">
        <v>4</v>
      </c>
      <c r="CI135" t="s">
        <v>84</v>
      </c>
      <c r="CJ135" t="s">
        <v>546</v>
      </c>
      <c r="CK135" t="s">
        <v>289</v>
      </c>
      <c r="CL135" t="s">
        <v>4262</v>
      </c>
      <c r="CM135" t="s">
        <v>547</v>
      </c>
      <c r="CN135" t="s">
        <v>3883</v>
      </c>
      <c r="CO135" t="s">
        <v>95</v>
      </c>
      <c r="CP135" t="s">
        <v>907</v>
      </c>
      <c r="CQ135" t="s">
        <v>116</v>
      </c>
      <c r="CR135" t="s">
        <v>84</v>
      </c>
      <c r="CS135" t="s">
        <v>117</v>
      </c>
      <c r="CT135" t="s">
        <v>163</v>
      </c>
      <c r="CU135" t="s">
        <v>3869</v>
      </c>
      <c r="CV135" t="s">
        <v>119</v>
      </c>
      <c r="CW135" t="s">
        <v>548</v>
      </c>
      <c r="CX135" t="s">
        <v>166</v>
      </c>
      <c r="CY135" t="s">
        <v>549</v>
      </c>
      <c r="CZ135" t="s">
        <v>550</v>
      </c>
      <c r="DA135">
        <v>2</v>
      </c>
      <c r="DB135" s="10">
        <v>4000</v>
      </c>
      <c r="DC135" t="s">
        <v>169</v>
      </c>
      <c r="DD135" t="s">
        <v>907</v>
      </c>
      <c r="DE135">
        <v>4</v>
      </c>
      <c r="DF135">
        <v>15</v>
      </c>
      <c r="DG135" t="s">
        <v>95</v>
      </c>
      <c r="DH135" t="s">
        <v>95</v>
      </c>
      <c r="DI135" t="s">
        <v>907</v>
      </c>
      <c r="DJ135" t="s">
        <v>907</v>
      </c>
      <c r="DK135" t="s">
        <v>907</v>
      </c>
      <c r="DL135" t="s">
        <v>907</v>
      </c>
      <c r="DM135" t="s">
        <v>125</v>
      </c>
      <c r="DN135" t="s">
        <v>170</v>
      </c>
      <c r="DO135" t="s">
        <v>324</v>
      </c>
      <c r="DP135">
        <v>5</v>
      </c>
      <c r="DQ135" t="s">
        <v>128</v>
      </c>
      <c r="DR135" t="s">
        <v>907</v>
      </c>
      <c r="DS135" t="s">
        <v>551</v>
      </c>
      <c r="DT135" t="s">
        <v>552</v>
      </c>
      <c r="DU135" t="s">
        <v>84</v>
      </c>
      <c r="DV135" t="s">
        <v>225</v>
      </c>
      <c r="DW135" t="s">
        <v>533</v>
      </c>
      <c r="DX135" t="s">
        <v>95</v>
      </c>
      <c r="FQ135">
        <v>565908852</v>
      </c>
      <c r="FR135" t="s">
        <v>553</v>
      </c>
      <c r="FS135" s="1">
        <v>45924.644699074073</v>
      </c>
      <c r="FV135" t="s">
        <v>134</v>
      </c>
      <c r="FW135" t="s">
        <v>135</v>
      </c>
      <c r="FX135" t="s">
        <v>136</v>
      </c>
      <c r="FZ135">
        <v>146</v>
      </c>
    </row>
    <row r="136" spans="1:182" hidden="1" x14ac:dyDescent="0.3">
      <c r="A136" s="1">
        <v>45929.511132083331</v>
      </c>
      <c r="B136" s="1">
        <v>45929.527945081019</v>
      </c>
      <c r="D136" t="s">
        <v>84</v>
      </c>
      <c r="E136" t="s">
        <v>297</v>
      </c>
      <c r="F136" t="s">
        <v>3209</v>
      </c>
      <c r="G136" t="s">
        <v>176</v>
      </c>
      <c r="H136" t="s">
        <v>4121</v>
      </c>
      <c r="I136" t="s">
        <v>3210</v>
      </c>
      <c r="K136" t="s">
        <v>90</v>
      </c>
      <c r="L136" t="s">
        <v>3211</v>
      </c>
      <c r="M136" t="s">
        <v>277</v>
      </c>
      <c r="N136" t="s">
        <v>3212</v>
      </c>
      <c r="O136">
        <v>-15.351195000000001</v>
      </c>
      <c r="P136">
        <v>23.068539999999999</v>
      </c>
      <c r="Q136">
        <v>1046.7</v>
      </c>
      <c r="R136">
        <v>4.3659999999999997</v>
      </c>
      <c r="S136" t="s">
        <v>84</v>
      </c>
      <c r="T136" t="s">
        <v>94</v>
      </c>
      <c r="U136">
        <v>11</v>
      </c>
      <c r="V136" t="s">
        <v>95</v>
      </c>
      <c r="W136" t="s">
        <v>907</v>
      </c>
      <c r="X136">
        <v>20</v>
      </c>
      <c r="Y136">
        <v>15</v>
      </c>
      <c r="Z136">
        <v>5</v>
      </c>
      <c r="AA136" t="s">
        <v>96</v>
      </c>
      <c r="AB136" t="s">
        <v>489</v>
      </c>
      <c r="AC136" t="s">
        <v>98</v>
      </c>
      <c r="AD136" t="s">
        <v>280</v>
      </c>
      <c r="AE136" t="s">
        <v>100</v>
      </c>
      <c r="AF136" t="s">
        <v>907</v>
      </c>
      <c r="AG136">
        <v>1000</v>
      </c>
      <c r="AH136" t="s">
        <v>101</v>
      </c>
      <c r="AI136" t="s">
        <v>907</v>
      </c>
      <c r="AJ136" s="5">
        <v>20000</v>
      </c>
      <c r="AK136" t="s">
        <v>102</v>
      </c>
      <c r="AL136" t="s">
        <v>907</v>
      </c>
      <c r="AM136" t="s">
        <v>466</v>
      </c>
      <c r="AN136" t="s">
        <v>907</v>
      </c>
      <c r="AO136" t="s">
        <v>267</v>
      </c>
      <c r="AP136" t="s">
        <v>3213</v>
      </c>
      <c r="AQ136" t="s">
        <v>909</v>
      </c>
      <c r="AR136" t="s">
        <v>95</v>
      </c>
      <c r="AS136">
        <v>0</v>
      </c>
      <c r="AT136">
        <v>0</v>
      </c>
      <c r="AU136">
        <v>0</v>
      </c>
      <c r="AV136">
        <v>10</v>
      </c>
      <c r="AW136">
        <v>0</v>
      </c>
      <c r="AX136">
        <v>0</v>
      </c>
      <c r="AY136">
        <v>0</v>
      </c>
      <c r="AZ136" t="s">
        <v>929</v>
      </c>
      <c r="BA136" t="s">
        <v>95</v>
      </c>
      <c r="BB136" t="s">
        <v>3866</v>
      </c>
      <c r="BC136" t="s">
        <v>907</v>
      </c>
      <c r="BD136" t="s">
        <v>107</v>
      </c>
      <c r="BE136" t="s">
        <v>810</v>
      </c>
      <c r="BF136" t="s">
        <v>4064</v>
      </c>
      <c r="BG136" t="s">
        <v>235</v>
      </c>
      <c r="BH136">
        <v>65</v>
      </c>
      <c r="BL136">
        <v>38</v>
      </c>
      <c r="BN136">
        <v>2</v>
      </c>
      <c r="BP136">
        <v>10</v>
      </c>
      <c r="BR136">
        <v>0</v>
      </c>
      <c r="BT136">
        <v>6</v>
      </c>
      <c r="BV136">
        <v>0</v>
      </c>
      <c r="BX136">
        <v>9</v>
      </c>
      <c r="BY136" t="s">
        <v>189</v>
      </c>
      <c r="BZ136">
        <v>4</v>
      </c>
      <c r="CA136">
        <v>10</v>
      </c>
      <c r="CB136" t="s">
        <v>84</v>
      </c>
      <c r="CC136" t="s">
        <v>84</v>
      </c>
      <c r="CD136" t="s">
        <v>3214</v>
      </c>
      <c r="CE136" t="s">
        <v>4251</v>
      </c>
      <c r="CF136" t="s">
        <v>4065</v>
      </c>
      <c r="CG136" t="s">
        <v>907</v>
      </c>
      <c r="CH136">
        <v>4</v>
      </c>
      <c r="CI136" t="s">
        <v>84</v>
      </c>
      <c r="CJ136" t="s">
        <v>262</v>
      </c>
      <c r="CK136" t="s">
        <v>289</v>
      </c>
      <c r="CL136" t="s">
        <v>4262</v>
      </c>
      <c r="CM136" t="s">
        <v>193</v>
      </c>
      <c r="CN136" t="s">
        <v>3874</v>
      </c>
      <c r="CO136" t="s">
        <v>95</v>
      </c>
      <c r="CP136" t="s">
        <v>907</v>
      </c>
      <c r="CQ136" t="s">
        <v>116</v>
      </c>
      <c r="CR136" t="s">
        <v>84</v>
      </c>
      <c r="CS136" t="s">
        <v>117</v>
      </c>
      <c r="CT136" t="s">
        <v>264</v>
      </c>
      <c r="CU136" t="s">
        <v>3869</v>
      </c>
      <c r="CV136" t="s">
        <v>119</v>
      </c>
      <c r="CW136" t="s">
        <v>3215</v>
      </c>
      <c r="CX136" t="s">
        <v>166</v>
      </c>
      <c r="CY136" t="s">
        <v>167</v>
      </c>
      <c r="CZ136" t="s">
        <v>1543</v>
      </c>
      <c r="DA136">
        <v>1</v>
      </c>
      <c r="DB136" s="10">
        <v>4500</v>
      </c>
      <c r="DC136" t="s">
        <v>123</v>
      </c>
      <c r="DD136" t="s">
        <v>3042</v>
      </c>
      <c r="DE136">
        <v>2</v>
      </c>
      <c r="DF136">
        <v>20</v>
      </c>
      <c r="DG136" t="s">
        <v>95</v>
      </c>
      <c r="DH136" t="s">
        <v>95</v>
      </c>
      <c r="DI136" t="s">
        <v>907</v>
      </c>
      <c r="DJ136" t="s">
        <v>907</v>
      </c>
      <c r="DK136" t="s">
        <v>907</v>
      </c>
      <c r="DL136" t="s">
        <v>907</v>
      </c>
      <c r="DM136" t="s">
        <v>291</v>
      </c>
      <c r="DN136" t="s">
        <v>907</v>
      </c>
      <c r="DO136" t="s">
        <v>907</v>
      </c>
      <c r="DP136">
        <v>60</v>
      </c>
      <c r="DQ136" t="s">
        <v>441</v>
      </c>
      <c r="DR136" t="s">
        <v>907</v>
      </c>
      <c r="DS136" t="s">
        <v>3216</v>
      </c>
      <c r="DT136" t="s">
        <v>1459</v>
      </c>
      <c r="DU136" t="s">
        <v>84</v>
      </c>
      <c r="DV136" t="s">
        <v>294</v>
      </c>
      <c r="DW136" t="s">
        <v>2959</v>
      </c>
      <c r="DX136" t="s">
        <v>84</v>
      </c>
      <c r="FQ136">
        <v>569568722</v>
      </c>
      <c r="FR136" t="s">
        <v>3217</v>
      </c>
      <c r="FS136" s="1">
        <v>45929.780914351853</v>
      </c>
      <c r="FV136" t="s">
        <v>134</v>
      </c>
      <c r="FW136" t="s">
        <v>135</v>
      </c>
      <c r="FX136" t="s">
        <v>136</v>
      </c>
      <c r="FZ136">
        <v>490</v>
      </c>
    </row>
    <row r="137" spans="1:182" x14ac:dyDescent="0.3">
      <c r="A137" s="1">
        <v>45926.439898344906</v>
      </c>
      <c r="B137" s="1">
        <v>45926.464355509263</v>
      </c>
      <c r="D137" t="s">
        <v>84</v>
      </c>
      <c r="E137" t="s">
        <v>297</v>
      </c>
      <c r="F137" t="s">
        <v>3048</v>
      </c>
      <c r="G137" t="s">
        <v>176</v>
      </c>
      <c r="H137" t="s">
        <v>4121</v>
      </c>
      <c r="I137" t="s">
        <v>3049</v>
      </c>
      <c r="J137" t="s">
        <v>3050</v>
      </c>
      <c r="K137" t="s">
        <v>90</v>
      </c>
      <c r="L137" t="s">
        <v>3038</v>
      </c>
      <c r="M137" t="s">
        <v>1871</v>
      </c>
      <c r="N137" t="s">
        <v>3051</v>
      </c>
      <c r="O137">
        <v>-15.2473817</v>
      </c>
      <c r="P137">
        <v>22.96153</v>
      </c>
      <c r="Q137">
        <v>1031.5</v>
      </c>
      <c r="R137">
        <v>4.9160000000000004</v>
      </c>
      <c r="S137" t="s">
        <v>84</v>
      </c>
      <c r="T137" t="s">
        <v>94</v>
      </c>
      <c r="U137">
        <v>8</v>
      </c>
      <c r="V137" t="s">
        <v>212</v>
      </c>
      <c r="W137" t="s">
        <v>3052</v>
      </c>
      <c r="X137">
        <v>20</v>
      </c>
      <c r="Y137">
        <v>3</v>
      </c>
      <c r="Z137">
        <v>2</v>
      </c>
      <c r="AA137" t="s">
        <v>96</v>
      </c>
      <c r="AB137" t="s">
        <v>351</v>
      </c>
      <c r="AC137" t="s">
        <v>98</v>
      </c>
      <c r="AD137" t="s">
        <v>252</v>
      </c>
      <c r="AE137" t="s">
        <v>101</v>
      </c>
      <c r="AF137" t="s">
        <v>907</v>
      </c>
      <c r="AG137">
        <v>1000</v>
      </c>
      <c r="AH137" t="s">
        <v>147</v>
      </c>
      <c r="AI137" t="s">
        <v>907</v>
      </c>
      <c r="AJ137" s="6">
        <v>8000</v>
      </c>
      <c r="AK137" t="s">
        <v>102</v>
      </c>
      <c r="AL137" t="s">
        <v>907</v>
      </c>
      <c r="AM137" t="s">
        <v>3053</v>
      </c>
      <c r="AN137" t="s">
        <v>907</v>
      </c>
      <c r="AO137" t="s">
        <v>267</v>
      </c>
      <c r="AP137" t="s">
        <v>3054</v>
      </c>
      <c r="AQ137" t="s">
        <v>3055</v>
      </c>
      <c r="AR137" t="s">
        <v>84</v>
      </c>
      <c r="AS137">
        <v>0</v>
      </c>
      <c r="AT137">
        <v>0</v>
      </c>
      <c r="AU137">
        <v>0</v>
      </c>
      <c r="AV137">
        <v>0</v>
      </c>
      <c r="AW137">
        <v>0</v>
      </c>
      <c r="AX137">
        <v>0</v>
      </c>
      <c r="AY137">
        <v>0</v>
      </c>
      <c r="AZ137" t="s">
        <v>929</v>
      </c>
      <c r="BA137" t="s">
        <v>1313</v>
      </c>
      <c r="BB137" t="s">
        <v>154</v>
      </c>
      <c r="BC137" t="s">
        <v>907</v>
      </c>
      <c r="BD137" t="s">
        <v>107</v>
      </c>
      <c r="BE137" t="s">
        <v>258</v>
      </c>
      <c r="BF137" t="s">
        <v>4041</v>
      </c>
      <c r="BG137" t="s">
        <v>156</v>
      </c>
      <c r="BH137">
        <v>50</v>
      </c>
      <c r="BL137">
        <v>22</v>
      </c>
      <c r="BN137">
        <v>2</v>
      </c>
      <c r="BP137">
        <v>8</v>
      </c>
      <c r="BR137">
        <v>0</v>
      </c>
      <c r="BT137">
        <v>4</v>
      </c>
      <c r="BV137">
        <v>6</v>
      </c>
      <c r="BX137">
        <v>8</v>
      </c>
      <c r="BY137" t="s">
        <v>189</v>
      </c>
      <c r="BZ137">
        <v>3</v>
      </c>
      <c r="CA137">
        <v>25</v>
      </c>
      <c r="CB137" t="s">
        <v>84</v>
      </c>
      <c r="CC137" t="s">
        <v>84</v>
      </c>
      <c r="CD137" t="s">
        <v>334</v>
      </c>
      <c r="CE137" t="s">
        <v>4251</v>
      </c>
      <c r="CF137" t="s">
        <v>3056</v>
      </c>
      <c r="CG137" t="s">
        <v>907</v>
      </c>
      <c r="CH137">
        <v>4</v>
      </c>
      <c r="CI137" t="s">
        <v>84</v>
      </c>
      <c r="CJ137" t="s">
        <v>262</v>
      </c>
      <c r="CK137" t="s">
        <v>289</v>
      </c>
      <c r="CL137" t="s">
        <v>1212</v>
      </c>
      <c r="CM137" t="s">
        <v>193</v>
      </c>
      <c r="CN137" t="s">
        <v>4042</v>
      </c>
      <c r="CO137" t="s">
        <v>95</v>
      </c>
      <c r="CP137" t="s">
        <v>907</v>
      </c>
      <c r="CQ137" t="s">
        <v>116</v>
      </c>
      <c r="CR137" t="s">
        <v>84</v>
      </c>
      <c r="CS137" t="s">
        <v>117</v>
      </c>
      <c r="CT137" t="s">
        <v>264</v>
      </c>
      <c r="CU137" t="s">
        <v>3869</v>
      </c>
      <c r="CV137" t="s">
        <v>119</v>
      </c>
      <c r="CW137" t="s">
        <v>2551</v>
      </c>
      <c r="CX137" t="s">
        <v>166</v>
      </c>
      <c r="CY137" t="s">
        <v>167</v>
      </c>
      <c r="CZ137" t="s">
        <v>2551</v>
      </c>
      <c r="DA137">
        <v>1</v>
      </c>
      <c r="DB137" s="10">
        <v>6000</v>
      </c>
      <c r="DC137" t="s">
        <v>123</v>
      </c>
      <c r="DD137" t="s">
        <v>3057</v>
      </c>
      <c r="DE137">
        <v>1</v>
      </c>
      <c r="DF137">
        <v>15</v>
      </c>
      <c r="DG137" t="s">
        <v>95</v>
      </c>
      <c r="DH137" t="s">
        <v>95</v>
      </c>
      <c r="DI137" t="s">
        <v>907</v>
      </c>
      <c r="DJ137" t="s">
        <v>907</v>
      </c>
      <c r="DK137" t="s">
        <v>907</v>
      </c>
      <c r="DL137" t="s">
        <v>907</v>
      </c>
      <c r="DM137" t="s">
        <v>291</v>
      </c>
      <c r="DN137" t="s">
        <v>907</v>
      </c>
      <c r="DO137" t="s">
        <v>907</v>
      </c>
      <c r="DP137">
        <v>20</v>
      </c>
      <c r="DQ137" t="s">
        <v>441</v>
      </c>
      <c r="DR137" t="s">
        <v>907</v>
      </c>
      <c r="DS137" t="s">
        <v>3058</v>
      </c>
      <c r="DT137" t="s">
        <v>3059</v>
      </c>
      <c r="DU137" t="s">
        <v>95</v>
      </c>
      <c r="DV137" t="s">
        <v>907</v>
      </c>
      <c r="DW137" t="s">
        <v>907</v>
      </c>
      <c r="DX137" t="s">
        <v>907</v>
      </c>
      <c r="FQ137">
        <v>567957930</v>
      </c>
      <c r="FR137" t="s">
        <v>3060</v>
      </c>
      <c r="FS137" s="1">
        <v>45927.344467592593</v>
      </c>
      <c r="FV137" t="s">
        <v>134</v>
      </c>
      <c r="FW137" t="s">
        <v>135</v>
      </c>
      <c r="FX137" t="s">
        <v>136</v>
      </c>
      <c r="FZ137">
        <v>443</v>
      </c>
    </row>
    <row r="138" spans="1:182" ht="28.8" x14ac:dyDescent="0.3">
      <c r="A138" s="1">
        <v>45924.395324432873</v>
      </c>
      <c r="B138" s="1">
        <v>45924.430782094911</v>
      </c>
      <c r="D138" t="s">
        <v>84</v>
      </c>
      <c r="E138" t="s">
        <v>1365</v>
      </c>
      <c r="F138" t="s">
        <v>1366</v>
      </c>
      <c r="G138" t="s">
        <v>176</v>
      </c>
      <c r="H138" t="s">
        <v>4122</v>
      </c>
      <c r="I138" t="s">
        <v>1367</v>
      </c>
      <c r="J138" t="s">
        <v>1368</v>
      </c>
      <c r="K138" t="s">
        <v>90</v>
      </c>
      <c r="L138" t="s">
        <v>1369</v>
      </c>
      <c r="M138" t="s">
        <v>1370</v>
      </c>
      <c r="N138" t="s">
        <v>1371</v>
      </c>
      <c r="O138">
        <v>-15.327778500000001</v>
      </c>
      <c r="P138">
        <v>23.040026399999999</v>
      </c>
      <c r="Q138">
        <v>1037.150390625</v>
      </c>
      <c r="R138">
        <v>4.6230000000000002</v>
      </c>
      <c r="S138" t="s">
        <v>84</v>
      </c>
      <c r="T138" t="s">
        <v>182</v>
      </c>
      <c r="U138">
        <v>8</v>
      </c>
      <c r="V138" t="s">
        <v>302</v>
      </c>
      <c r="W138" t="s">
        <v>1372</v>
      </c>
      <c r="X138">
        <v>55</v>
      </c>
      <c r="Y138">
        <v>50</v>
      </c>
      <c r="Z138">
        <v>20</v>
      </c>
      <c r="AA138" t="s">
        <v>504</v>
      </c>
      <c r="AB138" t="s">
        <v>97</v>
      </c>
      <c r="AC138" t="s">
        <v>98</v>
      </c>
      <c r="AD138" t="s">
        <v>99</v>
      </c>
      <c r="AE138" t="s">
        <v>304</v>
      </c>
      <c r="AF138" t="s">
        <v>907</v>
      </c>
      <c r="AG138">
        <v>5000</v>
      </c>
      <c r="AH138" t="s">
        <v>1373</v>
      </c>
      <c r="AI138" t="s">
        <v>907</v>
      </c>
      <c r="AJ138" s="5">
        <v>2000</v>
      </c>
      <c r="AK138" t="s">
        <v>1280</v>
      </c>
      <c r="AL138" t="s">
        <v>907</v>
      </c>
      <c r="AM138" t="s">
        <v>185</v>
      </c>
      <c r="AN138" t="s">
        <v>907</v>
      </c>
      <c r="AO138" s="2" t="s">
        <v>3930</v>
      </c>
      <c r="AP138" t="s">
        <v>1374</v>
      </c>
      <c r="AQ138" t="s">
        <v>149</v>
      </c>
      <c r="AR138" t="s">
        <v>84</v>
      </c>
      <c r="AS138">
        <v>0</v>
      </c>
      <c r="AT138">
        <v>0</v>
      </c>
      <c r="AU138">
        <v>0</v>
      </c>
      <c r="AV138">
        <v>25</v>
      </c>
      <c r="AW138">
        <v>20</v>
      </c>
      <c r="AX138">
        <v>0</v>
      </c>
      <c r="AY138">
        <v>0</v>
      </c>
      <c r="AZ138" t="s">
        <v>284</v>
      </c>
      <c r="BA138" t="s">
        <v>95</v>
      </c>
      <c r="BB138" t="s">
        <v>3866</v>
      </c>
      <c r="BC138" t="s">
        <v>907</v>
      </c>
      <c r="BD138" t="s">
        <v>107</v>
      </c>
      <c r="BE138" t="s">
        <v>363</v>
      </c>
      <c r="BF138" t="s">
        <v>585</v>
      </c>
      <c r="BG138" t="s">
        <v>156</v>
      </c>
      <c r="BH138">
        <v>200</v>
      </c>
      <c r="BL138">
        <v>99</v>
      </c>
      <c r="BN138">
        <v>4</v>
      </c>
      <c r="BP138">
        <v>15</v>
      </c>
      <c r="BR138">
        <v>15</v>
      </c>
      <c r="BT138">
        <v>12</v>
      </c>
      <c r="BV138">
        <v>15</v>
      </c>
      <c r="BX138">
        <v>40</v>
      </c>
      <c r="BY138" t="s">
        <v>189</v>
      </c>
      <c r="BZ138">
        <v>3</v>
      </c>
      <c r="CA138">
        <v>185</v>
      </c>
      <c r="CB138" t="s">
        <v>84</v>
      </c>
      <c r="CC138" t="s">
        <v>84</v>
      </c>
      <c r="CD138" t="s">
        <v>1375</v>
      </c>
      <c r="CE138" t="s">
        <v>1998</v>
      </c>
      <c r="CF138" t="s">
        <v>3931</v>
      </c>
      <c r="CG138" t="s">
        <v>907</v>
      </c>
      <c r="CH138">
        <v>10</v>
      </c>
      <c r="CI138" t="s">
        <v>84</v>
      </c>
      <c r="CJ138" t="s">
        <v>262</v>
      </c>
      <c r="CK138" t="s">
        <v>289</v>
      </c>
      <c r="CL138" t="s">
        <v>1376</v>
      </c>
      <c r="CM138" t="s">
        <v>193</v>
      </c>
      <c r="CN138" t="s">
        <v>3903</v>
      </c>
      <c r="CO138" t="s">
        <v>95</v>
      </c>
      <c r="CP138" t="s">
        <v>907</v>
      </c>
      <c r="CQ138" t="s">
        <v>116</v>
      </c>
      <c r="CR138" t="s">
        <v>84</v>
      </c>
      <c r="CS138" t="s">
        <v>117</v>
      </c>
      <c r="CT138" t="s">
        <v>907</v>
      </c>
      <c r="CU138" t="s">
        <v>3869</v>
      </c>
      <c r="CV138" t="s">
        <v>119</v>
      </c>
      <c r="CW138" t="s">
        <v>1377</v>
      </c>
      <c r="CX138" t="s">
        <v>166</v>
      </c>
      <c r="CY138" t="s">
        <v>167</v>
      </c>
      <c r="CZ138" t="s">
        <v>1079</v>
      </c>
      <c r="DA138">
        <v>10</v>
      </c>
      <c r="DB138" s="10">
        <v>50000</v>
      </c>
      <c r="DC138" t="s">
        <v>169</v>
      </c>
      <c r="DD138" t="s">
        <v>907</v>
      </c>
      <c r="DE138">
        <v>7</v>
      </c>
      <c r="DF138">
        <v>40</v>
      </c>
      <c r="DG138" t="s">
        <v>84</v>
      </c>
      <c r="DH138" t="s">
        <v>95</v>
      </c>
      <c r="DI138" t="s">
        <v>907</v>
      </c>
      <c r="DJ138" t="s">
        <v>907</v>
      </c>
      <c r="DK138" t="s">
        <v>907</v>
      </c>
      <c r="DL138" t="s">
        <v>907</v>
      </c>
      <c r="DM138" t="s">
        <v>125</v>
      </c>
      <c r="DN138" t="s">
        <v>1378</v>
      </c>
      <c r="DO138" t="s">
        <v>1379</v>
      </c>
      <c r="DP138">
        <v>5</v>
      </c>
      <c r="DQ138" t="s">
        <v>128</v>
      </c>
      <c r="DR138" t="s">
        <v>907</v>
      </c>
      <c r="DS138" t="s">
        <v>1380</v>
      </c>
      <c r="DT138" t="s">
        <v>1303</v>
      </c>
      <c r="DU138" t="s">
        <v>84</v>
      </c>
      <c r="DV138" t="s">
        <v>1381</v>
      </c>
      <c r="DW138" t="s">
        <v>1382</v>
      </c>
      <c r="DX138" t="s">
        <v>95</v>
      </c>
      <c r="FQ138">
        <v>566014091</v>
      </c>
      <c r="FR138" t="s">
        <v>1383</v>
      </c>
      <c r="FS138" s="1">
        <v>45924.735439814824</v>
      </c>
      <c r="FV138" t="s">
        <v>134</v>
      </c>
      <c r="FW138" t="s">
        <v>135</v>
      </c>
      <c r="FX138" t="s">
        <v>136</v>
      </c>
      <c r="FZ138">
        <v>217</v>
      </c>
    </row>
    <row r="139" spans="1:182" x14ac:dyDescent="0.3">
      <c r="A139" s="1">
        <v>45923.453398622682</v>
      </c>
      <c r="B139" s="1">
        <v>45923.477364618047</v>
      </c>
      <c r="D139" t="s">
        <v>84</v>
      </c>
      <c r="E139" t="s">
        <v>1226</v>
      </c>
      <c r="F139" t="s">
        <v>1256</v>
      </c>
      <c r="G139" t="s">
        <v>176</v>
      </c>
      <c r="H139" t="s">
        <v>4122</v>
      </c>
      <c r="I139" t="s">
        <v>1257</v>
      </c>
      <c r="J139" t="s">
        <v>1258</v>
      </c>
      <c r="K139" t="s">
        <v>90</v>
      </c>
      <c r="L139" t="s">
        <v>3919</v>
      </c>
      <c r="M139" t="s">
        <v>1259</v>
      </c>
      <c r="N139" t="s">
        <v>1260</v>
      </c>
      <c r="O139">
        <v>-15.467625</v>
      </c>
      <c r="P139">
        <v>23.220095000000001</v>
      </c>
      <c r="Q139">
        <v>1023.4</v>
      </c>
      <c r="R139">
        <v>3.44</v>
      </c>
      <c r="S139" t="s">
        <v>84</v>
      </c>
      <c r="T139" t="s">
        <v>182</v>
      </c>
      <c r="U139">
        <v>6</v>
      </c>
      <c r="V139" t="s">
        <v>212</v>
      </c>
      <c r="W139" t="s">
        <v>1261</v>
      </c>
      <c r="X139">
        <v>30</v>
      </c>
      <c r="Y139">
        <v>20</v>
      </c>
      <c r="Z139">
        <v>12</v>
      </c>
      <c r="AA139" t="s">
        <v>251</v>
      </c>
      <c r="AB139" t="s">
        <v>97</v>
      </c>
      <c r="AC139" t="s">
        <v>144</v>
      </c>
      <c r="AD139" t="s">
        <v>99</v>
      </c>
      <c r="AE139" t="s">
        <v>100</v>
      </c>
      <c r="AF139" t="s">
        <v>907</v>
      </c>
      <c r="AG139" s="3">
        <v>1500</v>
      </c>
      <c r="AH139" t="s">
        <v>1262</v>
      </c>
      <c r="AI139" t="s">
        <v>1263</v>
      </c>
      <c r="AJ139" s="5">
        <v>1000</v>
      </c>
      <c r="AK139" t="s">
        <v>102</v>
      </c>
      <c r="AL139" t="s">
        <v>907</v>
      </c>
      <c r="AM139" t="s">
        <v>1264</v>
      </c>
      <c r="AN139" t="s">
        <v>907</v>
      </c>
      <c r="AO139" t="s">
        <v>1265</v>
      </c>
      <c r="AP139" t="s">
        <v>1266</v>
      </c>
      <c r="AQ139" t="s">
        <v>1267</v>
      </c>
      <c r="AR139" t="s">
        <v>95</v>
      </c>
      <c r="AS139">
        <v>4</v>
      </c>
      <c r="AT139">
        <v>15</v>
      </c>
      <c r="AU139">
        <v>0</v>
      </c>
      <c r="AV139">
        <v>8</v>
      </c>
      <c r="AW139">
        <v>38</v>
      </c>
      <c r="AX139">
        <v>0</v>
      </c>
      <c r="AY139">
        <v>0</v>
      </c>
      <c r="AZ139" t="s">
        <v>153</v>
      </c>
      <c r="BA139" t="s">
        <v>452</v>
      </c>
      <c r="BB139" t="s">
        <v>308</v>
      </c>
      <c r="BC139" t="s">
        <v>907</v>
      </c>
      <c r="BD139" t="s">
        <v>107</v>
      </c>
      <c r="BE139" t="s">
        <v>363</v>
      </c>
      <c r="BF139" t="s">
        <v>1268</v>
      </c>
      <c r="BG139" t="s">
        <v>156</v>
      </c>
      <c r="BH139">
        <v>52</v>
      </c>
      <c r="BL139">
        <v>19</v>
      </c>
      <c r="BN139">
        <v>3</v>
      </c>
      <c r="BP139">
        <v>12</v>
      </c>
      <c r="BR139">
        <v>8</v>
      </c>
      <c r="BT139">
        <v>3</v>
      </c>
      <c r="BV139">
        <v>2</v>
      </c>
      <c r="BX139">
        <v>5</v>
      </c>
      <c r="BY139" t="s">
        <v>189</v>
      </c>
      <c r="BZ139">
        <v>2</v>
      </c>
      <c r="CA139">
        <v>18</v>
      </c>
      <c r="CB139" t="s">
        <v>84</v>
      </c>
      <c r="CC139" t="s">
        <v>84</v>
      </c>
      <c r="CD139" t="s">
        <v>1269</v>
      </c>
      <c r="CE139" t="s">
        <v>4251</v>
      </c>
      <c r="CF139" t="s">
        <v>3920</v>
      </c>
      <c r="CG139" t="s">
        <v>907</v>
      </c>
      <c r="CH139">
        <v>4</v>
      </c>
      <c r="CI139" t="s">
        <v>84</v>
      </c>
      <c r="CJ139" t="s">
        <v>262</v>
      </c>
      <c r="CK139" t="s">
        <v>289</v>
      </c>
      <c r="CL139" t="s">
        <v>367</v>
      </c>
      <c r="CM139" t="s">
        <v>162</v>
      </c>
      <c r="CN139" t="s">
        <v>3870</v>
      </c>
      <c r="CO139" t="s">
        <v>95</v>
      </c>
      <c r="CP139" t="s">
        <v>907</v>
      </c>
      <c r="CQ139" t="s">
        <v>116</v>
      </c>
      <c r="CR139" t="s">
        <v>84</v>
      </c>
      <c r="CS139" t="s">
        <v>117</v>
      </c>
      <c r="CT139" t="s">
        <v>907</v>
      </c>
      <c r="CU139" t="s">
        <v>3869</v>
      </c>
      <c r="CV139" t="s">
        <v>119</v>
      </c>
      <c r="CW139" t="s">
        <v>1270</v>
      </c>
      <c r="CX139" t="s">
        <v>166</v>
      </c>
      <c r="CY139" t="s">
        <v>167</v>
      </c>
      <c r="CZ139" t="s">
        <v>1271</v>
      </c>
      <c r="DA139">
        <v>1</v>
      </c>
      <c r="DB139" s="10">
        <v>7145</v>
      </c>
      <c r="DC139" t="s">
        <v>169</v>
      </c>
      <c r="DD139" t="s">
        <v>907</v>
      </c>
      <c r="DE139">
        <v>5</v>
      </c>
      <c r="DF139">
        <v>20</v>
      </c>
      <c r="DG139" t="s">
        <v>84</v>
      </c>
      <c r="DH139" t="s">
        <v>95</v>
      </c>
      <c r="DI139" t="s">
        <v>907</v>
      </c>
      <c r="DJ139" t="s">
        <v>907</v>
      </c>
      <c r="DK139" t="s">
        <v>907</v>
      </c>
      <c r="DL139" t="s">
        <v>907</v>
      </c>
      <c r="DM139" t="s">
        <v>125</v>
      </c>
      <c r="DN139" t="s">
        <v>1240</v>
      </c>
      <c r="DO139" t="s">
        <v>342</v>
      </c>
      <c r="DP139">
        <v>1</v>
      </c>
      <c r="DQ139" t="s">
        <v>202</v>
      </c>
      <c r="DR139" t="s">
        <v>907</v>
      </c>
      <c r="DS139" t="s">
        <v>1272</v>
      </c>
      <c r="DT139" t="s">
        <v>1273</v>
      </c>
      <c r="DU139" t="s">
        <v>84</v>
      </c>
      <c r="DV139" t="s">
        <v>344</v>
      </c>
      <c r="DW139" t="s">
        <v>132</v>
      </c>
      <c r="DX139" t="s">
        <v>95</v>
      </c>
      <c r="FQ139">
        <v>566012873</v>
      </c>
      <c r="FR139" t="s">
        <v>1274</v>
      </c>
      <c r="FS139" s="1">
        <v>45924.733900462961</v>
      </c>
      <c r="FV139" t="s">
        <v>134</v>
      </c>
      <c r="FW139" t="s">
        <v>135</v>
      </c>
      <c r="FX139" t="s">
        <v>136</v>
      </c>
      <c r="FZ139">
        <v>210</v>
      </c>
    </row>
    <row r="140" spans="1:182" hidden="1" x14ac:dyDescent="0.3">
      <c r="A140" s="1">
        <v>45929.516198182871</v>
      </c>
      <c r="B140" s="1">
        <v>45929.529247106482</v>
      </c>
      <c r="D140" t="s">
        <v>84</v>
      </c>
      <c r="E140" t="s">
        <v>901</v>
      </c>
      <c r="F140" t="s">
        <v>3469</v>
      </c>
      <c r="G140" t="s">
        <v>176</v>
      </c>
      <c r="H140" t="s">
        <v>4122</v>
      </c>
      <c r="I140" t="s">
        <v>3470</v>
      </c>
      <c r="J140" t="s">
        <v>3471</v>
      </c>
      <c r="K140" t="s">
        <v>90</v>
      </c>
      <c r="L140" t="s">
        <v>4091</v>
      </c>
      <c r="M140" t="s">
        <v>277</v>
      </c>
      <c r="N140" t="s">
        <v>3472</v>
      </c>
      <c r="O140">
        <v>-15.395902899999999</v>
      </c>
      <c r="P140">
        <v>23.0407002</v>
      </c>
      <c r="Q140">
        <v>1029.86376953125</v>
      </c>
      <c r="R140">
        <v>3.79</v>
      </c>
      <c r="S140" t="s">
        <v>84</v>
      </c>
      <c r="T140" t="s">
        <v>182</v>
      </c>
      <c r="U140">
        <v>6</v>
      </c>
      <c r="V140" t="s">
        <v>95</v>
      </c>
      <c r="W140" t="s">
        <v>907</v>
      </c>
      <c r="X140">
        <v>34</v>
      </c>
      <c r="Y140">
        <v>3</v>
      </c>
      <c r="Z140">
        <v>3</v>
      </c>
      <c r="AA140" t="s">
        <v>96</v>
      </c>
      <c r="AB140" t="s">
        <v>351</v>
      </c>
      <c r="AC140" t="s">
        <v>98</v>
      </c>
      <c r="AD140" t="s">
        <v>252</v>
      </c>
      <c r="AE140" t="s">
        <v>101</v>
      </c>
      <c r="AF140" t="s">
        <v>907</v>
      </c>
      <c r="AG140">
        <v>200</v>
      </c>
      <c r="AH140" t="s">
        <v>3873</v>
      </c>
      <c r="AI140" t="s">
        <v>907</v>
      </c>
      <c r="AJ140" t="s">
        <v>907</v>
      </c>
      <c r="AK140" t="s">
        <v>102</v>
      </c>
      <c r="AL140" t="s">
        <v>907</v>
      </c>
      <c r="AM140" t="s">
        <v>4130</v>
      </c>
      <c r="AN140" t="s">
        <v>907</v>
      </c>
      <c r="AQ140" t="s">
        <v>909</v>
      </c>
      <c r="AR140" t="s">
        <v>95</v>
      </c>
      <c r="AS140">
        <v>0</v>
      </c>
      <c r="AT140">
        <v>0</v>
      </c>
      <c r="AU140">
        <v>0</v>
      </c>
      <c r="AV140">
        <v>0</v>
      </c>
      <c r="AW140">
        <v>0</v>
      </c>
      <c r="AX140">
        <v>0</v>
      </c>
      <c r="AY140">
        <v>0</v>
      </c>
      <c r="AZ140" t="s">
        <v>929</v>
      </c>
      <c r="BA140" t="s">
        <v>95</v>
      </c>
      <c r="BB140" t="s">
        <v>308</v>
      </c>
      <c r="BC140" t="s">
        <v>907</v>
      </c>
      <c r="BD140" t="s">
        <v>107</v>
      </c>
      <c r="BE140" t="s">
        <v>258</v>
      </c>
      <c r="BF140" t="s">
        <v>3473</v>
      </c>
      <c r="BG140" t="s">
        <v>790</v>
      </c>
      <c r="BH140">
        <v>35</v>
      </c>
      <c r="BL140">
        <v>14</v>
      </c>
      <c r="BN140">
        <v>2</v>
      </c>
      <c r="BP140">
        <v>0</v>
      </c>
      <c r="BR140">
        <v>0</v>
      </c>
      <c r="BT140">
        <v>4</v>
      </c>
      <c r="BV140">
        <v>0</v>
      </c>
      <c r="BX140">
        <v>10</v>
      </c>
      <c r="BY140" t="s">
        <v>110</v>
      </c>
      <c r="BZ140" t="s">
        <v>907</v>
      </c>
      <c r="CA140" t="s">
        <v>907</v>
      </c>
      <c r="CB140" t="s">
        <v>84</v>
      </c>
      <c r="CC140" t="s">
        <v>84</v>
      </c>
      <c r="CD140" t="s">
        <v>1610</v>
      </c>
      <c r="CE140" t="s">
        <v>4250</v>
      </c>
      <c r="CF140" t="s">
        <v>3474</v>
      </c>
      <c r="CG140" t="s">
        <v>907</v>
      </c>
      <c r="CH140">
        <v>4</v>
      </c>
      <c r="CI140" t="s">
        <v>84</v>
      </c>
      <c r="CJ140" t="s">
        <v>160</v>
      </c>
      <c r="CK140" t="s">
        <v>289</v>
      </c>
      <c r="CL140" t="s">
        <v>263</v>
      </c>
      <c r="CM140" t="s">
        <v>547</v>
      </c>
      <c r="CN140" t="s">
        <v>421</v>
      </c>
      <c r="CO140" t="s">
        <v>95</v>
      </c>
      <c r="CP140" t="s">
        <v>907</v>
      </c>
      <c r="CQ140" t="s">
        <v>116</v>
      </c>
      <c r="CR140" t="s">
        <v>84</v>
      </c>
      <c r="CS140" t="s">
        <v>117</v>
      </c>
      <c r="CT140" t="s">
        <v>163</v>
      </c>
      <c r="CU140" t="s">
        <v>3869</v>
      </c>
      <c r="CV140" t="s">
        <v>119</v>
      </c>
      <c r="CW140" t="s">
        <v>439</v>
      </c>
      <c r="CX140" t="s">
        <v>290</v>
      </c>
      <c r="CY140" t="s">
        <v>907</v>
      </c>
      <c r="CZ140" t="s">
        <v>907</v>
      </c>
      <c r="DA140" t="s">
        <v>907</v>
      </c>
      <c r="DB140" t="s">
        <v>907</v>
      </c>
      <c r="DC140" t="s">
        <v>907</v>
      </c>
      <c r="DD140" t="s">
        <v>907</v>
      </c>
      <c r="DE140" t="s">
        <v>907</v>
      </c>
      <c r="DF140" t="s">
        <v>907</v>
      </c>
      <c r="DG140" t="s">
        <v>95</v>
      </c>
      <c r="DH140" t="s">
        <v>95</v>
      </c>
      <c r="DI140" t="s">
        <v>907</v>
      </c>
      <c r="DJ140" t="s">
        <v>907</v>
      </c>
      <c r="DK140" t="s">
        <v>907</v>
      </c>
      <c r="DL140" t="s">
        <v>907</v>
      </c>
      <c r="DM140" t="s">
        <v>291</v>
      </c>
      <c r="DN140" t="s">
        <v>907</v>
      </c>
      <c r="DO140" t="s">
        <v>907</v>
      </c>
      <c r="DP140">
        <v>0</v>
      </c>
      <c r="DQ140" t="s">
        <v>441</v>
      </c>
      <c r="DR140" t="s">
        <v>907</v>
      </c>
      <c r="DS140" t="s">
        <v>898</v>
      </c>
      <c r="DT140" t="s">
        <v>3431</v>
      </c>
      <c r="DU140" t="s">
        <v>95</v>
      </c>
      <c r="DV140" t="s">
        <v>907</v>
      </c>
      <c r="DW140" t="s">
        <v>907</v>
      </c>
      <c r="DX140" t="s">
        <v>907</v>
      </c>
      <c r="FQ140">
        <v>569779435</v>
      </c>
      <c r="FR140" t="s">
        <v>3475</v>
      </c>
      <c r="FS140" s="1">
        <v>45930.258993055562</v>
      </c>
      <c r="FV140" t="s">
        <v>134</v>
      </c>
      <c r="FW140" t="s">
        <v>135</v>
      </c>
      <c r="FX140" t="s">
        <v>136</v>
      </c>
      <c r="FZ140">
        <v>550</v>
      </c>
    </row>
    <row r="141" spans="1:182" hidden="1" x14ac:dyDescent="0.3">
      <c r="A141" s="1">
        <v>45925.456572465278</v>
      </c>
      <c r="B141" s="1">
        <v>45925.847740185192</v>
      </c>
      <c r="D141" t="s">
        <v>84</v>
      </c>
      <c r="E141" t="s">
        <v>85</v>
      </c>
      <c r="F141" t="s">
        <v>2408</v>
      </c>
      <c r="G141" t="s">
        <v>87</v>
      </c>
      <c r="H141" t="s">
        <v>4122</v>
      </c>
      <c r="I141" t="s">
        <v>2409</v>
      </c>
      <c r="J141" t="s">
        <v>2410</v>
      </c>
      <c r="K141" t="s">
        <v>90</v>
      </c>
      <c r="L141" t="s">
        <v>2380</v>
      </c>
      <c r="M141" t="s">
        <v>141</v>
      </c>
      <c r="N141" t="s">
        <v>2411</v>
      </c>
      <c r="O141">
        <v>-15.385911500000001</v>
      </c>
      <c r="P141">
        <v>23.184878900000001</v>
      </c>
      <c r="Q141">
        <v>1035.468627929688</v>
      </c>
      <c r="R141">
        <v>4.8259999999999996</v>
      </c>
      <c r="S141" t="s">
        <v>84</v>
      </c>
      <c r="T141" t="s">
        <v>362</v>
      </c>
      <c r="U141">
        <v>5</v>
      </c>
      <c r="V141" t="s">
        <v>95</v>
      </c>
      <c r="W141" t="s">
        <v>907</v>
      </c>
      <c r="X141">
        <v>52</v>
      </c>
      <c r="Y141">
        <v>30</v>
      </c>
      <c r="Z141">
        <v>7</v>
      </c>
      <c r="AA141" t="s">
        <v>279</v>
      </c>
      <c r="AB141" t="s">
        <v>97</v>
      </c>
      <c r="AC141" t="s">
        <v>98</v>
      </c>
      <c r="AD141" t="s">
        <v>99</v>
      </c>
      <c r="AE141" t="s">
        <v>100</v>
      </c>
      <c r="AF141" t="s">
        <v>907</v>
      </c>
      <c r="AG141">
        <v>0</v>
      </c>
      <c r="AH141" t="s">
        <v>147</v>
      </c>
      <c r="AI141" t="s">
        <v>907</v>
      </c>
      <c r="AJ141" s="5">
        <v>800</v>
      </c>
      <c r="AK141" t="s">
        <v>102</v>
      </c>
      <c r="AL141" t="s">
        <v>907</v>
      </c>
      <c r="AM141" t="s">
        <v>149</v>
      </c>
      <c r="AN141" t="s">
        <v>907</v>
      </c>
      <c r="AO141" t="s">
        <v>2412</v>
      </c>
      <c r="AP141" t="s">
        <v>2413</v>
      </c>
      <c r="AQ141" t="s">
        <v>149</v>
      </c>
      <c r="AR141" t="s">
        <v>95</v>
      </c>
      <c r="AS141">
        <v>50</v>
      </c>
      <c r="AT141">
        <v>60</v>
      </c>
      <c r="AU141">
        <v>0</v>
      </c>
      <c r="AV141">
        <v>25</v>
      </c>
      <c r="AW141">
        <v>50</v>
      </c>
      <c r="AX141">
        <v>0</v>
      </c>
      <c r="AY141">
        <v>0</v>
      </c>
      <c r="AZ141" t="s">
        <v>1003</v>
      </c>
      <c r="BA141" t="s">
        <v>3791</v>
      </c>
      <c r="BB141" t="s">
        <v>154</v>
      </c>
      <c r="BC141" t="s">
        <v>907</v>
      </c>
      <c r="BD141" t="s">
        <v>107</v>
      </c>
      <c r="BE141" t="s">
        <v>108</v>
      </c>
      <c r="BF141" t="s">
        <v>309</v>
      </c>
      <c r="BG141" t="s">
        <v>235</v>
      </c>
      <c r="BH141">
        <v>38</v>
      </c>
      <c r="BY141" t="s">
        <v>110</v>
      </c>
      <c r="BZ141" t="s">
        <v>907</v>
      </c>
      <c r="CA141" t="s">
        <v>907</v>
      </c>
      <c r="CB141" t="s">
        <v>84</v>
      </c>
      <c r="CC141" t="s">
        <v>84</v>
      </c>
      <c r="CD141" t="s">
        <v>2395</v>
      </c>
      <c r="CE141" t="s">
        <v>4250</v>
      </c>
      <c r="CF141" t="s">
        <v>3991</v>
      </c>
      <c r="CG141" t="s">
        <v>907</v>
      </c>
      <c r="CH141">
        <v>4</v>
      </c>
      <c r="CI141" t="s">
        <v>84</v>
      </c>
      <c r="CJ141" t="s">
        <v>262</v>
      </c>
      <c r="CK141" t="s">
        <v>289</v>
      </c>
      <c r="CL141" t="s">
        <v>4262</v>
      </c>
      <c r="CM141" t="s">
        <v>115</v>
      </c>
      <c r="CN141" t="s">
        <v>3868</v>
      </c>
      <c r="CO141" t="s">
        <v>95</v>
      </c>
      <c r="CP141" t="s">
        <v>907</v>
      </c>
      <c r="CQ141" t="s">
        <v>116</v>
      </c>
      <c r="CR141" t="s">
        <v>84</v>
      </c>
      <c r="CS141" t="s">
        <v>117</v>
      </c>
      <c r="CT141" t="s">
        <v>163</v>
      </c>
      <c r="CU141" t="s">
        <v>3869</v>
      </c>
      <c r="CV141" t="s">
        <v>119</v>
      </c>
      <c r="CW141" t="s">
        <v>559</v>
      </c>
      <c r="CX141" t="s">
        <v>166</v>
      </c>
      <c r="CY141" t="s">
        <v>549</v>
      </c>
      <c r="CZ141" t="s">
        <v>1251</v>
      </c>
      <c r="DA141">
        <v>2</v>
      </c>
      <c r="DB141" s="10">
        <v>9000</v>
      </c>
      <c r="DC141" t="s">
        <v>169</v>
      </c>
      <c r="DD141" t="s">
        <v>907</v>
      </c>
      <c r="DE141">
        <v>20</v>
      </c>
      <c r="DF141">
        <v>16</v>
      </c>
      <c r="DG141" t="s">
        <v>84</v>
      </c>
      <c r="DH141" t="s">
        <v>95</v>
      </c>
      <c r="DI141" t="s">
        <v>907</v>
      </c>
      <c r="DJ141" t="s">
        <v>907</v>
      </c>
      <c r="DK141" t="s">
        <v>907</v>
      </c>
      <c r="DL141" t="s">
        <v>907</v>
      </c>
      <c r="DM141" t="s">
        <v>125</v>
      </c>
      <c r="DN141" t="s">
        <v>170</v>
      </c>
      <c r="DO141" t="s">
        <v>2414</v>
      </c>
      <c r="DP141">
        <v>7</v>
      </c>
      <c r="DQ141" t="s">
        <v>128</v>
      </c>
      <c r="DR141" t="s">
        <v>907</v>
      </c>
      <c r="DS141" t="s">
        <v>716</v>
      </c>
      <c r="DT141" t="s">
        <v>621</v>
      </c>
      <c r="DU141" t="s">
        <v>84</v>
      </c>
      <c r="DV141" t="s">
        <v>1978</v>
      </c>
      <c r="DW141" t="s">
        <v>2038</v>
      </c>
      <c r="DX141" t="s">
        <v>95</v>
      </c>
      <c r="FQ141">
        <v>566893275</v>
      </c>
      <c r="FR141" t="s">
        <v>2415</v>
      </c>
      <c r="FS141" s="1">
        <v>45925.765092592592</v>
      </c>
      <c r="FV141" t="s">
        <v>134</v>
      </c>
      <c r="FW141" t="s">
        <v>135</v>
      </c>
      <c r="FX141" t="s">
        <v>136</v>
      </c>
      <c r="FZ141">
        <v>334</v>
      </c>
    </row>
    <row r="142" spans="1:182" x14ac:dyDescent="0.3">
      <c r="A142" s="1">
        <v>45929.422695462963</v>
      </c>
      <c r="B142" s="1">
        <v>45929.443042627317</v>
      </c>
      <c r="D142" t="s">
        <v>84</v>
      </c>
      <c r="E142" t="s">
        <v>297</v>
      </c>
      <c r="F142" t="s">
        <v>4077</v>
      </c>
      <c r="G142" t="s">
        <v>176</v>
      </c>
      <c r="H142" t="s">
        <v>4122</v>
      </c>
      <c r="I142" t="s">
        <v>3335</v>
      </c>
      <c r="J142" t="s">
        <v>3336</v>
      </c>
      <c r="K142" t="s">
        <v>90</v>
      </c>
      <c r="L142" t="s">
        <v>3337</v>
      </c>
      <c r="M142" t="s">
        <v>277</v>
      </c>
      <c r="N142" t="s">
        <v>3338</v>
      </c>
      <c r="O142">
        <v>-15.351231</v>
      </c>
      <c r="P142">
        <v>23.068373999999999</v>
      </c>
      <c r="Q142">
        <v>1021.775756835938</v>
      </c>
      <c r="R142">
        <v>4.9690000000000003</v>
      </c>
      <c r="S142" t="s">
        <v>84</v>
      </c>
      <c r="T142" t="s">
        <v>94</v>
      </c>
      <c r="U142">
        <v>12</v>
      </c>
      <c r="V142" t="s">
        <v>95</v>
      </c>
      <c r="W142" t="s">
        <v>907</v>
      </c>
      <c r="X142">
        <v>26</v>
      </c>
      <c r="Y142">
        <v>2</v>
      </c>
      <c r="Z142">
        <v>2</v>
      </c>
      <c r="AA142" t="s">
        <v>96</v>
      </c>
      <c r="AB142" t="s">
        <v>489</v>
      </c>
      <c r="AC142" t="s">
        <v>98</v>
      </c>
      <c r="AD142" t="s">
        <v>99</v>
      </c>
      <c r="AE142" t="s">
        <v>101</v>
      </c>
      <c r="AF142" t="s">
        <v>907</v>
      </c>
      <c r="AG142">
        <v>2000</v>
      </c>
      <c r="AH142" t="s">
        <v>3873</v>
      </c>
      <c r="AI142" t="s">
        <v>907</v>
      </c>
      <c r="AJ142" t="s">
        <v>907</v>
      </c>
      <c r="AK142" t="s">
        <v>102</v>
      </c>
      <c r="AL142" t="s">
        <v>907</v>
      </c>
      <c r="AM142" t="s">
        <v>4130</v>
      </c>
      <c r="AN142" t="s">
        <v>907</v>
      </c>
      <c r="AQ142" t="s">
        <v>466</v>
      </c>
      <c r="AR142" t="s">
        <v>95</v>
      </c>
      <c r="AS142">
        <v>0</v>
      </c>
      <c r="AT142">
        <v>0</v>
      </c>
      <c r="AU142">
        <v>0</v>
      </c>
      <c r="AV142">
        <v>0</v>
      </c>
      <c r="AW142">
        <v>0</v>
      </c>
      <c r="AX142">
        <v>0</v>
      </c>
      <c r="AY142">
        <v>0</v>
      </c>
      <c r="AZ142" t="s">
        <v>256</v>
      </c>
      <c r="BA142" t="s">
        <v>95</v>
      </c>
      <c r="BB142" t="s">
        <v>3866</v>
      </c>
      <c r="BC142" t="s">
        <v>907</v>
      </c>
      <c r="BD142" t="s">
        <v>107</v>
      </c>
      <c r="BE142" t="s">
        <v>810</v>
      </c>
      <c r="BF142" t="s">
        <v>4078</v>
      </c>
      <c r="BG142" t="s">
        <v>156</v>
      </c>
      <c r="BH142">
        <v>30</v>
      </c>
      <c r="BL142">
        <v>12</v>
      </c>
      <c r="BN142">
        <v>2</v>
      </c>
      <c r="BP142">
        <v>3</v>
      </c>
      <c r="BR142">
        <v>0</v>
      </c>
      <c r="BT142">
        <v>4</v>
      </c>
      <c r="BV142">
        <v>3</v>
      </c>
      <c r="BX142">
        <v>6</v>
      </c>
      <c r="BY142" t="s">
        <v>189</v>
      </c>
      <c r="BZ142">
        <v>1</v>
      </c>
      <c r="CA142">
        <v>24</v>
      </c>
      <c r="CB142" t="s">
        <v>84</v>
      </c>
      <c r="CC142" t="s">
        <v>84</v>
      </c>
      <c r="CD142" t="s">
        <v>3193</v>
      </c>
      <c r="CE142" t="s">
        <v>4250</v>
      </c>
      <c r="CF142" t="s">
        <v>3194</v>
      </c>
      <c r="CG142" t="s">
        <v>907</v>
      </c>
      <c r="CH142">
        <v>4</v>
      </c>
      <c r="CI142" t="s">
        <v>95</v>
      </c>
      <c r="CJ142" t="s">
        <v>907</v>
      </c>
      <c r="CK142" t="s">
        <v>113</v>
      </c>
      <c r="CL142" t="s">
        <v>3195</v>
      </c>
      <c r="CM142" t="s">
        <v>193</v>
      </c>
      <c r="CN142" t="s">
        <v>421</v>
      </c>
      <c r="CO142" t="s">
        <v>95</v>
      </c>
      <c r="CP142" t="s">
        <v>907</v>
      </c>
      <c r="CQ142" t="s">
        <v>116</v>
      </c>
      <c r="CR142" t="s">
        <v>84</v>
      </c>
      <c r="CS142" t="s">
        <v>117</v>
      </c>
      <c r="CT142" t="s">
        <v>907</v>
      </c>
      <c r="CU142" t="s">
        <v>3869</v>
      </c>
      <c r="CV142" t="s">
        <v>812</v>
      </c>
      <c r="CW142" t="s">
        <v>907</v>
      </c>
      <c r="CX142" t="s">
        <v>166</v>
      </c>
      <c r="CY142" t="s">
        <v>167</v>
      </c>
      <c r="CZ142" t="s">
        <v>1436</v>
      </c>
      <c r="DA142">
        <v>4</v>
      </c>
      <c r="DB142" s="10">
        <v>9400</v>
      </c>
      <c r="DC142" t="s">
        <v>123</v>
      </c>
      <c r="DD142" t="s">
        <v>3339</v>
      </c>
      <c r="DE142">
        <v>2</v>
      </c>
      <c r="DF142">
        <v>12</v>
      </c>
      <c r="DG142" t="s">
        <v>95</v>
      </c>
      <c r="DH142" t="s">
        <v>95</v>
      </c>
      <c r="DI142" t="s">
        <v>907</v>
      </c>
      <c r="DJ142" t="s">
        <v>907</v>
      </c>
      <c r="DK142" t="s">
        <v>907</v>
      </c>
      <c r="DL142" t="s">
        <v>907</v>
      </c>
      <c r="DM142" t="s">
        <v>291</v>
      </c>
      <c r="DN142" t="s">
        <v>907</v>
      </c>
      <c r="DO142" t="s">
        <v>907</v>
      </c>
      <c r="DP142">
        <v>20</v>
      </c>
      <c r="DQ142" t="s">
        <v>441</v>
      </c>
      <c r="DR142" t="s">
        <v>907</v>
      </c>
      <c r="DS142" t="s">
        <v>1349</v>
      </c>
      <c r="DT142" t="s">
        <v>1437</v>
      </c>
      <c r="DU142" t="s">
        <v>95</v>
      </c>
      <c r="DV142" t="s">
        <v>907</v>
      </c>
      <c r="DW142" t="s">
        <v>907</v>
      </c>
      <c r="DX142" t="s">
        <v>907</v>
      </c>
      <c r="FQ142">
        <v>569761167</v>
      </c>
      <c r="FR142" t="s">
        <v>3340</v>
      </c>
      <c r="FS142" s="1">
        <v>45930.229062500002</v>
      </c>
      <c r="FV142" t="s">
        <v>134</v>
      </c>
      <c r="FW142" t="s">
        <v>135</v>
      </c>
      <c r="FX142" t="s">
        <v>136</v>
      </c>
      <c r="FZ142">
        <v>533</v>
      </c>
    </row>
    <row r="143" spans="1:182" x14ac:dyDescent="0.3">
      <c r="A143" s="1">
        <v>45925.452854328702</v>
      </c>
      <c r="B143" s="1">
        <v>45925.482422592591</v>
      </c>
      <c r="D143" t="s">
        <v>84</v>
      </c>
      <c r="E143" t="s">
        <v>1226</v>
      </c>
      <c r="F143" t="s">
        <v>2234</v>
      </c>
      <c r="G143" t="s">
        <v>176</v>
      </c>
      <c r="H143" t="s">
        <v>4122</v>
      </c>
      <c r="I143" t="s">
        <v>2235</v>
      </c>
      <c r="J143" t="s">
        <v>2236</v>
      </c>
      <c r="K143" t="s">
        <v>90</v>
      </c>
      <c r="L143" t="s">
        <v>2237</v>
      </c>
      <c r="M143" t="s">
        <v>2238</v>
      </c>
      <c r="N143" t="s">
        <v>2239</v>
      </c>
      <c r="O143">
        <v>-15.23352</v>
      </c>
      <c r="P143">
        <v>22.9918683</v>
      </c>
      <c r="Q143">
        <v>954.4</v>
      </c>
      <c r="R143">
        <v>4.92</v>
      </c>
      <c r="S143" t="s">
        <v>84</v>
      </c>
      <c r="T143" t="s">
        <v>94</v>
      </c>
      <c r="U143">
        <v>10</v>
      </c>
      <c r="V143" t="s">
        <v>95</v>
      </c>
      <c r="W143" t="s">
        <v>907</v>
      </c>
      <c r="X143">
        <v>20</v>
      </c>
      <c r="Y143" s="3">
        <v>1</v>
      </c>
      <c r="Z143">
        <v>2</v>
      </c>
      <c r="AA143" t="s">
        <v>251</v>
      </c>
      <c r="AB143" t="s">
        <v>97</v>
      </c>
      <c r="AC143" t="s">
        <v>98</v>
      </c>
      <c r="AD143" t="s">
        <v>252</v>
      </c>
      <c r="AE143" t="s">
        <v>431</v>
      </c>
      <c r="AF143" t="s">
        <v>907</v>
      </c>
      <c r="AG143" s="3">
        <v>4500</v>
      </c>
      <c r="AH143" t="s">
        <v>2240</v>
      </c>
      <c r="AI143" t="s">
        <v>1232</v>
      </c>
      <c r="AJ143" s="5">
        <v>4500</v>
      </c>
      <c r="AK143" t="s">
        <v>102</v>
      </c>
      <c r="AL143" t="s">
        <v>907</v>
      </c>
      <c r="AM143" t="s">
        <v>466</v>
      </c>
      <c r="AN143" t="s">
        <v>907</v>
      </c>
      <c r="AO143" t="s">
        <v>2241</v>
      </c>
      <c r="AP143" t="s">
        <v>2242</v>
      </c>
      <c r="AQ143" t="s">
        <v>466</v>
      </c>
      <c r="AR143" t="s">
        <v>84</v>
      </c>
      <c r="AS143">
        <v>8</v>
      </c>
      <c r="AT143">
        <v>0</v>
      </c>
      <c r="AU143">
        <v>0</v>
      </c>
      <c r="AV143">
        <v>25</v>
      </c>
      <c r="AW143">
        <v>0</v>
      </c>
      <c r="AX143">
        <v>0</v>
      </c>
      <c r="AY143">
        <v>0</v>
      </c>
      <c r="AZ143" t="s">
        <v>284</v>
      </c>
      <c r="BA143" t="s">
        <v>1065</v>
      </c>
      <c r="BB143" t="s">
        <v>154</v>
      </c>
      <c r="BC143" t="s">
        <v>907</v>
      </c>
      <c r="BD143" t="s">
        <v>107</v>
      </c>
      <c r="BE143" t="s">
        <v>258</v>
      </c>
      <c r="BF143" t="s">
        <v>2243</v>
      </c>
      <c r="BG143" t="s">
        <v>156</v>
      </c>
      <c r="BH143">
        <v>100</v>
      </c>
      <c r="BL143">
        <v>52</v>
      </c>
      <c r="BN143">
        <v>2</v>
      </c>
      <c r="BP143">
        <v>20</v>
      </c>
      <c r="BR143">
        <v>5</v>
      </c>
      <c r="BT143">
        <v>5</v>
      </c>
      <c r="BV143">
        <v>2</v>
      </c>
      <c r="BX143">
        <v>14</v>
      </c>
      <c r="BY143" t="s">
        <v>189</v>
      </c>
      <c r="BZ143">
        <v>4</v>
      </c>
      <c r="CA143">
        <v>40</v>
      </c>
      <c r="CB143" t="s">
        <v>84</v>
      </c>
      <c r="CC143" t="s">
        <v>84</v>
      </c>
      <c r="CD143" t="s">
        <v>778</v>
      </c>
      <c r="CE143" t="s">
        <v>4251</v>
      </c>
      <c r="CF143" t="s">
        <v>3982</v>
      </c>
      <c r="CG143" t="s">
        <v>907</v>
      </c>
      <c r="CH143">
        <v>4</v>
      </c>
      <c r="CI143" t="s">
        <v>84</v>
      </c>
      <c r="CJ143" t="s">
        <v>262</v>
      </c>
      <c r="CK143" t="s">
        <v>289</v>
      </c>
      <c r="CL143" t="s">
        <v>367</v>
      </c>
      <c r="CM143" t="s">
        <v>193</v>
      </c>
      <c r="CN143" t="s">
        <v>421</v>
      </c>
      <c r="CO143" t="s">
        <v>95</v>
      </c>
      <c r="CP143" t="s">
        <v>907</v>
      </c>
      <c r="CQ143" t="s">
        <v>116</v>
      </c>
      <c r="CR143" t="s">
        <v>84</v>
      </c>
      <c r="CS143" t="s">
        <v>117</v>
      </c>
      <c r="CT143" t="s">
        <v>163</v>
      </c>
      <c r="CU143" t="s">
        <v>438</v>
      </c>
      <c r="CV143" t="s">
        <v>812</v>
      </c>
      <c r="CW143" t="s">
        <v>495</v>
      </c>
      <c r="CX143" t="s">
        <v>166</v>
      </c>
      <c r="CY143" t="s">
        <v>167</v>
      </c>
      <c r="CZ143" t="s">
        <v>2244</v>
      </c>
      <c r="DA143">
        <v>2</v>
      </c>
      <c r="DB143" s="10">
        <v>14000</v>
      </c>
      <c r="DC143" t="s">
        <v>169</v>
      </c>
      <c r="DD143" t="s">
        <v>907</v>
      </c>
      <c r="DE143">
        <v>4</v>
      </c>
      <c r="DF143">
        <v>14</v>
      </c>
      <c r="DG143" t="s">
        <v>95</v>
      </c>
      <c r="DH143" t="s">
        <v>95</v>
      </c>
      <c r="DI143" t="s">
        <v>907</v>
      </c>
      <c r="DJ143" t="s">
        <v>907</v>
      </c>
      <c r="DK143" t="s">
        <v>907</v>
      </c>
      <c r="DL143" t="s">
        <v>907</v>
      </c>
      <c r="DM143" t="s">
        <v>291</v>
      </c>
      <c r="DN143" t="s">
        <v>907</v>
      </c>
      <c r="DO143" t="s">
        <v>907</v>
      </c>
      <c r="DP143">
        <v>0.5</v>
      </c>
      <c r="DQ143" t="s">
        <v>441</v>
      </c>
      <c r="DR143" t="s">
        <v>907</v>
      </c>
      <c r="DS143" t="s">
        <v>1362</v>
      </c>
      <c r="DT143" t="s">
        <v>1408</v>
      </c>
      <c r="DU143" t="s">
        <v>84</v>
      </c>
      <c r="DV143" t="s">
        <v>2104</v>
      </c>
      <c r="DW143" t="s">
        <v>1305</v>
      </c>
      <c r="DX143" t="s">
        <v>95</v>
      </c>
      <c r="FQ143">
        <v>566875362</v>
      </c>
      <c r="FR143" t="s">
        <v>2245</v>
      </c>
      <c r="FS143" s="1">
        <v>45925.743773148148</v>
      </c>
      <c r="FV143" t="s">
        <v>134</v>
      </c>
      <c r="FW143" t="s">
        <v>135</v>
      </c>
      <c r="FX143" t="s">
        <v>136</v>
      </c>
      <c r="FZ143">
        <v>317</v>
      </c>
    </row>
    <row r="144" spans="1:182" hidden="1" x14ac:dyDescent="0.3">
      <c r="A144" s="1">
        <v>45925.411835648149</v>
      </c>
      <c r="B144" s="1">
        <v>45925.427080960653</v>
      </c>
      <c r="D144" t="s">
        <v>84</v>
      </c>
      <c r="E144" t="s">
        <v>3878</v>
      </c>
      <c r="F144" t="s">
        <v>1727</v>
      </c>
      <c r="G144" t="s">
        <v>176</v>
      </c>
      <c r="H144" t="s">
        <v>4122</v>
      </c>
      <c r="I144" t="s">
        <v>1728</v>
      </c>
      <c r="J144" t="s">
        <v>1729</v>
      </c>
      <c r="K144" t="s">
        <v>90</v>
      </c>
      <c r="L144" t="s">
        <v>1730</v>
      </c>
      <c r="M144" t="s">
        <v>1731</v>
      </c>
      <c r="N144" t="s">
        <v>1732</v>
      </c>
      <c r="O144">
        <v>-15.2208083</v>
      </c>
      <c r="P144">
        <v>22.998345</v>
      </c>
      <c r="Q144">
        <v>1026.3</v>
      </c>
      <c r="R144">
        <v>4.4160000000000004</v>
      </c>
      <c r="S144" t="s">
        <v>84</v>
      </c>
      <c r="T144" t="s">
        <v>94</v>
      </c>
      <c r="U144">
        <v>7</v>
      </c>
      <c r="V144" t="s">
        <v>212</v>
      </c>
      <c r="W144" t="s">
        <v>1733</v>
      </c>
      <c r="X144">
        <v>25</v>
      </c>
      <c r="Y144">
        <v>1</v>
      </c>
      <c r="Z144">
        <v>25</v>
      </c>
      <c r="AA144" t="s">
        <v>504</v>
      </c>
      <c r="AB144" t="s">
        <v>97</v>
      </c>
      <c r="AC144" t="s">
        <v>98</v>
      </c>
      <c r="AD144" t="s">
        <v>280</v>
      </c>
      <c r="AE144" t="s">
        <v>304</v>
      </c>
      <c r="AF144" t="s">
        <v>907</v>
      </c>
      <c r="AG144">
        <v>10000</v>
      </c>
      <c r="AH144" t="s">
        <v>100</v>
      </c>
      <c r="AI144" t="s">
        <v>907</v>
      </c>
      <c r="AJ144" s="5">
        <v>200</v>
      </c>
      <c r="AK144" t="s">
        <v>304</v>
      </c>
      <c r="AL144" t="s">
        <v>907</v>
      </c>
      <c r="AM144" t="s">
        <v>907</v>
      </c>
      <c r="AN144" t="s">
        <v>907</v>
      </c>
      <c r="AQ144" t="s">
        <v>907</v>
      </c>
      <c r="AR144" t="s">
        <v>907</v>
      </c>
      <c r="AS144">
        <v>0</v>
      </c>
      <c r="AT144">
        <v>0</v>
      </c>
      <c r="AU144">
        <v>0</v>
      </c>
      <c r="AV144">
        <v>0</v>
      </c>
      <c r="AW144">
        <v>0</v>
      </c>
      <c r="AX144">
        <v>0</v>
      </c>
      <c r="AY144">
        <v>0</v>
      </c>
      <c r="AZ144" t="s">
        <v>106</v>
      </c>
      <c r="BA144" t="s">
        <v>907</v>
      </c>
      <c r="BB144" t="s">
        <v>308</v>
      </c>
      <c r="BC144" t="s">
        <v>907</v>
      </c>
      <c r="BD144" t="s">
        <v>907</v>
      </c>
      <c r="BE144" t="s">
        <v>907</v>
      </c>
      <c r="BF144" t="s">
        <v>907</v>
      </c>
      <c r="BG144" t="s">
        <v>156</v>
      </c>
      <c r="BH144">
        <v>85</v>
      </c>
      <c r="BL144">
        <v>30</v>
      </c>
      <c r="BN144">
        <v>3</v>
      </c>
      <c r="BP144">
        <v>8</v>
      </c>
      <c r="BR144">
        <v>12</v>
      </c>
      <c r="BT144">
        <v>12</v>
      </c>
      <c r="BV144">
        <v>5</v>
      </c>
      <c r="BX144">
        <v>16</v>
      </c>
      <c r="BY144" t="s">
        <v>189</v>
      </c>
      <c r="BZ144">
        <v>1</v>
      </c>
      <c r="CA144">
        <v>50</v>
      </c>
      <c r="CB144" t="s">
        <v>84</v>
      </c>
      <c r="CC144" t="s">
        <v>95</v>
      </c>
      <c r="CD144" t="s">
        <v>1734</v>
      </c>
      <c r="CE144" t="s">
        <v>4249</v>
      </c>
      <c r="CF144" t="s">
        <v>1735</v>
      </c>
      <c r="CG144" t="s">
        <v>907</v>
      </c>
      <c r="CH144">
        <v>4</v>
      </c>
      <c r="CI144" t="s">
        <v>84</v>
      </c>
      <c r="CJ144" t="s">
        <v>262</v>
      </c>
      <c r="CK144" t="s">
        <v>113</v>
      </c>
      <c r="CL144" t="s">
        <v>1196</v>
      </c>
      <c r="CM144" t="s">
        <v>162</v>
      </c>
      <c r="CN144" t="s">
        <v>3903</v>
      </c>
      <c r="CO144" t="s">
        <v>95</v>
      </c>
      <c r="CP144" t="s">
        <v>907</v>
      </c>
      <c r="CQ144" t="s">
        <v>116</v>
      </c>
      <c r="CR144" t="s">
        <v>95</v>
      </c>
      <c r="CS144" t="s">
        <v>907</v>
      </c>
      <c r="CT144" t="s">
        <v>907</v>
      </c>
      <c r="CU144" t="s">
        <v>907</v>
      </c>
      <c r="CV144" t="s">
        <v>290</v>
      </c>
      <c r="CW144" t="s">
        <v>907</v>
      </c>
      <c r="CX144" t="s">
        <v>119</v>
      </c>
      <c r="CY144" t="s">
        <v>121</v>
      </c>
      <c r="CZ144" t="s">
        <v>1736</v>
      </c>
      <c r="DA144">
        <v>0</v>
      </c>
      <c r="DB144" s="10">
        <v>0</v>
      </c>
      <c r="DC144" t="s">
        <v>169</v>
      </c>
      <c r="DD144" t="s">
        <v>907</v>
      </c>
      <c r="DE144">
        <v>10</v>
      </c>
      <c r="DF144">
        <v>11</v>
      </c>
      <c r="DG144" t="s">
        <v>95</v>
      </c>
      <c r="DH144" t="s">
        <v>95</v>
      </c>
      <c r="DI144" t="s">
        <v>907</v>
      </c>
      <c r="DJ144" t="s">
        <v>907</v>
      </c>
      <c r="DK144" t="s">
        <v>907</v>
      </c>
      <c r="DL144" t="s">
        <v>907</v>
      </c>
      <c r="DM144" t="s">
        <v>291</v>
      </c>
      <c r="DN144" t="s">
        <v>907</v>
      </c>
      <c r="DO144" t="s">
        <v>907</v>
      </c>
      <c r="DP144">
        <v>1</v>
      </c>
      <c r="DQ144" t="s">
        <v>441</v>
      </c>
      <c r="DR144" t="s">
        <v>907</v>
      </c>
      <c r="DS144" t="s">
        <v>172</v>
      </c>
      <c r="DT144" t="s">
        <v>1737</v>
      </c>
      <c r="DU144" t="s">
        <v>95</v>
      </c>
      <c r="DV144" t="s">
        <v>907</v>
      </c>
      <c r="DW144" t="s">
        <v>907</v>
      </c>
      <c r="DX144" t="s">
        <v>907</v>
      </c>
      <c r="FQ144">
        <v>566789308</v>
      </c>
      <c r="FR144" t="s">
        <v>1738</v>
      </c>
      <c r="FS144" s="1">
        <v>45925.66479166667</v>
      </c>
      <c r="FV144" t="s">
        <v>134</v>
      </c>
      <c r="FW144" t="s">
        <v>135</v>
      </c>
      <c r="FX144" t="s">
        <v>136</v>
      </c>
      <c r="FZ144">
        <v>269</v>
      </c>
    </row>
    <row r="145" spans="1:182" x14ac:dyDescent="0.3">
      <c r="A145" s="1">
        <v>45924.48162027778</v>
      </c>
      <c r="B145" s="1">
        <v>45924.491842557873</v>
      </c>
      <c r="D145" t="s">
        <v>84</v>
      </c>
      <c r="E145" t="s">
        <v>535</v>
      </c>
      <c r="F145" t="s">
        <v>682</v>
      </c>
      <c r="G145" t="s">
        <v>176</v>
      </c>
      <c r="H145" t="s">
        <v>4122</v>
      </c>
      <c r="I145" t="s">
        <v>683</v>
      </c>
      <c r="J145" t="s">
        <v>684</v>
      </c>
      <c r="K145" t="s">
        <v>90</v>
      </c>
      <c r="L145" t="s">
        <v>539</v>
      </c>
      <c r="M145" t="s">
        <v>141</v>
      </c>
      <c r="N145" t="s">
        <v>685</v>
      </c>
      <c r="O145">
        <v>-15.34567</v>
      </c>
      <c r="P145">
        <v>23.1288333</v>
      </c>
      <c r="Q145">
        <v>1025.672241210938</v>
      </c>
      <c r="R145">
        <v>4.6310000000000002</v>
      </c>
      <c r="S145" t="s">
        <v>84</v>
      </c>
      <c r="T145" t="s">
        <v>182</v>
      </c>
      <c r="U145">
        <v>9</v>
      </c>
      <c r="V145" t="s">
        <v>95</v>
      </c>
      <c r="W145" t="s">
        <v>907</v>
      </c>
      <c r="X145">
        <v>27</v>
      </c>
      <c r="Y145">
        <v>6</v>
      </c>
      <c r="Z145">
        <v>2</v>
      </c>
      <c r="AA145" t="s">
        <v>96</v>
      </c>
      <c r="AB145" t="s">
        <v>351</v>
      </c>
      <c r="AC145" t="s">
        <v>144</v>
      </c>
      <c r="AD145" t="s">
        <v>145</v>
      </c>
      <c r="AE145" t="s">
        <v>100</v>
      </c>
      <c r="AF145" t="s">
        <v>907</v>
      </c>
      <c r="AG145">
        <v>0</v>
      </c>
      <c r="AH145" t="s">
        <v>100</v>
      </c>
      <c r="AI145" t="s">
        <v>907</v>
      </c>
      <c r="AJ145" s="5">
        <v>0</v>
      </c>
      <c r="AK145" t="s">
        <v>102</v>
      </c>
      <c r="AL145" t="s">
        <v>907</v>
      </c>
      <c r="AM145" t="s">
        <v>253</v>
      </c>
      <c r="AN145" t="s">
        <v>907</v>
      </c>
      <c r="AO145" t="s">
        <v>686</v>
      </c>
      <c r="AP145" t="s">
        <v>687</v>
      </c>
      <c r="AQ145" t="s">
        <v>149</v>
      </c>
      <c r="AR145" t="s">
        <v>95</v>
      </c>
      <c r="AS145">
        <v>0</v>
      </c>
      <c r="AT145">
        <v>4</v>
      </c>
      <c r="AU145">
        <v>0</v>
      </c>
      <c r="AV145">
        <v>0</v>
      </c>
      <c r="AW145">
        <v>28</v>
      </c>
      <c r="AX145">
        <v>0</v>
      </c>
      <c r="AY145">
        <v>0</v>
      </c>
      <c r="AZ145" t="s">
        <v>106</v>
      </c>
      <c r="BA145" t="s">
        <v>95</v>
      </c>
      <c r="BB145" t="s">
        <v>154</v>
      </c>
      <c r="BC145" t="s">
        <v>907</v>
      </c>
      <c r="BD145" t="s">
        <v>107</v>
      </c>
      <c r="BE145" t="s">
        <v>108</v>
      </c>
      <c r="BF145" t="s">
        <v>688</v>
      </c>
      <c r="BG145" t="s">
        <v>235</v>
      </c>
      <c r="BH145">
        <v>28</v>
      </c>
      <c r="BL145">
        <v>16</v>
      </c>
      <c r="BN145">
        <v>4</v>
      </c>
      <c r="BP145">
        <v>1</v>
      </c>
      <c r="BR145">
        <v>5</v>
      </c>
      <c r="BY145" t="s">
        <v>189</v>
      </c>
      <c r="BZ145">
        <v>2</v>
      </c>
      <c r="CA145">
        <v>10</v>
      </c>
      <c r="CB145" t="s">
        <v>84</v>
      </c>
      <c r="CC145" t="s">
        <v>84</v>
      </c>
      <c r="CD145" t="s">
        <v>237</v>
      </c>
      <c r="CE145" t="s">
        <v>4249</v>
      </c>
      <c r="CF145" t="s">
        <v>3894</v>
      </c>
      <c r="CG145" t="s">
        <v>907</v>
      </c>
      <c r="CH145">
        <v>4</v>
      </c>
      <c r="CI145" t="s">
        <v>84</v>
      </c>
      <c r="CJ145" t="s">
        <v>405</v>
      </c>
      <c r="CK145" t="s">
        <v>289</v>
      </c>
      <c r="CL145" t="s">
        <v>689</v>
      </c>
      <c r="CM145" t="s">
        <v>547</v>
      </c>
      <c r="CN145" t="s">
        <v>3883</v>
      </c>
      <c r="CO145" t="s">
        <v>95</v>
      </c>
      <c r="CP145" t="s">
        <v>907</v>
      </c>
      <c r="CQ145" t="s">
        <v>116</v>
      </c>
      <c r="CR145" t="s">
        <v>84</v>
      </c>
      <c r="CS145" t="s">
        <v>117</v>
      </c>
      <c r="CT145" t="s">
        <v>907</v>
      </c>
      <c r="CU145" t="s">
        <v>3869</v>
      </c>
      <c r="CV145" t="s">
        <v>119</v>
      </c>
      <c r="CW145" t="s">
        <v>265</v>
      </c>
      <c r="CX145" t="s">
        <v>119</v>
      </c>
      <c r="CY145" t="s">
        <v>610</v>
      </c>
      <c r="CZ145" t="s">
        <v>196</v>
      </c>
      <c r="DA145">
        <v>2</v>
      </c>
      <c r="DB145" s="10">
        <v>17000</v>
      </c>
      <c r="DC145" t="s">
        <v>169</v>
      </c>
      <c r="DD145" t="s">
        <v>907</v>
      </c>
      <c r="DE145">
        <v>5</v>
      </c>
      <c r="DF145">
        <v>15</v>
      </c>
      <c r="DG145" t="s">
        <v>95</v>
      </c>
      <c r="DH145" t="s">
        <v>95</v>
      </c>
      <c r="DI145" t="s">
        <v>907</v>
      </c>
      <c r="DJ145" t="s">
        <v>907</v>
      </c>
      <c r="DK145" t="s">
        <v>907</v>
      </c>
      <c r="DL145" t="s">
        <v>907</v>
      </c>
      <c r="DM145" t="s">
        <v>125</v>
      </c>
      <c r="DN145" t="s">
        <v>170</v>
      </c>
      <c r="DO145" t="s">
        <v>664</v>
      </c>
      <c r="DP145">
        <v>5</v>
      </c>
      <c r="DQ145" t="s">
        <v>128</v>
      </c>
      <c r="DR145" t="s">
        <v>907</v>
      </c>
      <c r="DS145" t="s">
        <v>551</v>
      </c>
      <c r="DT145" t="s">
        <v>650</v>
      </c>
      <c r="DU145" t="s">
        <v>84</v>
      </c>
      <c r="DV145" t="s">
        <v>225</v>
      </c>
      <c r="DW145" t="s">
        <v>533</v>
      </c>
      <c r="DX145" t="s">
        <v>95</v>
      </c>
      <c r="FQ145">
        <v>565908993</v>
      </c>
      <c r="FR145" t="s">
        <v>690</v>
      </c>
      <c r="FS145" s="1">
        <v>45924.644837962973</v>
      </c>
      <c r="FV145" t="s">
        <v>134</v>
      </c>
      <c r="FW145" t="s">
        <v>135</v>
      </c>
      <c r="FX145" t="s">
        <v>136</v>
      </c>
      <c r="FZ145">
        <v>158</v>
      </c>
    </row>
    <row r="146" spans="1:182" x14ac:dyDescent="0.3">
      <c r="A146" s="1">
        <v>45924.677689201388</v>
      </c>
      <c r="B146" s="1">
        <v>45924.715981932874</v>
      </c>
      <c r="D146" t="s">
        <v>84</v>
      </c>
      <c r="E146" t="s">
        <v>1397</v>
      </c>
      <c r="F146" t="s">
        <v>1411</v>
      </c>
      <c r="G146" t="s">
        <v>176</v>
      </c>
      <c r="H146" t="s">
        <v>4122</v>
      </c>
      <c r="I146" t="s">
        <v>1412</v>
      </c>
      <c r="J146" t="s">
        <v>1413</v>
      </c>
      <c r="K146" t="s">
        <v>90</v>
      </c>
      <c r="L146" t="s">
        <v>1414</v>
      </c>
      <c r="M146" t="s">
        <v>1415</v>
      </c>
      <c r="N146" t="s">
        <v>1416</v>
      </c>
      <c r="O146">
        <v>-15.2762502</v>
      </c>
      <c r="P146">
        <v>23.035281099999999</v>
      </c>
      <c r="Q146">
        <v>1009.599365234375</v>
      </c>
      <c r="R146">
        <v>4.8170000000000002</v>
      </c>
      <c r="S146" t="s">
        <v>84</v>
      </c>
      <c r="T146" t="s">
        <v>94</v>
      </c>
      <c r="U146">
        <v>6</v>
      </c>
      <c r="V146" t="s">
        <v>95</v>
      </c>
      <c r="W146" t="s">
        <v>907</v>
      </c>
      <c r="X146">
        <v>20</v>
      </c>
      <c r="Y146">
        <v>10</v>
      </c>
      <c r="Z146">
        <v>1.5</v>
      </c>
      <c r="AA146" t="s">
        <v>251</v>
      </c>
      <c r="AB146" t="s">
        <v>143</v>
      </c>
      <c r="AC146" t="s">
        <v>144</v>
      </c>
      <c r="AD146" t="s">
        <v>252</v>
      </c>
      <c r="AE146" t="s">
        <v>146</v>
      </c>
      <c r="AF146" t="s">
        <v>907</v>
      </c>
      <c r="AG146" s="3">
        <v>9000</v>
      </c>
      <c r="AH146" t="s">
        <v>1262</v>
      </c>
      <c r="AI146" t="s">
        <v>1232</v>
      </c>
      <c r="AJ146" s="5">
        <v>5000</v>
      </c>
      <c r="AK146" t="s">
        <v>102</v>
      </c>
      <c r="AL146" t="s">
        <v>907</v>
      </c>
      <c r="AM146" t="s">
        <v>1417</v>
      </c>
      <c r="AN146" t="s">
        <v>1418</v>
      </c>
      <c r="AO146" t="s">
        <v>1419</v>
      </c>
      <c r="AP146" t="s">
        <v>1420</v>
      </c>
      <c r="AQ146" t="s">
        <v>1421</v>
      </c>
      <c r="AR146" t="s">
        <v>84</v>
      </c>
      <c r="AS146">
        <v>8</v>
      </c>
      <c r="AT146">
        <v>15</v>
      </c>
      <c r="AU146">
        <v>0</v>
      </c>
      <c r="AV146">
        <v>20</v>
      </c>
      <c r="AW146">
        <v>0</v>
      </c>
      <c r="AX146">
        <v>0</v>
      </c>
      <c r="AY146">
        <v>0</v>
      </c>
      <c r="AZ146" t="s">
        <v>929</v>
      </c>
      <c r="BA146" t="s">
        <v>1065</v>
      </c>
      <c r="BB146" t="s">
        <v>154</v>
      </c>
      <c r="BC146" t="s">
        <v>907</v>
      </c>
      <c r="BD146" t="s">
        <v>107</v>
      </c>
      <c r="BE146" t="s">
        <v>363</v>
      </c>
      <c r="BF146" t="s">
        <v>3926</v>
      </c>
      <c r="BG146" t="s">
        <v>156</v>
      </c>
      <c r="BH146">
        <v>40</v>
      </c>
      <c r="BL146">
        <v>15</v>
      </c>
      <c r="BN146">
        <v>4</v>
      </c>
      <c r="BP146">
        <v>3</v>
      </c>
      <c r="BR146">
        <v>3</v>
      </c>
      <c r="BT146">
        <v>4</v>
      </c>
      <c r="BV146">
        <v>5</v>
      </c>
      <c r="BX146">
        <v>5</v>
      </c>
      <c r="BY146" t="s">
        <v>189</v>
      </c>
      <c r="BZ146">
        <v>2</v>
      </c>
      <c r="CA146">
        <v>25</v>
      </c>
      <c r="CB146" t="s">
        <v>84</v>
      </c>
      <c r="CC146" t="s">
        <v>84</v>
      </c>
      <c r="CD146" t="s">
        <v>778</v>
      </c>
      <c r="CE146" t="s">
        <v>4251</v>
      </c>
      <c r="CF146" t="s">
        <v>3927</v>
      </c>
      <c r="CG146" t="s">
        <v>907</v>
      </c>
      <c r="CH146">
        <v>4</v>
      </c>
      <c r="CI146" t="s">
        <v>84</v>
      </c>
      <c r="CJ146" t="s">
        <v>262</v>
      </c>
      <c r="CK146" t="s">
        <v>289</v>
      </c>
      <c r="CL146" t="s">
        <v>367</v>
      </c>
      <c r="CM146" t="s">
        <v>162</v>
      </c>
      <c r="CN146" t="s">
        <v>3874</v>
      </c>
      <c r="CO146" t="s">
        <v>84</v>
      </c>
      <c r="CP146" t="s">
        <v>1422</v>
      </c>
      <c r="CQ146" t="s">
        <v>116</v>
      </c>
      <c r="CR146" t="s">
        <v>84</v>
      </c>
      <c r="CS146" t="s">
        <v>117</v>
      </c>
      <c r="CT146" t="s">
        <v>907</v>
      </c>
      <c r="CU146" t="s">
        <v>438</v>
      </c>
      <c r="CV146" t="s">
        <v>812</v>
      </c>
      <c r="CW146" t="s">
        <v>1344</v>
      </c>
      <c r="CX146" t="s">
        <v>166</v>
      </c>
      <c r="CY146" t="s">
        <v>167</v>
      </c>
      <c r="CZ146" t="s">
        <v>1345</v>
      </c>
      <c r="DA146">
        <v>3</v>
      </c>
      <c r="DB146" s="10">
        <v>17000</v>
      </c>
      <c r="DC146" t="s">
        <v>169</v>
      </c>
      <c r="DD146" t="s">
        <v>907</v>
      </c>
      <c r="DE146">
        <v>2</v>
      </c>
      <c r="DF146">
        <v>10</v>
      </c>
      <c r="DG146" t="s">
        <v>84</v>
      </c>
      <c r="DH146" t="s">
        <v>84</v>
      </c>
      <c r="DI146" t="s">
        <v>197</v>
      </c>
      <c r="DJ146" t="s">
        <v>635</v>
      </c>
      <c r="DK146" t="s">
        <v>907</v>
      </c>
      <c r="DL146" t="s">
        <v>1346</v>
      </c>
      <c r="DM146" t="s">
        <v>125</v>
      </c>
      <c r="DN146" t="s">
        <v>1347</v>
      </c>
      <c r="DO146" t="s">
        <v>1348</v>
      </c>
      <c r="DP146">
        <v>200</v>
      </c>
      <c r="DQ146" t="s">
        <v>202</v>
      </c>
      <c r="DR146" t="s">
        <v>907</v>
      </c>
      <c r="DS146" t="s">
        <v>1423</v>
      </c>
      <c r="DT146" t="s">
        <v>1303</v>
      </c>
      <c r="DU146" t="s">
        <v>84</v>
      </c>
      <c r="DV146" t="s">
        <v>205</v>
      </c>
      <c r="DW146" t="s">
        <v>1351</v>
      </c>
      <c r="DX146" t="s">
        <v>95</v>
      </c>
      <c r="FQ146">
        <v>566014148</v>
      </c>
      <c r="FR146" t="s">
        <v>1424</v>
      </c>
      <c r="FS146" s="1">
        <v>45924.735509259262</v>
      </c>
      <c r="FV146" t="s">
        <v>134</v>
      </c>
      <c r="FW146" t="s">
        <v>135</v>
      </c>
      <c r="FX146" t="s">
        <v>136</v>
      </c>
      <c r="FZ146">
        <v>220</v>
      </c>
    </row>
    <row r="147" spans="1:182" hidden="1" x14ac:dyDescent="0.3">
      <c r="A147" s="1">
        <v>45924.449027395844</v>
      </c>
      <c r="B147" s="1">
        <v>45924.458983298609</v>
      </c>
      <c r="D147" t="s">
        <v>84</v>
      </c>
      <c r="E147" t="s">
        <v>535</v>
      </c>
      <c r="F147" t="s">
        <v>638</v>
      </c>
      <c r="G147" t="s">
        <v>176</v>
      </c>
      <c r="H147" t="s">
        <v>4122</v>
      </c>
      <c r="I147" t="s">
        <v>639</v>
      </c>
      <c r="J147" t="s">
        <v>640</v>
      </c>
      <c r="K147" t="s">
        <v>90</v>
      </c>
      <c r="L147" t="s">
        <v>539</v>
      </c>
      <c r="M147" t="s">
        <v>141</v>
      </c>
      <c r="N147" t="s">
        <v>641</v>
      </c>
      <c r="O147">
        <v>-15.345679000000001</v>
      </c>
      <c r="P147">
        <v>23.128827900000001</v>
      </c>
      <c r="Q147">
        <v>1026.142822265625</v>
      </c>
      <c r="R147">
        <v>4.6989999999999998</v>
      </c>
      <c r="S147" t="s">
        <v>84</v>
      </c>
      <c r="T147" t="s">
        <v>182</v>
      </c>
      <c r="U147">
        <v>6</v>
      </c>
      <c r="V147" t="s">
        <v>95</v>
      </c>
      <c r="W147" t="s">
        <v>907</v>
      </c>
      <c r="X147">
        <v>7</v>
      </c>
      <c r="Y147">
        <v>32</v>
      </c>
      <c r="Z147">
        <v>1</v>
      </c>
      <c r="AA147" t="s">
        <v>96</v>
      </c>
      <c r="AB147" t="s">
        <v>97</v>
      </c>
      <c r="AC147" t="s">
        <v>144</v>
      </c>
      <c r="AD147" t="s">
        <v>252</v>
      </c>
      <c r="AE147" t="s">
        <v>304</v>
      </c>
      <c r="AF147" t="s">
        <v>907</v>
      </c>
      <c r="AG147">
        <v>0</v>
      </c>
      <c r="AH147" t="s">
        <v>304</v>
      </c>
      <c r="AI147" t="s">
        <v>907</v>
      </c>
      <c r="AJ147" s="5">
        <v>0</v>
      </c>
      <c r="AK147" t="s">
        <v>102</v>
      </c>
      <c r="AL147" t="s">
        <v>907</v>
      </c>
      <c r="AM147" t="s">
        <v>149</v>
      </c>
      <c r="AN147" t="s">
        <v>907</v>
      </c>
      <c r="AO147">
        <v>0</v>
      </c>
      <c r="AP147" t="s">
        <v>642</v>
      </c>
      <c r="AQ147" t="s">
        <v>643</v>
      </c>
      <c r="AR147" t="s">
        <v>95</v>
      </c>
      <c r="AS147">
        <v>0</v>
      </c>
      <c r="AT147">
        <v>0</v>
      </c>
      <c r="AU147">
        <v>0</v>
      </c>
      <c r="AV147">
        <v>0</v>
      </c>
      <c r="AW147">
        <v>12</v>
      </c>
      <c r="AX147">
        <v>0</v>
      </c>
      <c r="AY147">
        <v>0</v>
      </c>
      <c r="AZ147" t="s">
        <v>106</v>
      </c>
      <c r="BA147" t="s">
        <v>95</v>
      </c>
      <c r="BB147" t="s">
        <v>154</v>
      </c>
      <c r="BC147" t="s">
        <v>907</v>
      </c>
      <c r="BD147" t="s">
        <v>107</v>
      </c>
      <c r="BE147" t="s">
        <v>108</v>
      </c>
      <c r="BF147" t="s">
        <v>644</v>
      </c>
      <c r="BG147" t="s">
        <v>235</v>
      </c>
      <c r="BH147">
        <v>16</v>
      </c>
      <c r="BL147">
        <v>7</v>
      </c>
      <c r="BN147">
        <v>3</v>
      </c>
      <c r="BP147">
        <v>2</v>
      </c>
      <c r="BR147">
        <v>0</v>
      </c>
      <c r="BT147">
        <v>4</v>
      </c>
      <c r="BY147" t="s">
        <v>110</v>
      </c>
      <c r="BZ147" t="s">
        <v>907</v>
      </c>
      <c r="CA147" t="s">
        <v>907</v>
      </c>
      <c r="CB147" t="s">
        <v>84</v>
      </c>
      <c r="CC147" t="s">
        <v>84</v>
      </c>
      <c r="CD147" t="s">
        <v>645</v>
      </c>
      <c r="CE147" t="s">
        <v>4249</v>
      </c>
      <c r="CF147" t="s">
        <v>646</v>
      </c>
      <c r="CG147" t="s">
        <v>907</v>
      </c>
      <c r="CH147">
        <v>4</v>
      </c>
      <c r="CI147" t="s">
        <v>95</v>
      </c>
      <c r="CJ147" t="s">
        <v>907</v>
      </c>
      <c r="CK147" t="s">
        <v>289</v>
      </c>
      <c r="CL147" t="s">
        <v>4262</v>
      </c>
      <c r="CM147" t="s">
        <v>193</v>
      </c>
      <c r="CN147" t="s">
        <v>3883</v>
      </c>
      <c r="CO147" t="s">
        <v>95</v>
      </c>
      <c r="CP147" t="s">
        <v>907</v>
      </c>
      <c r="CQ147" t="s">
        <v>116</v>
      </c>
      <c r="CR147" t="s">
        <v>84</v>
      </c>
      <c r="CS147" t="s">
        <v>117</v>
      </c>
      <c r="CT147" t="s">
        <v>163</v>
      </c>
      <c r="CU147" t="s">
        <v>3869</v>
      </c>
      <c r="CV147" t="s">
        <v>119</v>
      </c>
      <c r="CW147" t="s">
        <v>647</v>
      </c>
      <c r="CX147" t="s">
        <v>166</v>
      </c>
      <c r="CY147" t="s">
        <v>121</v>
      </c>
      <c r="CZ147" t="s">
        <v>265</v>
      </c>
      <c r="DA147">
        <v>3</v>
      </c>
      <c r="DB147" s="10">
        <v>18000</v>
      </c>
      <c r="DC147" t="s">
        <v>169</v>
      </c>
      <c r="DD147" t="s">
        <v>907</v>
      </c>
      <c r="DE147">
        <v>5</v>
      </c>
      <c r="DF147">
        <v>15</v>
      </c>
      <c r="DG147" t="s">
        <v>95</v>
      </c>
      <c r="DH147" t="s">
        <v>84</v>
      </c>
      <c r="DI147" t="s">
        <v>197</v>
      </c>
      <c r="DJ147" t="s">
        <v>648</v>
      </c>
      <c r="DK147" t="s">
        <v>907</v>
      </c>
      <c r="DL147" t="s">
        <v>199</v>
      </c>
      <c r="DM147" t="s">
        <v>125</v>
      </c>
      <c r="DN147" t="s">
        <v>170</v>
      </c>
      <c r="DO147" t="s">
        <v>649</v>
      </c>
      <c r="DP147">
        <v>25</v>
      </c>
      <c r="DQ147" t="s">
        <v>202</v>
      </c>
      <c r="DR147" t="s">
        <v>907</v>
      </c>
      <c r="DS147" t="s">
        <v>172</v>
      </c>
      <c r="DT147" t="s">
        <v>650</v>
      </c>
      <c r="DU147" t="s">
        <v>84</v>
      </c>
      <c r="DV147" t="s">
        <v>651</v>
      </c>
      <c r="DW147" t="s">
        <v>533</v>
      </c>
      <c r="DX147" t="s">
        <v>95</v>
      </c>
      <c r="FQ147">
        <v>565908955</v>
      </c>
      <c r="FR147" t="s">
        <v>652</v>
      </c>
      <c r="FS147" s="1">
        <v>45924.644814814812</v>
      </c>
      <c r="FV147" t="s">
        <v>134</v>
      </c>
      <c r="FW147" t="s">
        <v>135</v>
      </c>
      <c r="FX147" t="s">
        <v>136</v>
      </c>
      <c r="FZ147">
        <v>155</v>
      </c>
    </row>
    <row r="148" spans="1:182" hidden="1" x14ac:dyDescent="0.3">
      <c r="A148" s="1">
        <v>45926.468861493056</v>
      </c>
      <c r="B148" s="1">
        <v>45926.485724282407</v>
      </c>
      <c r="D148" t="s">
        <v>84</v>
      </c>
      <c r="E148" t="s">
        <v>297</v>
      </c>
      <c r="F148" t="s">
        <v>3097</v>
      </c>
      <c r="G148" t="s">
        <v>176</v>
      </c>
      <c r="H148" t="s">
        <v>4122</v>
      </c>
      <c r="I148" t="s">
        <v>3098</v>
      </c>
      <c r="J148" t="s">
        <v>3099</v>
      </c>
      <c r="K148" t="s">
        <v>90</v>
      </c>
      <c r="L148" t="s">
        <v>3090</v>
      </c>
      <c r="M148" t="s">
        <v>1871</v>
      </c>
      <c r="N148" t="s">
        <v>3100</v>
      </c>
      <c r="O148">
        <v>-15.2476001</v>
      </c>
      <c r="P148">
        <v>22.961569600000001</v>
      </c>
      <c r="Q148">
        <v>1035.443359375</v>
      </c>
      <c r="R148">
        <v>4.2469999999999999</v>
      </c>
      <c r="S148" t="s">
        <v>84</v>
      </c>
      <c r="T148" t="s">
        <v>94</v>
      </c>
      <c r="U148">
        <v>5</v>
      </c>
      <c r="V148" t="s">
        <v>95</v>
      </c>
      <c r="W148" t="s">
        <v>907</v>
      </c>
      <c r="X148">
        <v>30</v>
      </c>
      <c r="Y148">
        <v>7</v>
      </c>
      <c r="Z148">
        <v>5</v>
      </c>
      <c r="AA148" t="s">
        <v>504</v>
      </c>
      <c r="AB148" t="s">
        <v>351</v>
      </c>
      <c r="AC148" t="s">
        <v>98</v>
      </c>
      <c r="AD148" t="s">
        <v>252</v>
      </c>
      <c r="AE148" t="s">
        <v>101</v>
      </c>
      <c r="AF148" t="s">
        <v>907</v>
      </c>
      <c r="AG148">
        <v>1200</v>
      </c>
      <c r="AH148" t="s">
        <v>304</v>
      </c>
      <c r="AI148" t="s">
        <v>907</v>
      </c>
      <c r="AJ148" s="5">
        <v>6000</v>
      </c>
      <c r="AK148" t="s">
        <v>102</v>
      </c>
      <c r="AL148" t="s">
        <v>907</v>
      </c>
      <c r="AM148" t="s">
        <v>4130</v>
      </c>
      <c r="AN148" t="s">
        <v>907</v>
      </c>
      <c r="AQ148" t="s">
        <v>3101</v>
      </c>
      <c r="AR148" t="s">
        <v>95</v>
      </c>
      <c r="AS148">
        <v>0</v>
      </c>
      <c r="AT148">
        <v>0</v>
      </c>
      <c r="AU148">
        <v>0</v>
      </c>
      <c r="AV148">
        <v>0</v>
      </c>
      <c r="AW148">
        <v>0</v>
      </c>
      <c r="AX148">
        <v>0</v>
      </c>
      <c r="AY148">
        <v>0</v>
      </c>
      <c r="AZ148" t="s">
        <v>284</v>
      </c>
      <c r="BA148" t="s">
        <v>95</v>
      </c>
      <c r="BB148" t="s">
        <v>154</v>
      </c>
      <c r="BC148" t="s">
        <v>907</v>
      </c>
      <c r="BD148" t="s">
        <v>107</v>
      </c>
      <c r="BE148" t="s">
        <v>258</v>
      </c>
      <c r="BF148" t="s">
        <v>2290</v>
      </c>
      <c r="BG148" t="s">
        <v>156</v>
      </c>
      <c r="BH148">
        <v>60</v>
      </c>
      <c r="BL148">
        <v>52</v>
      </c>
      <c r="BN148">
        <v>3</v>
      </c>
      <c r="BP148">
        <v>8</v>
      </c>
      <c r="BR148">
        <v>6</v>
      </c>
      <c r="BT148">
        <v>4</v>
      </c>
      <c r="BV148">
        <v>6</v>
      </c>
      <c r="BX148">
        <v>13</v>
      </c>
      <c r="BY148" t="s">
        <v>189</v>
      </c>
      <c r="BZ148">
        <v>2</v>
      </c>
      <c r="CA148">
        <v>35</v>
      </c>
      <c r="CB148" t="s">
        <v>84</v>
      </c>
      <c r="CC148" t="s">
        <v>84</v>
      </c>
      <c r="CD148" t="s">
        <v>334</v>
      </c>
      <c r="CE148" t="s">
        <v>4252</v>
      </c>
      <c r="CF148" t="s">
        <v>4043</v>
      </c>
      <c r="CG148" t="s">
        <v>907</v>
      </c>
      <c r="CH148">
        <v>4</v>
      </c>
      <c r="CI148" t="s">
        <v>95</v>
      </c>
      <c r="CJ148" t="s">
        <v>907</v>
      </c>
      <c r="CK148" t="s">
        <v>289</v>
      </c>
      <c r="CL148" t="s">
        <v>1590</v>
      </c>
      <c r="CM148" t="s">
        <v>193</v>
      </c>
      <c r="CN148" t="s">
        <v>421</v>
      </c>
      <c r="CO148" t="s">
        <v>95</v>
      </c>
      <c r="CP148" t="s">
        <v>907</v>
      </c>
      <c r="CQ148" t="s">
        <v>116</v>
      </c>
      <c r="CR148" t="s">
        <v>84</v>
      </c>
      <c r="CS148" t="s">
        <v>117</v>
      </c>
      <c r="CT148" t="s">
        <v>907</v>
      </c>
      <c r="CU148" t="s">
        <v>3869</v>
      </c>
      <c r="CV148" t="s">
        <v>812</v>
      </c>
      <c r="CW148" t="s">
        <v>907</v>
      </c>
      <c r="CX148" t="s">
        <v>166</v>
      </c>
      <c r="CY148" t="s">
        <v>167</v>
      </c>
      <c r="CZ148" t="s">
        <v>3066</v>
      </c>
      <c r="DA148">
        <v>5</v>
      </c>
      <c r="DB148" s="10">
        <v>25300</v>
      </c>
      <c r="DC148" t="s">
        <v>123</v>
      </c>
      <c r="DD148" t="s">
        <v>3102</v>
      </c>
      <c r="DE148">
        <v>1</v>
      </c>
      <c r="DF148">
        <v>15</v>
      </c>
      <c r="DG148" t="s">
        <v>95</v>
      </c>
      <c r="DH148" t="s">
        <v>95</v>
      </c>
      <c r="DI148" t="s">
        <v>907</v>
      </c>
      <c r="DJ148" t="s">
        <v>907</v>
      </c>
      <c r="DK148" t="s">
        <v>907</v>
      </c>
      <c r="DL148" t="s">
        <v>907</v>
      </c>
      <c r="DM148" t="s">
        <v>291</v>
      </c>
      <c r="DN148" t="s">
        <v>907</v>
      </c>
      <c r="DO148" t="s">
        <v>907</v>
      </c>
      <c r="DP148">
        <v>16</v>
      </c>
      <c r="DQ148" t="s">
        <v>441</v>
      </c>
      <c r="DR148" t="s">
        <v>907</v>
      </c>
      <c r="DS148" t="s">
        <v>3068</v>
      </c>
      <c r="DT148" t="s">
        <v>2516</v>
      </c>
      <c r="DU148" t="s">
        <v>95</v>
      </c>
      <c r="DV148" t="s">
        <v>907</v>
      </c>
      <c r="DW148" t="s">
        <v>907</v>
      </c>
      <c r="DX148" t="s">
        <v>907</v>
      </c>
      <c r="FQ148">
        <v>567958291</v>
      </c>
      <c r="FR148" t="s">
        <v>3103</v>
      </c>
      <c r="FS148" s="1">
        <v>45927.345219907409</v>
      </c>
      <c r="FV148" t="s">
        <v>134</v>
      </c>
      <c r="FW148" t="s">
        <v>135</v>
      </c>
      <c r="FX148" t="s">
        <v>136</v>
      </c>
      <c r="FZ148">
        <v>448</v>
      </c>
    </row>
    <row r="149" spans="1:182" x14ac:dyDescent="0.3">
      <c r="A149" s="1">
        <v>45929.422691516207</v>
      </c>
      <c r="B149" s="1">
        <v>45929.443059293983</v>
      </c>
      <c r="D149" t="s">
        <v>84</v>
      </c>
      <c r="E149" t="s">
        <v>297</v>
      </c>
      <c r="F149" t="s">
        <v>3188</v>
      </c>
      <c r="G149" t="s">
        <v>176</v>
      </c>
      <c r="H149" t="s">
        <v>4122</v>
      </c>
      <c r="I149" t="s">
        <v>3189</v>
      </c>
      <c r="J149" t="s">
        <v>3190</v>
      </c>
      <c r="K149" t="s">
        <v>90</v>
      </c>
      <c r="L149" t="s">
        <v>3191</v>
      </c>
      <c r="M149" t="s">
        <v>277</v>
      </c>
      <c r="N149" t="s">
        <v>3192</v>
      </c>
      <c r="O149">
        <v>-15.3512433</v>
      </c>
      <c r="P149">
        <v>23.068486700000001</v>
      </c>
      <c r="Q149">
        <v>1017.7</v>
      </c>
      <c r="R149">
        <v>4.8</v>
      </c>
      <c r="S149" t="s">
        <v>84</v>
      </c>
      <c r="T149" t="s">
        <v>94</v>
      </c>
      <c r="U149">
        <v>8</v>
      </c>
      <c r="V149" t="s">
        <v>95</v>
      </c>
      <c r="W149" t="s">
        <v>907</v>
      </c>
      <c r="X149">
        <v>25</v>
      </c>
      <c r="Y149">
        <v>2</v>
      </c>
      <c r="Z149">
        <v>2</v>
      </c>
      <c r="AA149" t="s">
        <v>96</v>
      </c>
      <c r="AB149" t="s">
        <v>97</v>
      </c>
      <c r="AC149" t="s">
        <v>98</v>
      </c>
      <c r="AD149" t="s">
        <v>99</v>
      </c>
      <c r="AE149" t="s">
        <v>101</v>
      </c>
      <c r="AF149" t="s">
        <v>907</v>
      </c>
      <c r="AG149">
        <v>2000</v>
      </c>
      <c r="AH149" t="s">
        <v>3873</v>
      </c>
      <c r="AI149" t="s">
        <v>907</v>
      </c>
      <c r="AJ149" t="s">
        <v>907</v>
      </c>
      <c r="AK149" t="s">
        <v>102</v>
      </c>
      <c r="AL149" t="s">
        <v>907</v>
      </c>
      <c r="AM149" t="s">
        <v>4130</v>
      </c>
      <c r="AN149" t="s">
        <v>907</v>
      </c>
      <c r="AQ149" t="s">
        <v>466</v>
      </c>
      <c r="AR149" t="s">
        <v>95</v>
      </c>
      <c r="AS149">
        <v>0</v>
      </c>
      <c r="AT149">
        <v>0</v>
      </c>
      <c r="AU149">
        <v>0</v>
      </c>
      <c r="AV149">
        <v>0</v>
      </c>
      <c r="AW149">
        <v>0</v>
      </c>
      <c r="AX149">
        <v>0</v>
      </c>
      <c r="AY149">
        <v>0</v>
      </c>
      <c r="AZ149" t="s">
        <v>256</v>
      </c>
      <c r="BA149" t="s">
        <v>95</v>
      </c>
      <c r="BB149" t="s">
        <v>3866</v>
      </c>
      <c r="BC149" t="s">
        <v>907</v>
      </c>
      <c r="BD149" t="s">
        <v>107</v>
      </c>
      <c r="BE149" t="s">
        <v>810</v>
      </c>
      <c r="BF149" t="s">
        <v>4062</v>
      </c>
      <c r="BG149" t="s">
        <v>156</v>
      </c>
      <c r="BH149">
        <v>55</v>
      </c>
      <c r="BL149">
        <v>23</v>
      </c>
      <c r="BN149">
        <v>2</v>
      </c>
      <c r="BP149">
        <v>10</v>
      </c>
      <c r="BR149">
        <v>3</v>
      </c>
      <c r="BT149">
        <v>8</v>
      </c>
      <c r="BV149">
        <v>3</v>
      </c>
      <c r="BX149">
        <v>6</v>
      </c>
      <c r="BY149" t="s">
        <v>189</v>
      </c>
      <c r="BZ149">
        <v>3</v>
      </c>
      <c r="CA149">
        <v>15</v>
      </c>
      <c r="CB149" t="s">
        <v>84</v>
      </c>
      <c r="CC149" t="s">
        <v>84</v>
      </c>
      <c r="CD149" t="s">
        <v>3193</v>
      </c>
      <c r="CE149" t="s">
        <v>4250</v>
      </c>
      <c r="CF149" t="s">
        <v>3194</v>
      </c>
      <c r="CG149" t="s">
        <v>907</v>
      </c>
      <c r="CH149">
        <v>11</v>
      </c>
      <c r="CI149" t="s">
        <v>84</v>
      </c>
      <c r="CJ149" t="s">
        <v>546</v>
      </c>
      <c r="CK149" t="s">
        <v>113</v>
      </c>
      <c r="CL149" t="s">
        <v>3195</v>
      </c>
      <c r="CM149" t="s">
        <v>193</v>
      </c>
      <c r="CN149" t="s">
        <v>421</v>
      </c>
      <c r="CO149" t="s">
        <v>95</v>
      </c>
      <c r="CP149" t="s">
        <v>907</v>
      </c>
      <c r="CQ149" t="s">
        <v>116</v>
      </c>
      <c r="CR149" t="s">
        <v>84</v>
      </c>
      <c r="CS149" t="s">
        <v>117</v>
      </c>
      <c r="CT149" t="s">
        <v>264</v>
      </c>
      <c r="CU149" t="s">
        <v>3869</v>
      </c>
      <c r="CV149" t="s">
        <v>812</v>
      </c>
      <c r="CW149" t="s">
        <v>907</v>
      </c>
      <c r="CX149" t="s">
        <v>166</v>
      </c>
      <c r="CY149" t="s">
        <v>167</v>
      </c>
      <c r="CZ149" t="s">
        <v>1436</v>
      </c>
      <c r="DA149">
        <v>2</v>
      </c>
      <c r="DB149" s="10">
        <v>14560</v>
      </c>
      <c r="DC149" t="s">
        <v>123</v>
      </c>
      <c r="DD149" t="s">
        <v>2514</v>
      </c>
      <c r="DE149">
        <v>2</v>
      </c>
      <c r="DF149">
        <v>12</v>
      </c>
      <c r="DG149" t="s">
        <v>95</v>
      </c>
      <c r="DH149" t="s">
        <v>95</v>
      </c>
      <c r="DI149" t="s">
        <v>907</v>
      </c>
      <c r="DJ149" t="s">
        <v>907</v>
      </c>
      <c r="DK149" t="s">
        <v>907</v>
      </c>
      <c r="DL149" t="s">
        <v>907</v>
      </c>
      <c r="DM149" t="s">
        <v>291</v>
      </c>
      <c r="DN149" t="s">
        <v>907</v>
      </c>
      <c r="DO149" t="s">
        <v>907</v>
      </c>
      <c r="DP149">
        <v>40</v>
      </c>
      <c r="DQ149" t="s">
        <v>441</v>
      </c>
      <c r="DR149" t="s">
        <v>907</v>
      </c>
      <c r="DS149" t="s">
        <v>1349</v>
      </c>
      <c r="DT149" t="s">
        <v>1437</v>
      </c>
      <c r="DU149" t="s">
        <v>95</v>
      </c>
      <c r="DV149" t="s">
        <v>907</v>
      </c>
      <c r="DW149" t="s">
        <v>907</v>
      </c>
      <c r="DX149" t="s">
        <v>907</v>
      </c>
      <c r="FQ149">
        <v>569568682</v>
      </c>
      <c r="FR149" t="s">
        <v>3196</v>
      </c>
      <c r="FS149" s="1">
        <v>45929.78087962963</v>
      </c>
      <c r="FV149" t="s">
        <v>134</v>
      </c>
      <c r="FW149" t="s">
        <v>135</v>
      </c>
      <c r="FX149" t="s">
        <v>136</v>
      </c>
      <c r="FZ149">
        <v>487</v>
      </c>
    </row>
    <row r="150" spans="1:182" x14ac:dyDescent="0.3">
      <c r="A150" s="1">
        <v>45923.399972037027</v>
      </c>
      <c r="B150" s="1">
        <v>45923.428184375</v>
      </c>
      <c r="D150" t="s">
        <v>84</v>
      </c>
      <c r="E150" t="s">
        <v>297</v>
      </c>
      <c r="F150" t="s">
        <v>358</v>
      </c>
      <c r="G150" t="s">
        <v>87</v>
      </c>
      <c r="H150" t="s">
        <v>4122</v>
      </c>
      <c r="I150" t="s">
        <v>359</v>
      </c>
      <c r="J150" t="s">
        <v>360</v>
      </c>
      <c r="K150" t="s">
        <v>90</v>
      </c>
      <c r="L150" t="s">
        <v>276</v>
      </c>
      <c r="M150" t="s">
        <v>349</v>
      </c>
      <c r="N150" t="s">
        <v>361</v>
      </c>
      <c r="O150">
        <v>-15.440300000000001</v>
      </c>
      <c r="P150">
        <v>23.216925</v>
      </c>
      <c r="Q150">
        <v>1015.1</v>
      </c>
      <c r="R150">
        <v>4.7</v>
      </c>
      <c r="S150" t="s">
        <v>84</v>
      </c>
      <c r="T150" t="s">
        <v>362</v>
      </c>
      <c r="U150">
        <v>3</v>
      </c>
      <c r="V150" t="s">
        <v>95</v>
      </c>
      <c r="W150" t="s">
        <v>907</v>
      </c>
      <c r="X150">
        <v>40</v>
      </c>
      <c r="Y150">
        <v>1.5</v>
      </c>
      <c r="Z150">
        <v>1.5</v>
      </c>
      <c r="AA150" t="s">
        <v>251</v>
      </c>
      <c r="AB150" t="s">
        <v>97</v>
      </c>
      <c r="AC150" t="s">
        <v>144</v>
      </c>
      <c r="AD150" t="s">
        <v>280</v>
      </c>
      <c r="AE150" t="s">
        <v>100</v>
      </c>
      <c r="AF150" t="s">
        <v>907</v>
      </c>
      <c r="AG150">
        <v>4000</v>
      </c>
      <c r="AH150" t="s">
        <v>304</v>
      </c>
      <c r="AI150" t="s">
        <v>907</v>
      </c>
      <c r="AJ150" s="5">
        <v>3000</v>
      </c>
      <c r="AK150" t="s">
        <v>102</v>
      </c>
      <c r="AL150" t="s">
        <v>907</v>
      </c>
      <c r="AM150" t="s">
        <v>253</v>
      </c>
      <c r="AN150" t="s">
        <v>907</v>
      </c>
      <c r="AO150" t="s">
        <v>267</v>
      </c>
      <c r="AP150" t="s">
        <v>3875</v>
      </c>
      <c r="AQ150" t="s">
        <v>149</v>
      </c>
      <c r="AR150" t="s">
        <v>95</v>
      </c>
      <c r="AS150">
        <v>0</v>
      </c>
      <c r="AT150">
        <v>0</v>
      </c>
      <c r="AU150">
        <v>0</v>
      </c>
      <c r="AV150">
        <v>0</v>
      </c>
      <c r="AW150">
        <v>0</v>
      </c>
      <c r="AX150">
        <v>0</v>
      </c>
      <c r="AY150">
        <v>0</v>
      </c>
      <c r="AZ150" t="s">
        <v>284</v>
      </c>
      <c r="BA150" t="s">
        <v>95</v>
      </c>
      <c r="BB150" t="s">
        <v>154</v>
      </c>
      <c r="BC150" t="s">
        <v>907</v>
      </c>
      <c r="BD150" t="s">
        <v>107</v>
      </c>
      <c r="BE150" t="s">
        <v>363</v>
      </c>
      <c r="BF150" t="s">
        <v>364</v>
      </c>
      <c r="BG150" t="s">
        <v>235</v>
      </c>
      <c r="BH150">
        <v>25</v>
      </c>
      <c r="BL150">
        <v>6</v>
      </c>
      <c r="BN150">
        <v>0</v>
      </c>
      <c r="BP150">
        <v>4</v>
      </c>
      <c r="BR150">
        <v>4</v>
      </c>
      <c r="BT150">
        <v>0</v>
      </c>
      <c r="BV150">
        <v>15</v>
      </c>
      <c r="BX150">
        <v>6</v>
      </c>
      <c r="BY150" t="s">
        <v>110</v>
      </c>
      <c r="BZ150" t="s">
        <v>907</v>
      </c>
      <c r="CA150" t="s">
        <v>907</v>
      </c>
      <c r="CB150" t="s">
        <v>84</v>
      </c>
      <c r="CC150" t="s">
        <v>84</v>
      </c>
      <c r="CD150" t="s">
        <v>365</v>
      </c>
      <c r="CE150" t="s">
        <v>4250</v>
      </c>
      <c r="CF150" t="s">
        <v>366</v>
      </c>
      <c r="CG150" t="s">
        <v>907</v>
      </c>
      <c r="CH150">
        <v>4</v>
      </c>
      <c r="CI150" t="s">
        <v>84</v>
      </c>
      <c r="CJ150" t="s">
        <v>262</v>
      </c>
      <c r="CK150" t="s">
        <v>289</v>
      </c>
      <c r="CL150" t="s">
        <v>367</v>
      </c>
      <c r="CM150" t="s">
        <v>193</v>
      </c>
      <c r="CN150" t="s">
        <v>194</v>
      </c>
      <c r="CO150" t="s">
        <v>95</v>
      </c>
      <c r="CP150" t="s">
        <v>907</v>
      </c>
      <c r="CQ150" t="s">
        <v>116</v>
      </c>
      <c r="CR150" t="s">
        <v>84</v>
      </c>
      <c r="CS150" t="s">
        <v>117</v>
      </c>
      <c r="CT150" t="s">
        <v>264</v>
      </c>
      <c r="CU150" t="s">
        <v>3869</v>
      </c>
      <c r="CV150" t="s">
        <v>119</v>
      </c>
      <c r="CW150" t="s">
        <v>196</v>
      </c>
      <c r="CX150" t="s">
        <v>166</v>
      </c>
      <c r="CY150" t="s">
        <v>167</v>
      </c>
      <c r="CZ150" t="s">
        <v>196</v>
      </c>
      <c r="DA150">
        <v>2</v>
      </c>
      <c r="DB150" s="10">
        <v>9000</v>
      </c>
      <c r="DC150" t="s">
        <v>169</v>
      </c>
      <c r="DD150" t="s">
        <v>907</v>
      </c>
      <c r="DE150">
        <v>1</v>
      </c>
      <c r="DF150">
        <v>55</v>
      </c>
      <c r="DG150" t="s">
        <v>95</v>
      </c>
      <c r="DH150" t="s">
        <v>95</v>
      </c>
      <c r="DI150" t="s">
        <v>907</v>
      </c>
      <c r="DJ150" t="s">
        <v>907</v>
      </c>
      <c r="DK150" t="s">
        <v>907</v>
      </c>
      <c r="DL150" t="s">
        <v>907</v>
      </c>
      <c r="DM150" t="s">
        <v>291</v>
      </c>
      <c r="DN150" t="s">
        <v>907</v>
      </c>
      <c r="DO150" t="s">
        <v>907</v>
      </c>
      <c r="DP150">
        <v>20</v>
      </c>
      <c r="DQ150" t="s">
        <v>128</v>
      </c>
      <c r="DR150" t="s">
        <v>907</v>
      </c>
      <c r="DS150" t="s">
        <v>368</v>
      </c>
      <c r="DT150" t="s">
        <v>369</v>
      </c>
      <c r="DU150" t="s">
        <v>84</v>
      </c>
      <c r="DV150" t="s">
        <v>294</v>
      </c>
      <c r="DW150" t="s">
        <v>370</v>
      </c>
      <c r="DX150" t="s">
        <v>84</v>
      </c>
      <c r="FQ150">
        <v>565241801</v>
      </c>
      <c r="FR150" t="s">
        <v>371</v>
      </c>
      <c r="FS150" s="1">
        <v>45923.829791666663</v>
      </c>
      <c r="FV150" t="s">
        <v>134</v>
      </c>
      <c r="FW150" t="s">
        <v>135</v>
      </c>
      <c r="FX150" t="s">
        <v>136</v>
      </c>
      <c r="FZ150">
        <v>121</v>
      </c>
    </row>
    <row r="151" spans="1:182" hidden="1" x14ac:dyDescent="0.3">
      <c r="A151" s="1">
        <v>45923.474708229172</v>
      </c>
      <c r="B151" s="1">
        <v>45923.498971921297</v>
      </c>
      <c r="D151" t="s">
        <v>84</v>
      </c>
      <c r="E151" t="s">
        <v>3876</v>
      </c>
      <c r="F151" t="s">
        <v>485</v>
      </c>
      <c r="G151" t="s">
        <v>87</v>
      </c>
      <c r="H151" t="s">
        <v>4122</v>
      </c>
      <c r="I151" t="s">
        <v>486</v>
      </c>
      <c r="J151" t="s">
        <v>487</v>
      </c>
      <c r="K151" t="s">
        <v>90</v>
      </c>
      <c r="L151" t="s">
        <v>429</v>
      </c>
      <c r="M151" t="s">
        <v>414</v>
      </c>
      <c r="N151" t="s">
        <v>488</v>
      </c>
      <c r="O151">
        <v>-15.4408311</v>
      </c>
      <c r="P151">
        <v>23.216792999999999</v>
      </c>
      <c r="Q151">
        <v>1029.933227539062</v>
      </c>
      <c r="R151">
        <v>4.9729999999999999</v>
      </c>
      <c r="S151" t="s">
        <v>84</v>
      </c>
      <c r="T151" t="s">
        <v>94</v>
      </c>
      <c r="U151">
        <v>9</v>
      </c>
      <c r="V151" t="s">
        <v>95</v>
      </c>
      <c r="W151" t="s">
        <v>907</v>
      </c>
      <c r="X151">
        <v>10</v>
      </c>
      <c r="Y151">
        <v>3</v>
      </c>
      <c r="Z151">
        <v>2</v>
      </c>
      <c r="AA151" t="s">
        <v>96</v>
      </c>
      <c r="AB151" t="s">
        <v>489</v>
      </c>
      <c r="AC151" t="s">
        <v>98</v>
      </c>
      <c r="AD151" t="s">
        <v>252</v>
      </c>
      <c r="AE151" t="s">
        <v>100</v>
      </c>
      <c r="AF151" t="s">
        <v>907</v>
      </c>
      <c r="AG151">
        <v>7000</v>
      </c>
      <c r="AH151" t="s">
        <v>3873</v>
      </c>
      <c r="AI151" t="s">
        <v>907</v>
      </c>
      <c r="AJ151" t="s">
        <v>907</v>
      </c>
      <c r="AK151" t="s">
        <v>102</v>
      </c>
      <c r="AL151" t="s">
        <v>907</v>
      </c>
      <c r="AM151" t="s">
        <v>253</v>
      </c>
      <c r="AN151" t="s">
        <v>907</v>
      </c>
      <c r="AO151" t="s">
        <v>490</v>
      </c>
      <c r="AP151" t="s">
        <v>491</v>
      </c>
      <c r="AQ151" t="s">
        <v>492</v>
      </c>
      <c r="AR151" t="s">
        <v>95</v>
      </c>
      <c r="AS151">
        <v>0</v>
      </c>
      <c r="AT151">
        <v>0</v>
      </c>
      <c r="AU151">
        <v>0</v>
      </c>
      <c r="AV151">
        <v>0</v>
      </c>
      <c r="AW151">
        <v>0</v>
      </c>
      <c r="AX151">
        <v>0</v>
      </c>
      <c r="AY151">
        <v>0</v>
      </c>
      <c r="AZ151" t="s">
        <v>106</v>
      </c>
      <c r="BA151" t="s">
        <v>95</v>
      </c>
      <c r="BB151" t="s">
        <v>154</v>
      </c>
      <c r="BC151" t="s">
        <v>907</v>
      </c>
      <c r="BD151" t="s">
        <v>107</v>
      </c>
      <c r="BE151" t="s">
        <v>363</v>
      </c>
      <c r="BF151" t="s">
        <v>493</v>
      </c>
      <c r="BG151" t="s">
        <v>235</v>
      </c>
      <c r="BH151">
        <v>20</v>
      </c>
      <c r="BL151">
        <v>8</v>
      </c>
      <c r="BN151">
        <v>2</v>
      </c>
      <c r="BR151">
        <v>5</v>
      </c>
      <c r="BT151">
        <v>0</v>
      </c>
      <c r="BV151">
        <v>0</v>
      </c>
      <c r="BX151">
        <v>5</v>
      </c>
      <c r="BY151" t="s">
        <v>110</v>
      </c>
      <c r="BZ151" t="s">
        <v>907</v>
      </c>
      <c r="CA151" t="s">
        <v>907</v>
      </c>
      <c r="CB151" t="s">
        <v>84</v>
      </c>
      <c r="CC151" t="s">
        <v>84</v>
      </c>
      <c r="CD151" t="s">
        <v>494</v>
      </c>
      <c r="CE151" t="s">
        <v>4251</v>
      </c>
      <c r="CF151" t="s">
        <v>437</v>
      </c>
      <c r="CG151" t="s">
        <v>907</v>
      </c>
      <c r="CH151">
        <v>4</v>
      </c>
      <c r="CI151" t="s">
        <v>84</v>
      </c>
      <c r="CJ151" t="s">
        <v>405</v>
      </c>
      <c r="CK151" t="s">
        <v>113</v>
      </c>
      <c r="CL151" t="s">
        <v>263</v>
      </c>
      <c r="CM151" t="s">
        <v>162</v>
      </c>
      <c r="CN151" t="s">
        <v>3874</v>
      </c>
      <c r="CO151" t="s">
        <v>95</v>
      </c>
      <c r="CP151" t="s">
        <v>907</v>
      </c>
      <c r="CQ151" t="s">
        <v>116</v>
      </c>
      <c r="CR151" t="s">
        <v>95</v>
      </c>
      <c r="CS151" t="s">
        <v>907</v>
      </c>
      <c r="CT151" t="s">
        <v>907</v>
      </c>
      <c r="CU151" t="s">
        <v>907</v>
      </c>
      <c r="CV151" t="s">
        <v>119</v>
      </c>
      <c r="CW151" t="s">
        <v>495</v>
      </c>
      <c r="CX151" t="s">
        <v>166</v>
      </c>
      <c r="CY151" t="s">
        <v>167</v>
      </c>
      <c r="CZ151" t="s">
        <v>495</v>
      </c>
      <c r="DA151">
        <v>3</v>
      </c>
      <c r="DB151" s="10">
        <v>5000</v>
      </c>
      <c r="DC151" t="s">
        <v>169</v>
      </c>
      <c r="DD151" t="s">
        <v>907</v>
      </c>
      <c r="DE151">
        <v>1</v>
      </c>
      <c r="DF151">
        <v>50</v>
      </c>
      <c r="DG151" t="s">
        <v>95</v>
      </c>
      <c r="DH151" t="s">
        <v>95</v>
      </c>
      <c r="DI151" t="s">
        <v>907</v>
      </c>
      <c r="DJ151" t="s">
        <v>907</v>
      </c>
      <c r="DK151" t="s">
        <v>907</v>
      </c>
      <c r="DL151" t="s">
        <v>907</v>
      </c>
      <c r="DM151" t="s">
        <v>291</v>
      </c>
      <c r="DN151" t="s">
        <v>907</v>
      </c>
      <c r="DO151" t="s">
        <v>907</v>
      </c>
      <c r="DP151">
        <v>2</v>
      </c>
      <c r="DQ151" t="s">
        <v>441</v>
      </c>
      <c r="DR151" t="s">
        <v>907</v>
      </c>
      <c r="DS151" t="s">
        <v>172</v>
      </c>
      <c r="DT151" t="s">
        <v>271</v>
      </c>
      <c r="DU151" t="s">
        <v>95</v>
      </c>
      <c r="DV151" t="s">
        <v>907</v>
      </c>
      <c r="DW151" t="s">
        <v>907</v>
      </c>
      <c r="DX151" t="s">
        <v>907</v>
      </c>
      <c r="FQ151">
        <v>565242524</v>
      </c>
      <c r="FR151" t="s">
        <v>496</v>
      </c>
      <c r="FS151" s="1">
        <v>45923.830833333333</v>
      </c>
      <c r="FV151" t="s">
        <v>134</v>
      </c>
      <c r="FW151" t="s">
        <v>135</v>
      </c>
      <c r="FX151" t="s">
        <v>136</v>
      </c>
      <c r="FZ151">
        <v>130</v>
      </c>
    </row>
    <row r="152" spans="1:182" x14ac:dyDescent="0.3">
      <c r="A152" s="1">
        <v>45925.435429710647</v>
      </c>
      <c r="B152" s="1">
        <v>45925.44876846065</v>
      </c>
      <c r="D152" t="s">
        <v>84</v>
      </c>
      <c r="E152" t="s">
        <v>3878</v>
      </c>
      <c r="F152" t="s">
        <v>1750</v>
      </c>
      <c r="G152" t="s">
        <v>176</v>
      </c>
      <c r="H152" t="s">
        <v>4122</v>
      </c>
      <c r="I152" t="s">
        <v>1751</v>
      </c>
      <c r="J152" t="s">
        <v>1752</v>
      </c>
      <c r="K152" t="s">
        <v>90</v>
      </c>
      <c r="L152" t="s">
        <v>1753</v>
      </c>
      <c r="M152" t="s">
        <v>1754</v>
      </c>
      <c r="N152" t="s">
        <v>1755</v>
      </c>
      <c r="O152">
        <v>-15.220716700000001</v>
      </c>
      <c r="P152">
        <v>22.998331700000001</v>
      </c>
      <c r="Q152">
        <v>1040.3</v>
      </c>
      <c r="R152">
        <v>4.6159999999999997</v>
      </c>
      <c r="S152" t="s">
        <v>84</v>
      </c>
      <c r="T152" t="s">
        <v>94</v>
      </c>
      <c r="U152">
        <v>9</v>
      </c>
      <c r="V152" t="s">
        <v>212</v>
      </c>
      <c r="W152" t="s">
        <v>213</v>
      </c>
      <c r="X152">
        <v>22</v>
      </c>
      <c r="Y152">
        <v>2</v>
      </c>
      <c r="Z152">
        <v>1</v>
      </c>
      <c r="AA152" t="s">
        <v>251</v>
      </c>
      <c r="AB152" t="s">
        <v>97</v>
      </c>
      <c r="AC152" t="s">
        <v>98</v>
      </c>
      <c r="AD152" t="s">
        <v>99</v>
      </c>
      <c r="AE152" t="s">
        <v>100</v>
      </c>
      <c r="AF152" t="s">
        <v>907</v>
      </c>
      <c r="AG152">
        <v>5000</v>
      </c>
      <c r="AH152" t="s">
        <v>101</v>
      </c>
      <c r="AI152" t="s">
        <v>907</v>
      </c>
      <c r="AJ152" s="5">
        <v>8000</v>
      </c>
      <c r="AK152" t="s">
        <v>148</v>
      </c>
      <c r="AL152" t="s">
        <v>907</v>
      </c>
      <c r="AM152" t="s">
        <v>1756</v>
      </c>
      <c r="AN152" t="s">
        <v>1757</v>
      </c>
      <c r="AO152" t="s">
        <v>1758</v>
      </c>
      <c r="AP152" t="s">
        <v>1759</v>
      </c>
      <c r="AQ152" t="s">
        <v>1760</v>
      </c>
      <c r="AR152" t="s">
        <v>84</v>
      </c>
      <c r="AS152">
        <v>0</v>
      </c>
      <c r="AT152">
        <v>0</v>
      </c>
      <c r="AU152">
        <v>0</v>
      </c>
      <c r="AV152">
        <v>0</v>
      </c>
      <c r="AW152">
        <v>0</v>
      </c>
      <c r="AX152">
        <v>0</v>
      </c>
      <c r="AY152">
        <v>0</v>
      </c>
      <c r="AZ152" t="s">
        <v>153</v>
      </c>
      <c r="BA152" t="s">
        <v>95</v>
      </c>
      <c r="BB152" t="s">
        <v>154</v>
      </c>
      <c r="BC152" t="s">
        <v>907</v>
      </c>
      <c r="BD152" t="s">
        <v>257</v>
      </c>
      <c r="BE152" t="s">
        <v>258</v>
      </c>
      <c r="BF152" t="s">
        <v>1761</v>
      </c>
      <c r="BG152" t="s">
        <v>109</v>
      </c>
      <c r="BH152">
        <v>97</v>
      </c>
      <c r="BL152">
        <v>48</v>
      </c>
      <c r="BN152">
        <v>3</v>
      </c>
      <c r="BP152">
        <v>9</v>
      </c>
      <c r="BR152">
        <v>12</v>
      </c>
      <c r="BT152">
        <v>8</v>
      </c>
      <c r="BV152">
        <v>0</v>
      </c>
      <c r="BX152">
        <v>17</v>
      </c>
      <c r="BY152" t="s">
        <v>189</v>
      </c>
      <c r="BZ152">
        <v>3</v>
      </c>
      <c r="CA152">
        <v>35</v>
      </c>
      <c r="CB152" t="s">
        <v>84</v>
      </c>
      <c r="CC152" t="s">
        <v>84</v>
      </c>
      <c r="CD152" t="s">
        <v>978</v>
      </c>
      <c r="CE152" t="s">
        <v>4251</v>
      </c>
      <c r="CF152" t="s">
        <v>1762</v>
      </c>
      <c r="CG152" t="s">
        <v>907</v>
      </c>
      <c r="CH152">
        <v>4</v>
      </c>
      <c r="CI152" t="s">
        <v>84</v>
      </c>
      <c r="CJ152" t="s">
        <v>586</v>
      </c>
      <c r="CK152" t="s">
        <v>1005</v>
      </c>
      <c r="CL152" t="s">
        <v>1212</v>
      </c>
      <c r="CM152" t="s">
        <v>162</v>
      </c>
      <c r="CN152" t="s">
        <v>3874</v>
      </c>
      <c r="CO152" t="s">
        <v>95</v>
      </c>
      <c r="CP152" t="s">
        <v>907</v>
      </c>
      <c r="CQ152" t="s">
        <v>116</v>
      </c>
      <c r="CR152" t="s">
        <v>95</v>
      </c>
      <c r="CS152" t="s">
        <v>907</v>
      </c>
      <c r="CT152" t="s">
        <v>907</v>
      </c>
      <c r="CU152" t="s">
        <v>907</v>
      </c>
      <c r="CV152" t="s">
        <v>119</v>
      </c>
      <c r="CW152" t="s">
        <v>1185</v>
      </c>
      <c r="CX152" t="s">
        <v>166</v>
      </c>
      <c r="CY152" t="s">
        <v>634</v>
      </c>
      <c r="CZ152" t="s">
        <v>1763</v>
      </c>
      <c r="DA152">
        <v>8</v>
      </c>
      <c r="DB152" s="10">
        <v>72000</v>
      </c>
      <c r="DC152" t="s">
        <v>169</v>
      </c>
      <c r="DD152" t="s">
        <v>907</v>
      </c>
      <c r="DE152">
        <v>3</v>
      </c>
      <c r="DF152">
        <v>11</v>
      </c>
      <c r="DG152" t="s">
        <v>84</v>
      </c>
      <c r="DH152" t="s">
        <v>95</v>
      </c>
      <c r="DI152" t="s">
        <v>907</v>
      </c>
      <c r="DJ152" t="s">
        <v>907</v>
      </c>
      <c r="DK152" t="s">
        <v>907</v>
      </c>
      <c r="DL152" t="s">
        <v>907</v>
      </c>
      <c r="DM152" t="s">
        <v>291</v>
      </c>
      <c r="DN152" t="s">
        <v>907</v>
      </c>
      <c r="DO152" t="s">
        <v>907</v>
      </c>
      <c r="DP152">
        <v>1</v>
      </c>
      <c r="DQ152" t="s">
        <v>441</v>
      </c>
      <c r="DR152" t="s">
        <v>907</v>
      </c>
      <c r="DS152" t="s">
        <v>1204</v>
      </c>
      <c r="DT152" t="s">
        <v>1737</v>
      </c>
      <c r="DU152" t="s">
        <v>95</v>
      </c>
      <c r="DV152" t="s">
        <v>907</v>
      </c>
      <c r="DW152" t="s">
        <v>907</v>
      </c>
      <c r="DX152" t="s">
        <v>907</v>
      </c>
      <c r="FQ152">
        <v>566789914</v>
      </c>
      <c r="FR152" t="s">
        <v>1764</v>
      </c>
      <c r="FS152" s="1">
        <v>45925.665300925917</v>
      </c>
      <c r="FV152" t="s">
        <v>134</v>
      </c>
      <c r="FW152" t="s">
        <v>135</v>
      </c>
      <c r="FX152" t="s">
        <v>136</v>
      </c>
      <c r="FZ152">
        <v>271</v>
      </c>
    </row>
    <row r="153" spans="1:182" hidden="1" x14ac:dyDescent="0.3">
      <c r="A153" s="1">
        <v>45925.41704197917</v>
      </c>
      <c r="B153" s="1">
        <v>45925.436942650464</v>
      </c>
      <c r="D153" t="s">
        <v>84</v>
      </c>
      <c r="E153" t="s">
        <v>297</v>
      </c>
      <c r="F153" t="s">
        <v>2588</v>
      </c>
      <c r="G153" t="s">
        <v>176</v>
      </c>
      <c r="H153" t="s">
        <v>4122</v>
      </c>
      <c r="I153" t="s">
        <v>2589</v>
      </c>
      <c r="J153" t="s">
        <v>2590</v>
      </c>
      <c r="K153" t="s">
        <v>90</v>
      </c>
      <c r="L153" t="s">
        <v>2491</v>
      </c>
      <c r="M153" t="s">
        <v>1883</v>
      </c>
      <c r="N153" t="s">
        <v>2591</v>
      </c>
      <c r="O153">
        <v>-15.1974535</v>
      </c>
      <c r="P153">
        <v>22.973600600000001</v>
      </c>
      <c r="Q153">
        <v>1026.565795898438</v>
      </c>
      <c r="R153">
        <v>4.9950000000000001</v>
      </c>
      <c r="S153" t="s">
        <v>84</v>
      </c>
      <c r="T153" t="s">
        <v>94</v>
      </c>
      <c r="U153">
        <v>8</v>
      </c>
      <c r="V153" t="s">
        <v>95</v>
      </c>
      <c r="W153" t="s">
        <v>907</v>
      </c>
      <c r="X153">
        <v>25</v>
      </c>
      <c r="Y153">
        <v>5.5</v>
      </c>
      <c r="Z153">
        <v>5.5</v>
      </c>
      <c r="AA153" t="s">
        <v>96</v>
      </c>
      <c r="AB153" t="s">
        <v>351</v>
      </c>
      <c r="AC153" t="s">
        <v>98</v>
      </c>
      <c r="AD153" t="s">
        <v>280</v>
      </c>
      <c r="AE153" t="s">
        <v>304</v>
      </c>
      <c r="AF153" t="s">
        <v>907</v>
      </c>
      <c r="AG153">
        <v>500</v>
      </c>
      <c r="AH153" t="s">
        <v>101</v>
      </c>
      <c r="AI153" t="s">
        <v>907</v>
      </c>
      <c r="AJ153" s="5">
        <v>5700</v>
      </c>
      <c r="AK153" t="s">
        <v>102</v>
      </c>
      <c r="AL153" t="s">
        <v>907</v>
      </c>
      <c r="AM153" t="s">
        <v>4130</v>
      </c>
      <c r="AN153" t="s">
        <v>907</v>
      </c>
      <c r="AQ153" t="s">
        <v>466</v>
      </c>
      <c r="AR153" t="s">
        <v>95</v>
      </c>
      <c r="AS153">
        <v>0</v>
      </c>
      <c r="AT153">
        <v>0</v>
      </c>
      <c r="AU153">
        <v>0</v>
      </c>
      <c r="AV153">
        <v>0</v>
      </c>
      <c r="AW153">
        <v>0</v>
      </c>
      <c r="AX153">
        <v>0</v>
      </c>
      <c r="AY153">
        <v>0</v>
      </c>
      <c r="AZ153" t="s">
        <v>256</v>
      </c>
      <c r="BA153" t="s">
        <v>95</v>
      </c>
      <c r="BB153" t="s">
        <v>154</v>
      </c>
      <c r="BC153" t="s">
        <v>907</v>
      </c>
      <c r="BD153" t="s">
        <v>107</v>
      </c>
      <c r="BE153" t="s">
        <v>258</v>
      </c>
      <c r="BF153" t="s">
        <v>4009</v>
      </c>
      <c r="BG153" t="s">
        <v>156</v>
      </c>
      <c r="BH153">
        <v>47</v>
      </c>
      <c r="BL153">
        <v>25</v>
      </c>
      <c r="BN153">
        <v>3</v>
      </c>
      <c r="BP153">
        <v>6</v>
      </c>
      <c r="BR153">
        <v>2</v>
      </c>
      <c r="BT153">
        <v>3</v>
      </c>
      <c r="BV153">
        <v>3</v>
      </c>
      <c r="BX153">
        <v>5</v>
      </c>
      <c r="BY153" t="s">
        <v>189</v>
      </c>
      <c r="BZ153">
        <v>2</v>
      </c>
      <c r="CA153">
        <v>2</v>
      </c>
      <c r="CB153" t="s">
        <v>84</v>
      </c>
      <c r="CC153" t="s">
        <v>84</v>
      </c>
      <c r="CD153" t="s">
        <v>2461</v>
      </c>
      <c r="CE153" t="s">
        <v>4249</v>
      </c>
      <c r="CF153" t="s">
        <v>2024</v>
      </c>
      <c r="CG153" t="s">
        <v>907</v>
      </c>
      <c r="CH153">
        <v>4</v>
      </c>
      <c r="CI153" t="s">
        <v>84</v>
      </c>
      <c r="CJ153" t="s">
        <v>405</v>
      </c>
      <c r="CK153" t="s">
        <v>289</v>
      </c>
      <c r="CL153" t="s">
        <v>263</v>
      </c>
      <c r="CM153" t="s">
        <v>193</v>
      </c>
      <c r="CN153" t="s">
        <v>3874</v>
      </c>
      <c r="CO153" t="s">
        <v>95</v>
      </c>
      <c r="CP153" t="s">
        <v>907</v>
      </c>
      <c r="CQ153" t="s">
        <v>116</v>
      </c>
      <c r="CR153" t="s">
        <v>84</v>
      </c>
      <c r="CS153" t="s">
        <v>117</v>
      </c>
      <c r="CT153" t="s">
        <v>907</v>
      </c>
      <c r="CU153" t="s">
        <v>793</v>
      </c>
      <c r="CV153" t="s">
        <v>812</v>
      </c>
      <c r="CW153" t="s">
        <v>195</v>
      </c>
      <c r="CX153" t="s">
        <v>166</v>
      </c>
      <c r="CY153" t="s">
        <v>167</v>
      </c>
      <c r="CZ153" t="s">
        <v>2592</v>
      </c>
      <c r="DA153">
        <v>5</v>
      </c>
      <c r="DB153" s="10">
        <v>35000</v>
      </c>
      <c r="DC153" t="s">
        <v>169</v>
      </c>
      <c r="DD153" t="s">
        <v>907</v>
      </c>
      <c r="DE153">
        <v>2</v>
      </c>
      <c r="DF153">
        <v>15</v>
      </c>
      <c r="DG153" t="s">
        <v>95</v>
      </c>
      <c r="DH153" t="s">
        <v>95</v>
      </c>
      <c r="DI153" t="s">
        <v>907</v>
      </c>
      <c r="DJ153" t="s">
        <v>907</v>
      </c>
      <c r="DK153" t="s">
        <v>907</v>
      </c>
      <c r="DL153" t="s">
        <v>907</v>
      </c>
      <c r="DM153" t="s">
        <v>291</v>
      </c>
      <c r="DN153" t="s">
        <v>907</v>
      </c>
      <c r="DO153" t="s">
        <v>907</v>
      </c>
      <c r="DP153">
        <v>40</v>
      </c>
      <c r="DQ153" t="s">
        <v>441</v>
      </c>
      <c r="DR153" t="s">
        <v>907</v>
      </c>
      <c r="DS153" t="s">
        <v>2453</v>
      </c>
      <c r="DT153" t="s">
        <v>2593</v>
      </c>
      <c r="DU153" t="s">
        <v>95</v>
      </c>
      <c r="DV153" t="s">
        <v>907</v>
      </c>
      <c r="DW153" t="s">
        <v>907</v>
      </c>
      <c r="DX153" t="s">
        <v>907</v>
      </c>
      <c r="FQ153">
        <v>567124695</v>
      </c>
      <c r="FR153" t="s">
        <v>2594</v>
      </c>
      <c r="FS153" s="1">
        <v>45926.220196759263</v>
      </c>
      <c r="FV153" t="s">
        <v>134</v>
      </c>
      <c r="FW153" t="s">
        <v>135</v>
      </c>
      <c r="FX153" t="s">
        <v>136</v>
      </c>
      <c r="FZ153">
        <v>382</v>
      </c>
    </row>
    <row r="154" spans="1:182" hidden="1" x14ac:dyDescent="0.3">
      <c r="A154" s="1">
        <v>45925.437400891213</v>
      </c>
      <c r="B154" s="1">
        <v>45925.452807627313</v>
      </c>
      <c r="D154" t="s">
        <v>84</v>
      </c>
      <c r="E154" t="s">
        <v>297</v>
      </c>
      <c r="F154" t="s">
        <v>2477</v>
      </c>
      <c r="G154" t="s">
        <v>176</v>
      </c>
      <c r="H154" t="s">
        <v>4121</v>
      </c>
      <c r="I154" t="s">
        <v>2478</v>
      </c>
      <c r="J154" t="s">
        <v>2479</v>
      </c>
      <c r="K154" t="s">
        <v>90</v>
      </c>
      <c r="L154" t="s">
        <v>2480</v>
      </c>
      <c r="M154" t="s">
        <v>1871</v>
      </c>
      <c r="N154" t="s">
        <v>2481</v>
      </c>
      <c r="O154">
        <v>-15.1974283</v>
      </c>
      <c r="P154">
        <v>22.973683300000001</v>
      </c>
      <c r="Q154">
        <v>1066.5999999999999</v>
      </c>
      <c r="R154">
        <v>4.4329999999999998</v>
      </c>
      <c r="S154" t="s">
        <v>84</v>
      </c>
      <c r="T154" t="s">
        <v>94</v>
      </c>
      <c r="U154">
        <v>2</v>
      </c>
      <c r="V154" t="s">
        <v>95</v>
      </c>
      <c r="W154" t="s">
        <v>907</v>
      </c>
      <c r="X154">
        <v>3</v>
      </c>
      <c r="Y154">
        <v>1</v>
      </c>
      <c r="Z154">
        <v>0.3</v>
      </c>
      <c r="AA154" t="s">
        <v>96</v>
      </c>
      <c r="AB154" t="s">
        <v>97</v>
      </c>
      <c r="AC154" t="s">
        <v>98</v>
      </c>
      <c r="AD154" t="s">
        <v>280</v>
      </c>
      <c r="AE154" t="s">
        <v>101</v>
      </c>
      <c r="AF154" t="s">
        <v>907</v>
      </c>
      <c r="AG154">
        <v>120000</v>
      </c>
      <c r="AH154" t="s">
        <v>3873</v>
      </c>
      <c r="AI154" t="s">
        <v>907</v>
      </c>
      <c r="AJ154" t="s">
        <v>907</v>
      </c>
      <c r="AK154" t="s">
        <v>102</v>
      </c>
      <c r="AL154" t="s">
        <v>907</v>
      </c>
      <c r="AM154" t="s">
        <v>4130</v>
      </c>
      <c r="AN154" t="s">
        <v>907</v>
      </c>
      <c r="AQ154" t="s">
        <v>1094</v>
      </c>
      <c r="AR154" t="s">
        <v>84</v>
      </c>
      <c r="AS154">
        <v>0</v>
      </c>
      <c r="AT154">
        <v>0</v>
      </c>
      <c r="AU154">
        <v>0</v>
      </c>
      <c r="AV154">
        <v>0</v>
      </c>
      <c r="AW154">
        <v>0</v>
      </c>
      <c r="AX154">
        <v>0</v>
      </c>
      <c r="AY154">
        <v>0</v>
      </c>
      <c r="AZ154" t="s">
        <v>284</v>
      </c>
      <c r="BA154" t="s">
        <v>95</v>
      </c>
      <c r="BB154" t="s">
        <v>154</v>
      </c>
      <c r="BC154" t="s">
        <v>907</v>
      </c>
      <c r="BD154" t="s">
        <v>107</v>
      </c>
      <c r="BE154" t="s">
        <v>258</v>
      </c>
      <c r="BF154" t="s">
        <v>309</v>
      </c>
      <c r="BG154" t="s">
        <v>2033</v>
      </c>
      <c r="BH154">
        <v>55</v>
      </c>
      <c r="BL154">
        <v>29</v>
      </c>
      <c r="BN154">
        <v>1</v>
      </c>
      <c r="BP154">
        <v>3</v>
      </c>
      <c r="BR154">
        <v>4</v>
      </c>
      <c r="BT154">
        <v>3</v>
      </c>
      <c r="BV154">
        <v>8</v>
      </c>
      <c r="BX154">
        <v>7</v>
      </c>
      <c r="BY154" t="s">
        <v>189</v>
      </c>
      <c r="BZ154">
        <v>4</v>
      </c>
      <c r="CA154">
        <v>5</v>
      </c>
      <c r="CB154" t="s">
        <v>84</v>
      </c>
      <c r="CC154" t="s">
        <v>84</v>
      </c>
      <c r="CD154" t="s">
        <v>2461</v>
      </c>
      <c r="CE154" t="s">
        <v>4251</v>
      </c>
      <c r="CF154" t="s">
        <v>2482</v>
      </c>
      <c r="CG154" t="s">
        <v>907</v>
      </c>
      <c r="CH154">
        <v>4</v>
      </c>
      <c r="CI154" t="s">
        <v>84</v>
      </c>
      <c r="CJ154" t="s">
        <v>160</v>
      </c>
      <c r="CK154" t="s">
        <v>289</v>
      </c>
      <c r="CL154" t="s">
        <v>2483</v>
      </c>
      <c r="CM154" t="s">
        <v>193</v>
      </c>
      <c r="CN154" t="s">
        <v>421</v>
      </c>
      <c r="CO154" t="s">
        <v>95</v>
      </c>
      <c r="CP154" t="s">
        <v>907</v>
      </c>
      <c r="CQ154" t="s">
        <v>116</v>
      </c>
      <c r="CR154" t="s">
        <v>84</v>
      </c>
      <c r="CS154" t="s">
        <v>117</v>
      </c>
      <c r="CT154" t="s">
        <v>264</v>
      </c>
      <c r="CU154" t="s">
        <v>322</v>
      </c>
      <c r="CV154" t="s">
        <v>812</v>
      </c>
      <c r="CW154" t="s">
        <v>2484</v>
      </c>
      <c r="CX154" t="s">
        <v>166</v>
      </c>
      <c r="CY154" t="s">
        <v>167</v>
      </c>
      <c r="CZ154" t="s">
        <v>530</v>
      </c>
      <c r="DA154">
        <v>7</v>
      </c>
      <c r="DB154" s="10">
        <v>35000</v>
      </c>
      <c r="DC154" t="s">
        <v>169</v>
      </c>
      <c r="DD154" t="s">
        <v>907</v>
      </c>
      <c r="DE154">
        <v>2</v>
      </c>
      <c r="DF154">
        <v>17</v>
      </c>
      <c r="DG154" t="s">
        <v>95</v>
      </c>
      <c r="DH154" t="s">
        <v>95</v>
      </c>
      <c r="DI154" t="s">
        <v>907</v>
      </c>
      <c r="DJ154" t="s">
        <v>907</v>
      </c>
      <c r="DK154" t="s">
        <v>907</v>
      </c>
      <c r="DL154" t="s">
        <v>907</v>
      </c>
      <c r="DM154" t="s">
        <v>291</v>
      </c>
      <c r="DN154" t="s">
        <v>907</v>
      </c>
      <c r="DO154" t="s">
        <v>907</v>
      </c>
      <c r="DP154">
        <v>40</v>
      </c>
      <c r="DQ154" t="s">
        <v>441</v>
      </c>
      <c r="DR154" t="s">
        <v>907</v>
      </c>
      <c r="DS154" t="s">
        <v>2485</v>
      </c>
      <c r="DT154" t="s">
        <v>2486</v>
      </c>
      <c r="DU154" t="s">
        <v>95</v>
      </c>
      <c r="DV154" t="s">
        <v>907</v>
      </c>
      <c r="DW154" t="s">
        <v>907</v>
      </c>
      <c r="DX154" t="s">
        <v>907</v>
      </c>
      <c r="FQ154">
        <v>566956913</v>
      </c>
      <c r="FR154" t="s">
        <v>2487</v>
      </c>
      <c r="FS154" s="1">
        <v>45925.844710648147</v>
      </c>
      <c r="FV154" t="s">
        <v>134</v>
      </c>
      <c r="FW154" t="s">
        <v>135</v>
      </c>
      <c r="FX154" t="s">
        <v>136</v>
      </c>
      <c r="FZ154">
        <v>357</v>
      </c>
    </row>
    <row r="155" spans="1:182" hidden="1" x14ac:dyDescent="0.3">
      <c r="A155" s="1">
        <v>45925.41401226852</v>
      </c>
      <c r="B155" s="1">
        <v>45925.492744212963</v>
      </c>
      <c r="D155" t="s">
        <v>84</v>
      </c>
      <c r="E155" t="s">
        <v>771</v>
      </c>
      <c r="F155" t="s">
        <v>1867</v>
      </c>
      <c r="G155" t="s">
        <v>176</v>
      </c>
      <c r="H155" t="s">
        <v>4121</v>
      </c>
      <c r="I155" t="s">
        <v>1868</v>
      </c>
      <c r="J155" t="s">
        <v>1869</v>
      </c>
      <c r="K155" t="s">
        <v>90</v>
      </c>
      <c r="L155" t="s">
        <v>1870</v>
      </c>
      <c r="M155" t="s">
        <v>1871</v>
      </c>
      <c r="N155" t="s">
        <v>1872</v>
      </c>
      <c r="O155">
        <v>-15.1646353</v>
      </c>
      <c r="P155">
        <v>22.9977187</v>
      </c>
      <c r="Q155">
        <v>1038.0999999999999</v>
      </c>
      <c r="R155">
        <v>3.5569999999999999</v>
      </c>
      <c r="S155" t="s">
        <v>84</v>
      </c>
      <c r="T155" t="s">
        <v>182</v>
      </c>
      <c r="U155">
        <v>3</v>
      </c>
      <c r="V155" t="s">
        <v>95</v>
      </c>
      <c r="W155" t="s">
        <v>907</v>
      </c>
      <c r="X155">
        <v>11</v>
      </c>
      <c r="Y155">
        <v>4</v>
      </c>
      <c r="Z155">
        <v>4</v>
      </c>
      <c r="AA155" t="s">
        <v>96</v>
      </c>
      <c r="AB155" t="s">
        <v>351</v>
      </c>
      <c r="AC155" t="s">
        <v>98</v>
      </c>
      <c r="AD155" t="s">
        <v>280</v>
      </c>
      <c r="AE155" t="s">
        <v>100</v>
      </c>
      <c r="AF155" t="s">
        <v>907</v>
      </c>
      <c r="AG155">
        <v>291</v>
      </c>
      <c r="AH155" t="s">
        <v>304</v>
      </c>
      <c r="AI155" t="s">
        <v>907</v>
      </c>
      <c r="AJ155" s="5">
        <v>0</v>
      </c>
      <c r="AK155" t="s">
        <v>102</v>
      </c>
      <c r="AL155" t="s">
        <v>907</v>
      </c>
      <c r="AM155" t="s">
        <v>185</v>
      </c>
      <c r="AN155" t="s">
        <v>907</v>
      </c>
      <c r="AO155" t="s">
        <v>267</v>
      </c>
      <c r="AP155" t="s">
        <v>1873</v>
      </c>
      <c r="AQ155" t="s">
        <v>466</v>
      </c>
      <c r="AR155" t="s">
        <v>95</v>
      </c>
      <c r="AS155">
        <v>0</v>
      </c>
      <c r="AT155">
        <v>0</v>
      </c>
      <c r="AU155">
        <v>0</v>
      </c>
      <c r="AV155">
        <v>0</v>
      </c>
      <c r="AW155">
        <v>8</v>
      </c>
      <c r="AX155">
        <v>0</v>
      </c>
      <c r="AY155">
        <v>0</v>
      </c>
      <c r="AZ155" t="s">
        <v>929</v>
      </c>
      <c r="BA155" t="s">
        <v>95</v>
      </c>
      <c r="BB155" t="s">
        <v>154</v>
      </c>
      <c r="BC155" t="s">
        <v>907</v>
      </c>
      <c r="BD155" t="s">
        <v>257</v>
      </c>
      <c r="BE155" t="s">
        <v>258</v>
      </c>
      <c r="BF155" t="s">
        <v>3963</v>
      </c>
      <c r="BG155" t="s">
        <v>156</v>
      </c>
      <c r="BH155">
        <v>36</v>
      </c>
      <c r="BL155">
        <v>15</v>
      </c>
      <c r="BN155">
        <v>2</v>
      </c>
      <c r="BP155">
        <v>5</v>
      </c>
      <c r="BR155">
        <v>5</v>
      </c>
      <c r="BT155">
        <v>2</v>
      </c>
      <c r="BV155">
        <v>0</v>
      </c>
      <c r="BX155">
        <v>7</v>
      </c>
      <c r="BY155" t="s">
        <v>189</v>
      </c>
      <c r="BZ155">
        <v>4</v>
      </c>
      <c r="CA155">
        <v>1</v>
      </c>
      <c r="CB155" t="s">
        <v>84</v>
      </c>
      <c r="CC155" t="s">
        <v>84</v>
      </c>
      <c r="CD155" t="s">
        <v>365</v>
      </c>
      <c r="CE155" t="s">
        <v>4252</v>
      </c>
      <c r="CF155" t="s">
        <v>1874</v>
      </c>
      <c r="CG155" t="s">
        <v>907</v>
      </c>
      <c r="CH155">
        <v>4</v>
      </c>
      <c r="CI155" t="s">
        <v>84</v>
      </c>
      <c r="CJ155" t="s">
        <v>586</v>
      </c>
      <c r="CK155" t="s">
        <v>289</v>
      </c>
      <c r="CL155" t="s">
        <v>456</v>
      </c>
      <c r="CM155" t="s">
        <v>193</v>
      </c>
      <c r="CN155" t="s">
        <v>3874</v>
      </c>
      <c r="CO155" t="s">
        <v>95</v>
      </c>
      <c r="CP155" t="s">
        <v>907</v>
      </c>
      <c r="CQ155" t="s">
        <v>116</v>
      </c>
      <c r="CR155" t="s">
        <v>84</v>
      </c>
      <c r="CS155" t="s">
        <v>117</v>
      </c>
      <c r="CT155" t="s">
        <v>163</v>
      </c>
      <c r="CU155" t="s">
        <v>438</v>
      </c>
      <c r="CV155" t="s">
        <v>812</v>
      </c>
      <c r="CW155" t="s">
        <v>780</v>
      </c>
      <c r="CX155" t="s">
        <v>166</v>
      </c>
      <c r="CY155" t="s">
        <v>167</v>
      </c>
      <c r="CZ155" t="s">
        <v>495</v>
      </c>
      <c r="DA155">
        <v>1</v>
      </c>
      <c r="DB155" s="10">
        <v>4000</v>
      </c>
      <c r="DC155" t="s">
        <v>169</v>
      </c>
      <c r="DD155" t="s">
        <v>907</v>
      </c>
      <c r="DE155">
        <v>1</v>
      </c>
      <c r="DF155">
        <v>21</v>
      </c>
      <c r="DG155" t="s">
        <v>95</v>
      </c>
      <c r="DH155" t="s">
        <v>95</v>
      </c>
      <c r="DI155" t="s">
        <v>907</v>
      </c>
      <c r="DJ155" t="s">
        <v>907</v>
      </c>
      <c r="DK155" t="s">
        <v>907</v>
      </c>
      <c r="DL155" t="s">
        <v>907</v>
      </c>
      <c r="DM155" t="s">
        <v>291</v>
      </c>
      <c r="DN155" t="s">
        <v>907</v>
      </c>
      <c r="DO155" t="s">
        <v>907</v>
      </c>
      <c r="DP155">
        <v>2</v>
      </c>
      <c r="DQ155" t="s">
        <v>128</v>
      </c>
      <c r="DR155" t="s">
        <v>907</v>
      </c>
      <c r="DS155" t="s">
        <v>996</v>
      </c>
      <c r="DT155" t="s">
        <v>1875</v>
      </c>
      <c r="DU155" t="s">
        <v>84</v>
      </c>
      <c r="DV155" t="s">
        <v>294</v>
      </c>
      <c r="DW155" t="s">
        <v>1876</v>
      </c>
      <c r="DX155" t="s">
        <v>95</v>
      </c>
      <c r="FQ155">
        <v>566859515</v>
      </c>
      <c r="FR155" t="s">
        <v>1877</v>
      </c>
      <c r="FS155" s="1">
        <v>45925.726863425924</v>
      </c>
      <c r="FV155" t="s">
        <v>134</v>
      </c>
      <c r="FW155" t="s">
        <v>135</v>
      </c>
      <c r="FX155" t="s">
        <v>136</v>
      </c>
      <c r="FZ155">
        <v>285</v>
      </c>
    </row>
    <row r="156" spans="1:182" x14ac:dyDescent="0.3">
      <c r="A156" s="1">
        <v>45924.514722627318</v>
      </c>
      <c r="B156" s="1">
        <v>45924.537404629627</v>
      </c>
      <c r="D156" t="s">
        <v>84</v>
      </c>
      <c r="E156" t="s">
        <v>297</v>
      </c>
      <c r="F156" t="s">
        <v>1461</v>
      </c>
      <c r="G156" t="s">
        <v>176</v>
      </c>
      <c r="H156" t="s">
        <v>4122</v>
      </c>
      <c r="I156" t="s">
        <v>1462</v>
      </c>
      <c r="J156" t="s">
        <v>1463</v>
      </c>
      <c r="K156" t="s">
        <v>90</v>
      </c>
      <c r="L156" t="s">
        <v>1464</v>
      </c>
      <c r="M156" t="s">
        <v>277</v>
      </c>
      <c r="N156" t="s">
        <v>1465</v>
      </c>
      <c r="O156">
        <v>-15.3278067</v>
      </c>
      <c r="P156">
        <v>23.040050000000001</v>
      </c>
      <c r="Q156">
        <v>1040.5</v>
      </c>
      <c r="R156">
        <v>4.6500000000000004</v>
      </c>
      <c r="S156" t="s">
        <v>84</v>
      </c>
      <c r="T156" t="s">
        <v>94</v>
      </c>
      <c r="U156">
        <v>9</v>
      </c>
      <c r="V156" t="s">
        <v>212</v>
      </c>
      <c r="W156" t="s">
        <v>1466</v>
      </c>
      <c r="X156">
        <v>6</v>
      </c>
      <c r="Y156">
        <v>3</v>
      </c>
      <c r="Z156">
        <v>3</v>
      </c>
      <c r="AA156" t="s">
        <v>96</v>
      </c>
      <c r="AB156" t="s">
        <v>97</v>
      </c>
      <c r="AC156" t="s">
        <v>98</v>
      </c>
      <c r="AD156" t="s">
        <v>280</v>
      </c>
      <c r="AE156" t="s">
        <v>100</v>
      </c>
      <c r="AF156" t="s">
        <v>907</v>
      </c>
      <c r="AG156">
        <v>9200</v>
      </c>
      <c r="AH156" t="s">
        <v>3873</v>
      </c>
      <c r="AI156" t="s">
        <v>907</v>
      </c>
      <c r="AJ156" t="s">
        <v>907</v>
      </c>
      <c r="AK156" t="s">
        <v>102</v>
      </c>
      <c r="AL156" t="s">
        <v>907</v>
      </c>
      <c r="AM156" t="s">
        <v>466</v>
      </c>
      <c r="AN156" t="s">
        <v>907</v>
      </c>
      <c r="AO156" t="s">
        <v>1467</v>
      </c>
      <c r="AP156" t="s">
        <v>1468</v>
      </c>
      <c r="AQ156" t="s">
        <v>466</v>
      </c>
      <c r="AR156" t="s">
        <v>95</v>
      </c>
      <c r="AS156">
        <v>12</v>
      </c>
      <c r="AT156">
        <v>0</v>
      </c>
      <c r="AU156">
        <v>0</v>
      </c>
      <c r="AV156">
        <v>23</v>
      </c>
      <c r="AW156">
        <v>0</v>
      </c>
      <c r="AX156">
        <v>0</v>
      </c>
      <c r="AY156">
        <v>0</v>
      </c>
      <c r="AZ156" t="s">
        <v>284</v>
      </c>
      <c r="BA156" t="s">
        <v>95</v>
      </c>
      <c r="BB156" t="s">
        <v>154</v>
      </c>
      <c r="BC156" t="s">
        <v>907</v>
      </c>
      <c r="BD156" t="s">
        <v>107</v>
      </c>
      <c r="BE156" t="s">
        <v>810</v>
      </c>
      <c r="BF156" t="s">
        <v>3936</v>
      </c>
      <c r="BG156" t="s">
        <v>235</v>
      </c>
      <c r="BH156">
        <v>38</v>
      </c>
      <c r="BL156">
        <v>9</v>
      </c>
      <c r="BN156">
        <v>2</v>
      </c>
      <c r="BP156">
        <v>7</v>
      </c>
      <c r="BR156">
        <v>0</v>
      </c>
      <c r="BT156">
        <v>7</v>
      </c>
      <c r="BV156">
        <v>3</v>
      </c>
      <c r="BX156">
        <v>10</v>
      </c>
      <c r="BY156" t="s">
        <v>189</v>
      </c>
      <c r="BZ156">
        <v>1</v>
      </c>
      <c r="CA156">
        <v>7</v>
      </c>
      <c r="CB156" t="s">
        <v>84</v>
      </c>
      <c r="CC156" t="s">
        <v>84</v>
      </c>
      <c r="CD156" t="s">
        <v>334</v>
      </c>
      <c r="CE156" t="s">
        <v>4251</v>
      </c>
      <c r="CF156" t="s">
        <v>1469</v>
      </c>
      <c r="CG156" t="s">
        <v>907</v>
      </c>
      <c r="CH156">
        <v>4</v>
      </c>
      <c r="CI156" t="s">
        <v>95</v>
      </c>
      <c r="CJ156" t="s">
        <v>907</v>
      </c>
      <c r="CK156" t="s">
        <v>289</v>
      </c>
      <c r="CL156" t="s">
        <v>1470</v>
      </c>
      <c r="CM156" t="s">
        <v>547</v>
      </c>
      <c r="CN156" t="s">
        <v>194</v>
      </c>
      <c r="CO156" t="s">
        <v>95</v>
      </c>
      <c r="CP156" t="s">
        <v>907</v>
      </c>
      <c r="CQ156" t="s">
        <v>116</v>
      </c>
      <c r="CR156" t="s">
        <v>84</v>
      </c>
      <c r="CS156" t="s">
        <v>117</v>
      </c>
      <c r="CT156" t="s">
        <v>907</v>
      </c>
      <c r="CU156" t="s">
        <v>322</v>
      </c>
      <c r="CV156" t="s">
        <v>812</v>
      </c>
      <c r="CW156" t="s">
        <v>1471</v>
      </c>
      <c r="CX156" t="s">
        <v>166</v>
      </c>
      <c r="CY156" t="s">
        <v>167</v>
      </c>
      <c r="CZ156" t="s">
        <v>1472</v>
      </c>
      <c r="DA156">
        <v>4</v>
      </c>
      <c r="DB156" s="10">
        <v>43000</v>
      </c>
      <c r="DC156" t="s">
        <v>123</v>
      </c>
      <c r="DD156" t="s">
        <v>1473</v>
      </c>
      <c r="DE156">
        <v>1</v>
      </c>
      <c r="DF156">
        <v>55</v>
      </c>
      <c r="DG156" t="s">
        <v>95</v>
      </c>
      <c r="DH156" t="s">
        <v>95</v>
      </c>
      <c r="DI156" t="s">
        <v>907</v>
      </c>
      <c r="DJ156" t="s">
        <v>907</v>
      </c>
      <c r="DK156" t="s">
        <v>907</v>
      </c>
      <c r="DL156" t="s">
        <v>907</v>
      </c>
      <c r="DM156" t="s">
        <v>291</v>
      </c>
      <c r="DN156" t="s">
        <v>907</v>
      </c>
      <c r="DO156" t="s">
        <v>907</v>
      </c>
      <c r="DP156">
        <v>20</v>
      </c>
      <c r="DQ156" t="s">
        <v>441</v>
      </c>
      <c r="DR156" t="s">
        <v>907</v>
      </c>
      <c r="DS156" t="s">
        <v>1474</v>
      </c>
      <c r="DT156" t="s">
        <v>173</v>
      </c>
      <c r="DU156" t="s">
        <v>95</v>
      </c>
      <c r="DV156" t="s">
        <v>907</v>
      </c>
      <c r="DW156" t="s">
        <v>907</v>
      </c>
      <c r="DX156" t="s">
        <v>907</v>
      </c>
      <c r="FQ156">
        <v>566102254</v>
      </c>
      <c r="FR156" t="s">
        <v>1475</v>
      </c>
      <c r="FS156" s="1">
        <v>45924.854097222233</v>
      </c>
      <c r="FV156" t="s">
        <v>134</v>
      </c>
      <c r="FW156" t="s">
        <v>135</v>
      </c>
      <c r="FX156" t="s">
        <v>136</v>
      </c>
      <c r="FZ156">
        <v>244</v>
      </c>
    </row>
    <row r="157" spans="1:182" x14ac:dyDescent="0.3">
      <c r="A157" s="1">
        <v>45926.395131562502</v>
      </c>
      <c r="B157" s="1">
        <v>45926.449356168981</v>
      </c>
      <c r="D157" t="s">
        <v>84</v>
      </c>
      <c r="E157" t="s">
        <v>1226</v>
      </c>
      <c r="F157" t="s">
        <v>3002</v>
      </c>
      <c r="G157" t="s">
        <v>176</v>
      </c>
      <c r="H157" t="s">
        <v>4122</v>
      </c>
      <c r="I157" t="s">
        <v>3003</v>
      </c>
      <c r="J157" t="s">
        <v>3004</v>
      </c>
      <c r="K157" t="s">
        <v>90</v>
      </c>
      <c r="L157" t="s">
        <v>3005</v>
      </c>
      <c r="M157" t="s">
        <v>2965</v>
      </c>
      <c r="N157" t="s">
        <v>3006</v>
      </c>
      <c r="O157">
        <v>-15.2476533</v>
      </c>
      <c r="P157">
        <v>22.961553299999999</v>
      </c>
      <c r="Q157">
        <v>1018.5</v>
      </c>
      <c r="R157">
        <v>4.88</v>
      </c>
      <c r="S157" t="s">
        <v>95</v>
      </c>
      <c r="T157" t="s">
        <v>907</v>
      </c>
      <c r="U157" t="s">
        <v>907</v>
      </c>
      <c r="V157" t="s">
        <v>95</v>
      </c>
      <c r="W157" t="s">
        <v>907</v>
      </c>
      <c r="X157">
        <v>6</v>
      </c>
      <c r="Y157">
        <v>160</v>
      </c>
      <c r="Z157">
        <v>1</v>
      </c>
      <c r="AA157" t="s">
        <v>251</v>
      </c>
      <c r="AB157" t="s">
        <v>351</v>
      </c>
      <c r="AC157" t="s">
        <v>144</v>
      </c>
      <c r="AD157" t="s">
        <v>252</v>
      </c>
      <c r="AE157" t="s">
        <v>101</v>
      </c>
      <c r="AF157" t="s">
        <v>907</v>
      </c>
      <c r="AG157">
        <v>3000</v>
      </c>
      <c r="AH157" t="s">
        <v>304</v>
      </c>
      <c r="AI157" t="s">
        <v>907</v>
      </c>
      <c r="AJ157" s="5">
        <v>5000</v>
      </c>
      <c r="AK157" t="s">
        <v>102</v>
      </c>
      <c r="AL157" t="s">
        <v>907</v>
      </c>
      <c r="AM157" t="s">
        <v>4130</v>
      </c>
      <c r="AN157" t="s">
        <v>907</v>
      </c>
      <c r="AQ157" t="s">
        <v>956</v>
      </c>
      <c r="AR157" t="s">
        <v>95</v>
      </c>
      <c r="AS157">
        <v>0</v>
      </c>
      <c r="AT157">
        <v>0</v>
      </c>
      <c r="AU157">
        <v>0</v>
      </c>
      <c r="AV157">
        <v>0</v>
      </c>
      <c r="AW157">
        <v>0</v>
      </c>
      <c r="AX157">
        <v>0</v>
      </c>
      <c r="AY157">
        <v>0</v>
      </c>
      <c r="AZ157" t="s">
        <v>284</v>
      </c>
      <c r="BA157" t="s">
        <v>452</v>
      </c>
      <c r="BB157" t="s">
        <v>154</v>
      </c>
      <c r="BC157" t="s">
        <v>907</v>
      </c>
      <c r="BD157" t="s">
        <v>107</v>
      </c>
      <c r="BE157" t="s">
        <v>810</v>
      </c>
      <c r="BF157" t="s">
        <v>3937</v>
      </c>
      <c r="BG157" t="s">
        <v>156</v>
      </c>
      <c r="BH157">
        <v>42</v>
      </c>
      <c r="BL157">
        <v>11</v>
      </c>
      <c r="BN157">
        <v>2</v>
      </c>
      <c r="BP157">
        <v>2</v>
      </c>
      <c r="BR157">
        <v>3</v>
      </c>
      <c r="BT157">
        <v>5</v>
      </c>
      <c r="BV157">
        <v>8</v>
      </c>
      <c r="BX157">
        <v>11</v>
      </c>
      <c r="BY157" t="s">
        <v>189</v>
      </c>
      <c r="BZ157">
        <v>2</v>
      </c>
      <c r="CA157">
        <v>32</v>
      </c>
      <c r="CB157" t="s">
        <v>84</v>
      </c>
      <c r="CC157" t="s">
        <v>84</v>
      </c>
      <c r="CD157" t="s">
        <v>778</v>
      </c>
      <c r="CE157" t="s">
        <v>4251</v>
      </c>
      <c r="CF157" t="s">
        <v>3007</v>
      </c>
      <c r="CG157" t="s">
        <v>907</v>
      </c>
      <c r="CH157">
        <v>4</v>
      </c>
      <c r="CI157" t="s">
        <v>84</v>
      </c>
      <c r="CJ157" t="s">
        <v>262</v>
      </c>
      <c r="CK157" t="s">
        <v>289</v>
      </c>
      <c r="CL157" t="s">
        <v>367</v>
      </c>
      <c r="CM157" t="s">
        <v>193</v>
      </c>
      <c r="CN157" t="s">
        <v>421</v>
      </c>
      <c r="CO157" t="s">
        <v>95</v>
      </c>
      <c r="CP157" t="s">
        <v>907</v>
      </c>
      <c r="CQ157" t="s">
        <v>116</v>
      </c>
      <c r="CR157" t="s">
        <v>84</v>
      </c>
      <c r="CS157" t="s">
        <v>117</v>
      </c>
      <c r="CT157" t="s">
        <v>907</v>
      </c>
      <c r="CU157" t="s">
        <v>438</v>
      </c>
      <c r="CV157" t="s">
        <v>812</v>
      </c>
      <c r="CW157" t="s">
        <v>907</v>
      </c>
      <c r="CX157" t="s">
        <v>166</v>
      </c>
      <c r="CY157" t="s">
        <v>167</v>
      </c>
      <c r="CZ157" t="s">
        <v>2464</v>
      </c>
      <c r="DA157">
        <v>6</v>
      </c>
      <c r="DB157" s="10">
        <v>60000</v>
      </c>
      <c r="DC157" t="s">
        <v>169</v>
      </c>
      <c r="DD157" t="s">
        <v>907</v>
      </c>
      <c r="DE157">
        <v>4</v>
      </c>
      <c r="DF157">
        <v>20</v>
      </c>
      <c r="DG157" t="s">
        <v>95</v>
      </c>
      <c r="DH157" t="s">
        <v>95</v>
      </c>
      <c r="DI157" t="s">
        <v>907</v>
      </c>
      <c r="DJ157" t="s">
        <v>907</v>
      </c>
      <c r="DK157" t="s">
        <v>907</v>
      </c>
      <c r="DL157" t="s">
        <v>907</v>
      </c>
      <c r="DM157" t="s">
        <v>291</v>
      </c>
      <c r="DN157" t="s">
        <v>907</v>
      </c>
      <c r="DO157" t="s">
        <v>907</v>
      </c>
      <c r="DP157">
        <v>2</v>
      </c>
      <c r="DQ157" t="s">
        <v>441</v>
      </c>
      <c r="DR157" t="s">
        <v>907</v>
      </c>
      <c r="DS157" t="s">
        <v>2972</v>
      </c>
      <c r="DT157" t="s">
        <v>3008</v>
      </c>
      <c r="DU157" t="s">
        <v>84</v>
      </c>
      <c r="DV157" t="s">
        <v>2118</v>
      </c>
      <c r="DW157" t="s">
        <v>3009</v>
      </c>
      <c r="DX157" t="s">
        <v>95</v>
      </c>
      <c r="FQ157">
        <v>567708595</v>
      </c>
      <c r="FR157" t="s">
        <v>3010</v>
      </c>
      <c r="FS157" s="1">
        <v>45926.814722222232</v>
      </c>
      <c r="FV157" t="s">
        <v>134</v>
      </c>
      <c r="FW157" t="s">
        <v>135</v>
      </c>
      <c r="FX157" t="s">
        <v>136</v>
      </c>
      <c r="FZ157">
        <v>426</v>
      </c>
    </row>
    <row r="158" spans="1:182" x14ac:dyDescent="0.3">
      <c r="A158" s="1">
        <v>45925.374331550927</v>
      </c>
      <c r="B158" s="1">
        <v>45925.414512210649</v>
      </c>
      <c r="D158" t="s">
        <v>84</v>
      </c>
      <c r="E158" t="s">
        <v>1226</v>
      </c>
      <c r="F158" t="s">
        <v>2216</v>
      </c>
      <c r="G158" t="s">
        <v>176</v>
      </c>
      <c r="H158" t="s">
        <v>4122</v>
      </c>
      <c r="I158" t="s">
        <v>2217</v>
      </c>
      <c r="J158" t="s">
        <v>2218</v>
      </c>
      <c r="K158" t="s">
        <v>90</v>
      </c>
      <c r="L158" t="s">
        <v>2096</v>
      </c>
      <c r="M158" t="s">
        <v>2097</v>
      </c>
      <c r="N158" t="s">
        <v>2219</v>
      </c>
      <c r="O158">
        <v>-15.233565</v>
      </c>
      <c r="P158">
        <v>22.991914999999999</v>
      </c>
      <c r="Q158">
        <v>1076.9000000000001</v>
      </c>
      <c r="R158">
        <v>3.16</v>
      </c>
      <c r="S158" t="s">
        <v>84</v>
      </c>
      <c r="T158" t="s">
        <v>94</v>
      </c>
      <c r="U158">
        <v>7</v>
      </c>
      <c r="V158" t="s">
        <v>212</v>
      </c>
      <c r="W158" t="s">
        <v>2220</v>
      </c>
      <c r="X158">
        <v>20</v>
      </c>
      <c r="Y158">
        <v>300</v>
      </c>
      <c r="Z158">
        <v>1.5</v>
      </c>
      <c r="AA158" t="s">
        <v>251</v>
      </c>
      <c r="AB158" t="s">
        <v>351</v>
      </c>
      <c r="AC158" t="s">
        <v>98</v>
      </c>
      <c r="AD158" t="s">
        <v>252</v>
      </c>
      <c r="AE158" t="s">
        <v>304</v>
      </c>
      <c r="AF158" t="s">
        <v>907</v>
      </c>
      <c r="AG158" s="3">
        <v>3000</v>
      </c>
      <c r="AH158" t="s">
        <v>966</v>
      </c>
      <c r="AI158" t="s">
        <v>907</v>
      </c>
      <c r="AJ158" s="5">
        <v>3000</v>
      </c>
      <c r="AK158" t="s">
        <v>102</v>
      </c>
      <c r="AL158" t="s">
        <v>907</v>
      </c>
      <c r="AM158" t="s">
        <v>466</v>
      </c>
      <c r="AN158" t="s">
        <v>907</v>
      </c>
      <c r="AO158" t="s">
        <v>2142</v>
      </c>
      <c r="AP158" t="s">
        <v>2221</v>
      </c>
      <c r="AQ158" t="s">
        <v>466</v>
      </c>
      <c r="AR158" t="s">
        <v>95</v>
      </c>
      <c r="AS158">
        <v>7</v>
      </c>
      <c r="AT158">
        <v>0</v>
      </c>
      <c r="AU158">
        <v>0</v>
      </c>
      <c r="AV158">
        <v>0</v>
      </c>
      <c r="AW158">
        <v>0</v>
      </c>
      <c r="AX158">
        <v>0</v>
      </c>
      <c r="AY158">
        <v>0</v>
      </c>
      <c r="AZ158" t="s">
        <v>284</v>
      </c>
      <c r="BA158" t="s">
        <v>452</v>
      </c>
      <c r="BB158" t="s">
        <v>154</v>
      </c>
      <c r="BC158" t="s">
        <v>907</v>
      </c>
      <c r="BD158" t="s">
        <v>107</v>
      </c>
      <c r="BE158" t="s">
        <v>2102</v>
      </c>
      <c r="BF158" t="s">
        <v>2222</v>
      </c>
      <c r="BG158" t="s">
        <v>156</v>
      </c>
      <c r="BH158">
        <v>80</v>
      </c>
      <c r="BL158">
        <v>38</v>
      </c>
      <c r="BN158">
        <v>3</v>
      </c>
      <c r="BP158">
        <v>4</v>
      </c>
      <c r="BR158">
        <v>4</v>
      </c>
      <c r="BT158">
        <v>6</v>
      </c>
      <c r="BV158">
        <v>1</v>
      </c>
      <c r="BX158">
        <v>24</v>
      </c>
      <c r="BY158" t="s">
        <v>189</v>
      </c>
      <c r="BZ158">
        <v>3</v>
      </c>
      <c r="CA158">
        <v>10</v>
      </c>
      <c r="CB158" t="s">
        <v>84</v>
      </c>
      <c r="CC158" t="s">
        <v>84</v>
      </c>
      <c r="CD158" t="s">
        <v>334</v>
      </c>
      <c r="CE158" t="s">
        <v>4250</v>
      </c>
      <c r="CF158" t="s">
        <v>3981</v>
      </c>
      <c r="CG158" t="s">
        <v>907</v>
      </c>
      <c r="CH158">
        <v>4</v>
      </c>
      <c r="CI158" t="s">
        <v>84</v>
      </c>
      <c r="CJ158" t="s">
        <v>262</v>
      </c>
      <c r="CK158" t="s">
        <v>289</v>
      </c>
      <c r="CL158" t="s">
        <v>367</v>
      </c>
      <c r="CM158" t="s">
        <v>193</v>
      </c>
      <c r="CN158" t="s">
        <v>421</v>
      </c>
      <c r="CO158" t="s">
        <v>95</v>
      </c>
      <c r="CP158" t="s">
        <v>907</v>
      </c>
      <c r="CQ158" t="s">
        <v>116</v>
      </c>
      <c r="CR158" t="s">
        <v>95</v>
      </c>
      <c r="CS158" t="s">
        <v>907</v>
      </c>
      <c r="CT158" t="s">
        <v>907</v>
      </c>
      <c r="CU158" t="s">
        <v>907</v>
      </c>
      <c r="CV158" t="s">
        <v>812</v>
      </c>
      <c r="CW158" t="s">
        <v>495</v>
      </c>
      <c r="CX158" t="s">
        <v>166</v>
      </c>
      <c r="CY158" t="s">
        <v>167</v>
      </c>
      <c r="CZ158" t="s">
        <v>2223</v>
      </c>
      <c r="DA158">
        <v>15</v>
      </c>
      <c r="DB158" s="10">
        <v>90000</v>
      </c>
      <c r="DC158" t="s">
        <v>169</v>
      </c>
      <c r="DD158" t="s">
        <v>907</v>
      </c>
      <c r="DE158">
        <v>3</v>
      </c>
      <c r="DF158">
        <v>14</v>
      </c>
      <c r="DG158" t="s">
        <v>95</v>
      </c>
      <c r="DH158" t="s">
        <v>95</v>
      </c>
      <c r="DI158" t="s">
        <v>907</v>
      </c>
      <c r="DJ158" t="s">
        <v>907</v>
      </c>
      <c r="DK158" t="s">
        <v>907</v>
      </c>
      <c r="DL158" t="s">
        <v>907</v>
      </c>
      <c r="DM158" t="s">
        <v>291</v>
      </c>
      <c r="DN158" t="s">
        <v>907</v>
      </c>
      <c r="DO158" t="s">
        <v>907</v>
      </c>
      <c r="DP158">
        <v>0.5</v>
      </c>
      <c r="DQ158" t="s">
        <v>441</v>
      </c>
      <c r="DR158" t="s">
        <v>907</v>
      </c>
      <c r="DS158" t="s">
        <v>1677</v>
      </c>
      <c r="DT158" t="s">
        <v>1408</v>
      </c>
      <c r="DU158" t="s">
        <v>84</v>
      </c>
      <c r="DV158" t="s">
        <v>2104</v>
      </c>
      <c r="DW158" t="s">
        <v>2105</v>
      </c>
      <c r="DX158" t="s">
        <v>95</v>
      </c>
      <c r="FQ158">
        <v>566875302</v>
      </c>
      <c r="FR158" t="s">
        <v>2224</v>
      </c>
      <c r="FS158" s="1">
        <v>45925.743726851862</v>
      </c>
      <c r="FV158" t="s">
        <v>134</v>
      </c>
      <c r="FW158" t="s">
        <v>135</v>
      </c>
      <c r="FX158" t="s">
        <v>136</v>
      </c>
      <c r="FZ158">
        <v>315</v>
      </c>
    </row>
    <row r="159" spans="1:182" ht="72" hidden="1" x14ac:dyDescent="0.3">
      <c r="A159" s="1">
        <v>45926.466169629632</v>
      </c>
      <c r="B159" s="1">
        <v>45926.47672849537</v>
      </c>
      <c r="D159" t="s">
        <v>84</v>
      </c>
      <c r="E159" t="s">
        <v>3878</v>
      </c>
      <c r="F159" t="s">
        <v>2893</v>
      </c>
      <c r="G159" t="s">
        <v>176</v>
      </c>
      <c r="H159" t="s">
        <v>4122</v>
      </c>
      <c r="I159" t="s">
        <v>2894</v>
      </c>
      <c r="J159" t="s">
        <v>2895</v>
      </c>
      <c r="K159" t="s">
        <v>90</v>
      </c>
      <c r="L159" t="s">
        <v>2867</v>
      </c>
      <c r="M159" t="s">
        <v>2868</v>
      </c>
      <c r="N159" t="s">
        <v>2896</v>
      </c>
      <c r="O159">
        <v>-15.2143546</v>
      </c>
      <c r="P159">
        <v>22.935043499999999</v>
      </c>
      <c r="Q159">
        <v>1008</v>
      </c>
      <c r="R159">
        <v>4.8659999999999997</v>
      </c>
      <c r="S159" t="s">
        <v>84</v>
      </c>
      <c r="T159" t="s">
        <v>94</v>
      </c>
      <c r="U159">
        <v>8</v>
      </c>
      <c r="V159" t="s">
        <v>95</v>
      </c>
      <c r="W159" t="s">
        <v>907</v>
      </c>
      <c r="X159">
        <v>20</v>
      </c>
      <c r="Y159">
        <v>1</v>
      </c>
      <c r="Z159">
        <v>1</v>
      </c>
      <c r="AA159" t="s">
        <v>96</v>
      </c>
      <c r="AB159" t="s">
        <v>351</v>
      </c>
      <c r="AC159" t="s">
        <v>98</v>
      </c>
      <c r="AD159" t="s">
        <v>280</v>
      </c>
      <c r="AE159" t="s">
        <v>101</v>
      </c>
      <c r="AF159" t="s">
        <v>907</v>
      </c>
      <c r="AG159">
        <v>1500</v>
      </c>
      <c r="AH159" t="s">
        <v>147</v>
      </c>
      <c r="AI159" t="s">
        <v>907</v>
      </c>
      <c r="AJ159" s="5">
        <v>2000</v>
      </c>
      <c r="AK159" t="s">
        <v>102</v>
      </c>
      <c r="AL159" t="s">
        <v>907</v>
      </c>
      <c r="AM159" t="s">
        <v>4130</v>
      </c>
      <c r="AN159" t="s">
        <v>907</v>
      </c>
      <c r="AQ159" t="s">
        <v>2897</v>
      </c>
      <c r="AR159" t="s">
        <v>95</v>
      </c>
      <c r="AS159">
        <v>0</v>
      </c>
      <c r="AT159">
        <v>0</v>
      </c>
      <c r="AU159">
        <v>0</v>
      </c>
      <c r="AV159">
        <v>0</v>
      </c>
      <c r="AW159">
        <v>0</v>
      </c>
      <c r="AX159">
        <v>0</v>
      </c>
      <c r="AY159">
        <v>0</v>
      </c>
      <c r="AZ159" t="s">
        <v>929</v>
      </c>
      <c r="BA159" t="s">
        <v>95</v>
      </c>
      <c r="BB159" t="s">
        <v>308</v>
      </c>
      <c r="BC159" t="s">
        <v>907</v>
      </c>
      <c r="BD159" t="s">
        <v>107</v>
      </c>
      <c r="BE159" t="s">
        <v>810</v>
      </c>
      <c r="BF159" t="s">
        <v>2898</v>
      </c>
      <c r="BG159" t="s">
        <v>235</v>
      </c>
      <c r="BH159">
        <v>20</v>
      </c>
      <c r="BL159">
        <v>52</v>
      </c>
      <c r="BN159">
        <v>2</v>
      </c>
      <c r="BP159">
        <v>0</v>
      </c>
      <c r="BR159">
        <v>0</v>
      </c>
      <c r="BT159">
        <v>2</v>
      </c>
      <c r="BV159">
        <v>0</v>
      </c>
      <c r="BX159">
        <v>4</v>
      </c>
      <c r="BY159" t="s">
        <v>189</v>
      </c>
      <c r="BZ159">
        <v>3</v>
      </c>
      <c r="CA159">
        <v>2</v>
      </c>
      <c r="CB159" t="s">
        <v>84</v>
      </c>
      <c r="CC159" t="s">
        <v>84</v>
      </c>
      <c r="CD159" t="s">
        <v>1632</v>
      </c>
      <c r="CE159" t="s">
        <v>4251</v>
      </c>
      <c r="CF159" t="s">
        <v>287</v>
      </c>
      <c r="CG159" t="s">
        <v>907</v>
      </c>
      <c r="CH159">
        <v>5</v>
      </c>
      <c r="CI159" t="s">
        <v>95</v>
      </c>
      <c r="CJ159" t="s">
        <v>907</v>
      </c>
      <c r="CK159" t="s">
        <v>113</v>
      </c>
      <c r="CL159" t="s">
        <v>895</v>
      </c>
      <c r="CM159" t="s">
        <v>547</v>
      </c>
      <c r="CN159" t="s">
        <v>3874</v>
      </c>
      <c r="CO159" t="s">
        <v>95</v>
      </c>
      <c r="CP159" t="s">
        <v>907</v>
      </c>
      <c r="CQ159" t="s">
        <v>116</v>
      </c>
      <c r="CR159" t="s">
        <v>95</v>
      </c>
      <c r="CS159" t="s">
        <v>907</v>
      </c>
      <c r="CT159" t="s">
        <v>907</v>
      </c>
      <c r="CU159" t="s">
        <v>907</v>
      </c>
      <c r="CV159" t="s">
        <v>812</v>
      </c>
      <c r="CW159" t="s">
        <v>907</v>
      </c>
      <c r="CX159" t="s">
        <v>166</v>
      </c>
      <c r="CY159" s="15" t="s">
        <v>121</v>
      </c>
      <c r="CZ159" t="s">
        <v>2232</v>
      </c>
      <c r="DA159">
        <v>0</v>
      </c>
      <c r="DB159" s="10">
        <v>0</v>
      </c>
      <c r="DC159" t="s">
        <v>169</v>
      </c>
      <c r="DD159" t="s">
        <v>907</v>
      </c>
      <c r="DE159">
        <v>2</v>
      </c>
      <c r="DF159">
        <v>25</v>
      </c>
      <c r="DG159" t="s">
        <v>95</v>
      </c>
      <c r="DH159" t="s">
        <v>95</v>
      </c>
      <c r="DI159" t="s">
        <v>907</v>
      </c>
      <c r="DJ159" t="s">
        <v>907</v>
      </c>
      <c r="DK159" t="s">
        <v>907</v>
      </c>
      <c r="DL159" t="s">
        <v>907</v>
      </c>
      <c r="DM159" t="s">
        <v>291</v>
      </c>
      <c r="DN159" t="s">
        <v>907</v>
      </c>
      <c r="DO159" t="s">
        <v>907</v>
      </c>
      <c r="DP159">
        <v>1</v>
      </c>
      <c r="DQ159" t="s">
        <v>441</v>
      </c>
      <c r="DR159" t="s">
        <v>907</v>
      </c>
      <c r="DS159" t="s">
        <v>368</v>
      </c>
      <c r="DT159" t="s">
        <v>863</v>
      </c>
      <c r="DU159" t="s">
        <v>95</v>
      </c>
      <c r="DV159" t="s">
        <v>907</v>
      </c>
      <c r="DW159" t="s">
        <v>907</v>
      </c>
      <c r="DX159" t="s">
        <v>907</v>
      </c>
      <c r="FQ159">
        <v>567443315</v>
      </c>
      <c r="FR159" t="s">
        <v>2899</v>
      </c>
      <c r="FS159" s="1">
        <v>45926.568182870367</v>
      </c>
      <c r="FV159" t="s">
        <v>134</v>
      </c>
      <c r="FW159" t="s">
        <v>135</v>
      </c>
      <c r="FX159" t="s">
        <v>136</v>
      </c>
      <c r="FZ159">
        <v>414</v>
      </c>
    </row>
    <row r="160" spans="1:182" hidden="1" x14ac:dyDescent="0.3">
      <c r="A160" s="1">
        <v>45925.527678275474</v>
      </c>
      <c r="B160" s="1">
        <v>45925.548888206024</v>
      </c>
      <c r="D160" t="s">
        <v>84</v>
      </c>
      <c r="E160" t="s">
        <v>297</v>
      </c>
      <c r="F160" t="s">
        <v>2641</v>
      </c>
      <c r="G160" t="s">
        <v>176</v>
      </c>
      <c r="H160" t="s">
        <v>4122</v>
      </c>
      <c r="I160" t="s">
        <v>2642</v>
      </c>
      <c r="J160" t="s">
        <v>2643</v>
      </c>
      <c r="K160" t="s">
        <v>90</v>
      </c>
      <c r="L160" t="s">
        <v>2644</v>
      </c>
      <c r="M160" t="s">
        <v>1871</v>
      </c>
      <c r="N160" t="s">
        <v>2645</v>
      </c>
      <c r="O160">
        <v>-15.1975386</v>
      </c>
      <c r="P160">
        <v>22.9735294</v>
      </c>
      <c r="Q160">
        <v>1027.027221679688</v>
      </c>
      <c r="R160">
        <v>4.5289999999999999</v>
      </c>
      <c r="S160" t="s">
        <v>84</v>
      </c>
      <c r="T160" t="s">
        <v>94</v>
      </c>
      <c r="U160">
        <v>7</v>
      </c>
      <c r="V160" t="s">
        <v>95</v>
      </c>
      <c r="W160" t="s">
        <v>907</v>
      </c>
      <c r="X160">
        <v>45</v>
      </c>
      <c r="Y160">
        <v>1.5</v>
      </c>
      <c r="Z160">
        <v>1.5</v>
      </c>
      <c r="AA160" t="s">
        <v>465</v>
      </c>
      <c r="AB160" t="s">
        <v>351</v>
      </c>
      <c r="AC160" t="s">
        <v>98</v>
      </c>
      <c r="AD160" t="s">
        <v>280</v>
      </c>
      <c r="AE160" t="s">
        <v>100</v>
      </c>
      <c r="AF160" t="s">
        <v>907</v>
      </c>
      <c r="AG160">
        <v>1600</v>
      </c>
      <c r="AH160" t="s">
        <v>3873</v>
      </c>
      <c r="AI160" t="s">
        <v>907</v>
      </c>
      <c r="AJ160" t="s">
        <v>907</v>
      </c>
      <c r="AK160" t="s">
        <v>102</v>
      </c>
      <c r="AL160" t="s">
        <v>907</v>
      </c>
      <c r="AM160" t="s">
        <v>466</v>
      </c>
      <c r="AN160" t="s">
        <v>907</v>
      </c>
      <c r="AO160" t="s">
        <v>267</v>
      </c>
      <c r="AP160" t="s">
        <v>2646</v>
      </c>
      <c r="AQ160" t="s">
        <v>466</v>
      </c>
      <c r="AR160" t="s">
        <v>95</v>
      </c>
      <c r="AS160">
        <v>0</v>
      </c>
      <c r="AT160">
        <v>0</v>
      </c>
      <c r="AU160">
        <v>0</v>
      </c>
      <c r="AV160">
        <v>4</v>
      </c>
      <c r="AW160">
        <v>0</v>
      </c>
      <c r="AX160">
        <v>0</v>
      </c>
      <c r="AY160">
        <v>0</v>
      </c>
      <c r="AZ160" t="s">
        <v>284</v>
      </c>
      <c r="BA160" t="s">
        <v>95</v>
      </c>
      <c r="BB160" t="s">
        <v>154</v>
      </c>
      <c r="BC160" t="s">
        <v>907</v>
      </c>
      <c r="BD160" t="s">
        <v>107</v>
      </c>
      <c r="BE160" t="s">
        <v>258</v>
      </c>
      <c r="BF160" t="s">
        <v>4011</v>
      </c>
      <c r="BG160" t="s">
        <v>235</v>
      </c>
      <c r="BH160">
        <v>20</v>
      </c>
      <c r="BL160">
        <v>6</v>
      </c>
      <c r="BN160">
        <v>2</v>
      </c>
      <c r="BP160">
        <v>2</v>
      </c>
      <c r="BR160">
        <v>2</v>
      </c>
      <c r="BT160">
        <v>2</v>
      </c>
      <c r="BV160">
        <v>0</v>
      </c>
      <c r="BX160">
        <v>6</v>
      </c>
      <c r="BY160" t="s">
        <v>189</v>
      </c>
      <c r="BZ160">
        <v>2</v>
      </c>
      <c r="CA160">
        <v>5</v>
      </c>
      <c r="CB160" t="s">
        <v>84</v>
      </c>
      <c r="CC160" t="s">
        <v>84</v>
      </c>
      <c r="CD160" t="s">
        <v>2461</v>
      </c>
      <c r="CE160" t="s">
        <v>4251</v>
      </c>
      <c r="CF160" t="s">
        <v>2647</v>
      </c>
      <c r="CG160" t="s">
        <v>2648</v>
      </c>
      <c r="CH160">
        <v>5</v>
      </c>
      <c r="CI160" t="s">
        <v>84</v>
      </c>
      <c r="CJ160" t="s">
        <v>262</v>
      </c>
      <c r="CK160" t="s">
        <v>289</v>
      </c>
      <c r="CL160" t="s">
        <v>2483</v>
      </c>
      <c r="CM160" t="s">
        <v>193</v>
      </c>
      <c r="CN160" t="s">
        <v>381</v>
      </c>
      <c r="CO160" t="s">
        <v>95</v>
      </c>
      <c r="CP160" t="s">
        <v>907</v>
      </c>
      <c r="CQ160" t="s">
        <v>116</v>
      </c>
      <c r="CR160" t="s">
        <v>84</v>
      </c>
      <c r="CS160" t="s">
        <v>117</v>
      </c>
      <c r="CT160" t="s">
        <v>907</v>
      </c>
      <c r="CU160" t="s">
        <v>3869</v>
      </c>
      <c r="CV160" t="s">
        <v>119</v>
      </c>
      <c r="CW160" t="s">
        <v>2649</v>
      </c>
      <c r="CX160" t="s">
        <v>166</v>
      </c>
      <c r="CY160" t="s">
        <v>167</v>
      </c>
      <c r="CZ160" t="s">
        <v>2650</v>
      </c>
      <c r="DA160">
        <v>0</v>
      </c>
      <c r="DB160" s="10">
        <v>0</v>
      </c>
      <c r="DC160" t="s">
        <v>123</v>
      </c>
      <c r="DD160" t="s">
        <v>2514</v>
      </c>
      <c r="DE160">
        <v>2</v>
      </c>
      <c r="DF160">
        <v>16</v>
      </c>
      <c r="DG160" t="s">
        <v>84</v>
      </c>
      <c r="DH160" t="s">
        <v>95</v>
      </c>
      <c r="DI160" t="s">
        <v>907</v>
      </c>
      <c r="DJ160" t="s">
        <v>907</v>
      </c>
      <c r="DK160" t="s">
        <v>907</v>
      </c>
      <c r="DL160" t="s">
        <v>907</v>
      </c>
      <c r="DM160" t="s">
        <v>291</v>
      </c>
      <c r="DN160" t="s">
        <v>907</v>
      </c>
      <c r="DO160" t="s">
        <v>907</v>
      </c>
      <c r="DP160">
        <v>20</v>
      </c>
      <c r="DQ160" t="s">
        <v>343</v>
      </c>
      <c r="DR160" t="s">
        <v>907</v>
      </c>
      <c r="DS160" t="s">
        <v>2651</v>
      </c>
      <c r="DT160" t="s">
        <v>2652</v>
      </c>
      <c r="DU160" t="s">
        <v>95</v>
      </c>
      <c r="DV160" t="s">
        <v>907</v>
      </c>
      <c r="DW160" t="s">
        <v>907</v>
      </c>
      <c r="DX160" t="s">
        <v>907</v>
      </c>
      <c r="FQ160">
        <v>567124730</v>
      </c>
      <c r="FR160" t="s">
        <v>2653</v>
      </c>
      <c r="FS160" s="1">
        <v>45926.220266203702</v>
      </c>
      <c r="FV160" t="s">
        <v>134</v>
      </c>
      <c r="FW160" t="s">
        <v>135</v>
      </c>
      <c r="FX160" t="s">
        <v>136</v>
      </c>
      <c r="FZ160">
        <v>388</v>
      </c>
    </row>
    <row r="161" spans="1:182" hidden="1" x14ac:dyDescent="0.3">
      <c r="A161" s="1">
        <v>45929.558278506942</v>
      </c>
      <c r="B161" s="1">
        <v>45930.283406805553</v>
      </c>
      <c r="D161" t="s">
        <v>84</v>
      </c>
      <c r="E161" t="s">
        <v>3876</v>
      </c>
      <c r="F161" t="s">
        <v>3279</v>
      </c>
      <c r="G161" t="s">
        <v>176</v>
      </c>
      <c r="H161" t="s">
        <v>4122</v>
      </c>
      <c r="I161" t="s">
        <v>3280</v>
      </c>
      <c r="J161" t="s">
        <v>3281</v>
      </c>
      <c r="K161" t="s">
        <v>90</v>
      </c>
      <c r="L161" t="s">
        <v>3282</v>
      </c>
      <c r="M161" t="s">
        <v>3242</v>
      </c>
      <c r="S161" t="s">
        <v>84</v>
      </c>
      <c r="T161" t="s">
        <v>182</v>
      </c>
      <c r="U161">
        <v>1</v>
      </c>
      <c r="V161" t="s">
        <v>95</v>
      </c>
      <c r="W161" t="s">
        <v>907</v>
      </c>
      <c r="X161">
        <v>8</v>
      </c>
      <c r="Y161">
        <v>1</v>
      </c>
      <c r="Z161">
        <v>1</v>
      </c>
      <c r="AA161" t="s">
        <v>504</v>
      </c>
      <c r="AB161" t="s">
        <v>489</v>
      </c>
      <c r="AC161" t="s">
        <v>98</v>
      </c>
      <c r="AD161" t="s">
        <v>99</v>
      </c>
      <c r="AE161" t="s">
        <v>101</v>
      </c>
      <c r="AF161" t="s">
        <v>907</v>
      </c>
      <c r="AG161">
        <v>2000</v>
      </c>
      <c r="AH161" t="s">
        <v>3873</v>
      </c>
      <c r="AI161" t="s">
        <v>907</v>
      </c>
      <c r="AJ161" t="s">
        <v>907</v>
      </c>
      <c r="AK161" t="s">
        <v>102</v>
      </c>
      <c r="AL161" t="s">
        <v>907</v>
      </c>
      <c r="AM161" t="s">
        <v>4130</v>
      </c>
      <c r="AN161" t="s">
        <v>907</v>
      </c>
      <c r="AQ161" t="s">
        <v>3283</v>
      </c>
      <c r="AR161" t="s">
        <v>84</v>
      </c>
      <c r="AS161">
        <v>0</v>
      </c>
      <c r="AT161">
        <v>0</v>
      </c>
      <c r="AU161">
        <v>0</v>
      </c>
      <c r="AV161">
        <v>0</v>
      </c>
      <c r="AW161">
        <v>0</v>
      </c>
      <c r="AX161">
        <v>0</v>
      </c>
      <c r="AY161">
        <v>0</v>
      </c>
      <c r="AZ161" t="s">
        <v>153</v>
      </c>
      <c r="BA161" t="s">
        <v>95</v>
      </c>
      <c r="BB161" t="s">
        <v>154</v>
      </c>
      <c r="BC161" t="s">
        <v>907</v>
      </c>
      <c r="BD161" t="s">
        <v>107</v>
      </c>
      <c r="BE161" t="s">
        <v>258</v>
      </c>
      <c r="BF161" t="s">
        <v>1183</v>
      </c>
      <c r="BG161" t="s">
        <v>235</v>
      </c>
      <c r="BH161">
        <v>27</v>
      </c>
      <c r="BL161">
        <v>15</v>
      </c>
      <c r="BN161">
        <v>3</v>
      </c>
      <c r="BP161">
        <v>0</v>
      </c>
      <c r="BR161">
        <v>0</v>
      </c>
      <c r="BT161">
        <v>3</v>
      </c>
      <c r="BV161">
        <v>0</v>
      </c>
      <c r="BX161">
        <v>6</v>
      </c>
      <c r="BY161" t="s">
        <v>189</v>
      </c>
      <c r="BZ161">
        <v>5</v>
      </c>
      <c r="CA161">
        <v>2</v>
      </c>
      <c r="CB161" t="s">
        <v>84</v>
      </c>
      <c r="CC161" t="s">
        <v>95</v>
      </c>
      <c r="CD161" t="s">
        <v>3284</v>
      </c>
      <c r="CE161" t="s">
        <v>4252</v>
      </c>
      <c r="CF161" t="s">
        <v>3285</v>
      </c>
      <c r="CG161" t="s">
        <v>907</v>
      </c>
      <c r="CH161">
        <v>5</v>
      </c>
      <c r="CI161" t="s">
        <v>95</v>
      </c>
      <c r="CJ161" t="s">
        <v>907</v>
      </c>
      <c r="CK161" t="s">
        <v>1005</v>
      </c>
      <c r="CL161" t="s">
        <v>895</v>
      </c>
      <c r="CM161" t="s">
        <v>193</v>
      </c>
      <c r="CN161" t="s">
        <v>421</v>
      </c>
      <c r="CO161" t="s">
        <v>95</v>
      </c>
      <c r="CP161" t="s">
        <v>907</v>
      </c>
      <c r="CQ161" t="s">
        <v>116</v>
      </c>
      <c r="CR161" t="s">
        <v>95</v>
      </c>
      <c r="CS161" t="s">
        <v>907</v>
      </c>
      <c r="CT161" t="s">
        <v>907</v>
      </c>
      <c r="CU161" t="s">
        <v>907</v>
      </c>
      <c r="CV161" t="s">
        <v>812</v>
      </c>
      <c r="CW161" t="s">
        <v>907</v>
      </c>
      <c r="CX161" t="s">
        <v>907</v>
      </c>
      <c r="CY161" t="s">
        <v>907</v>
      </c>
      <c r="CZ161" t="s">
        <v>907</v>
      </c>
      <c r="DA161" t="s">
        <v>907</v>
      </c>
      <c r="DB161" t="s">
        <v>907</v>
      </c>
      <c r="DC161" t="s">
        <v>907</v>
      </c>
      <c r="DD161" t="s">
        <v>907</v>
      </c>
      <c r="DE161" t="s">
        <v>907</v>
      </c>
      <c r="DF161" t="s">
        <v>907</v>
      </c>
      <c r="DG161" t="s">
        <v>95</v>
      </c>
      <c r="DH161" t="s">
        <v>95</v>
      </c>
      <c r="DI161" t="s">
        <v>907</v>
      </c>
      <c r="DJ161" t="s">
        <v>907</v>
      </c>
      <c r="DK161" t="s">
        <v>907</v>
      </c>
      <c r="DL161" t="s">
        <v>907</v>
      </c>
      <c r="DM161" t="s">
        <v>291</v>
      </c>
      <c r="DN161" t="s">
        <v>907</v>
      </c>
      <c r="DO161" t="s">
        <v>907</v>
      </c>
      <c r="DP161">
        <v>1</v>
      </c>
      <c r="DQ161" t="s">
        <v>441</v>
      </c>
      <c r="DR161" t="s">
        <v>907</v>
      </c>
      <c r="DS161" t="s">
        <v>996</v>
      </c>
      <c r="DT161" t="s">
        <v>621</v>
      </c>
      <c r="DU161" t="s">
        <v>84</v>
      </c>
      <c r="DV161" t="s">
        <v>796</v>
      </c>
      <c r="DW161" t="s">
        <v>3286</v>
      </c>
      <c r="DX161" t="s">
        <v>95</v>
      </c>
      <c r="FQ161">
        <v>569746384</v>
      </c>
      <c r="FR161" t="s">
        <v>3287</v>
      </c>
      <c r="FS161" s="1">
        <v>45930.200266203698</v>
      </c>
      <c r="FV161" t="s">
        <v>134</v>
      </c>
      <c r="FW161" t="s">
        <v>135</v>
      </c>
      <c r="FX161" t="s">
        <v>136</v>
      </c>
      <c r="FZ161">
        <v>527</v>
      </c>
    </row>
    <row r="162" spans="1:182" hidden="1" x14ac:dyDescent="0.3">
      <c r="A162" s="1">
        <v>45924.682144479157</v>
      </c>
      <c r="B162" s="1">
        <v>45924.712110405089</v>
      </c>
      <c r="D162" t="s">
        <v>84</v>
      </c>
      <c r="E162" t="s">
        <v>297</v>
      </c>
      <c r="F162" t="s">
        <v>1498</v>
      </c>
      <c r="G162" t="s">
        <v>176</v>
      </c>
      <c r="H162" t="s">
        <v>4121</v>
      </c>
      <c r="I162" t="s">
        <v>1499</v>
      </c>
      <c r="J162" t="s">
        <v>1500</v>
      </c>
      <c r="K162" t="s">
        <v>90</v>
      </c>
      <c r="L162" t="s">
        <v>1501</v>
      </c>
      <c r="M162" t="s">
        <v>670</v>
      </c>
      <c r="N162" t="s">
        <v>1502</v>
      </c>
      <c r="O162">
        <v>-15.2762083</v>
      </c>
      <c r="P162">
        <v>23.035223299999998</v>
      </c>
      <c r="Q162">
        <v>1009.6</v>
      </c>
      <c r="R162">
        <v>4.7750000000000004</v>
      </c>
      <c r="S162" t="s">
        <v>84</v>
      </c>
      <c r="T162" t="s">
        <v>94</v>
      </c>
      <c r="U162">
        <v>4</v>
      </c>
      <c r="V162" t="s">
        <v>95</v>
      </c>
      <c r="W162" t="s">
        <v>907</v>
      </c>
      <c r="X162">
        <v>4</v>
      </c>
      <c r="Y162">
        <v>1</v>
      </c>
      <c r="Z162">
        <v>1</v>
      </c>
      <c r="AA162" t="s">
        <v>96</v>
      </c>
      <c r="AB162" t="s">
        <v>97</v>
      </c>
      <c r="AC162" t="s">
        <v>98</v>
      </c>
      <c r="AD162" t="s">
        <v>280</v>
      </c>
      <c r="AE162" t="s">
        <v>304</v>
      </c>
      <c r="AF162" t="s">
        <v>907</v>
      </c>
      <c r="AG162">
        <v>100</v>
      </c>
      <c r="AH162" t="s">
        <v>101</v>
      </c>
      <c r="AI162" t="s">
        <v>907</v>
      </c>
      <c r="AJ162" s="5">
        <v>600</v>
      </c>
      <c r="AK162" t="s">
        <v>304</v>
      </c>
      <c r="AL162" t="s">
        <v>907</v>
      </c>
      <c r="AM162" t="s">
        <v>907</v>
      </c>
      <c r="AN162" t="s">
        <v>907</v>
      </c>
      <c r="AQ162" t="s">
        <v>907</v>
      </c>
      <c r="AR162" t="s">
        <v>907</v>
      </c>
      <c r="AS162">
        <v>0</v>
      </c>
      <c r="AT162">
        <v>0</v>
      </c>
      <c r="AU162">
        <v>0</v>
      </c>
      <c r="AV162">
        <v>0</v>
      </c>
      <c r="AW162">
        <v>0</v>
      </c>
      <c r="AX162">
        <v>0</v>
      </c>
      <c r="AY162">
        <v>0</v>
      </c>
      <c r="AZ162" t="s">
        <v>106</v>
      </c>
      <c r="BA162" t="s">
        <v>907</v>
      </c>
      <c r="BB162" t="s">
        <v>154</v>
      </c>
      <c r="BC162" t="s">
        <v>907</v>
      </c>
      <c r="BD162" t="s">
        <v>907</v>
      </c>
      <c r="BE162" t="s">
        <v>907</v>
      </c>
      <c r="BF162" t="s">
        <v>907</v>
      </c>
      <c r="BG162" t="s">
        <v>156</v>
      </c>
      <c r="BH162">
        <v>27</v>
      </c>
      <c r="BL162">
        <v>7</v>
      </c>
      <c r="BN162">
        <v>1</v>
      </c>
      <c r="BP162">
        <v>11</v>
      </c>
      <c r="BR162">
        <v>2</v>
      </c>
      <c r="BT162">
        <v>1</v>
      </c>
      <c r="BV162">
        <v>0</v>
      </c>
      <c r="BX162">
        <v>5</v>
      </c>
      <c r="BY162" t="s">
        <v>110</v>
      </c>
      <c r="BZ162" t="s">
        <v>907</v>
      </c>
      <c r="CA162" t="s">
        <v>907</v>
      </c>
      <c r="CB162" t="s">
        <v>84</v>
      </c>
      <c r="CC162" t="s">
        <v>84</v>
      </c>
      <c r="CD162" t="s">
        <v>1503</v>
      </c>
      <c r="CE162" t="s">
        <v>4250</v>
      </c>
      <c r="CF162" t="s">
        <v>1504</v>
      </c>
      <c r="CG162" t="s">
        <v>907</v>
      </c>
      <c r="CH162">
        <v>5</v>
      </c>
      <c r="CI162" t="s">
        <v>84</v>
      </c>
      <c r="CJ162" t="s">
        <v>586</v>
      </c>
      <c r="CK162" t="s">
        <v>113</v>
      </c>
      <c r="CL162" t="s">
        <v>1505</v>
      </c>
      <c r="CM162" t="s">
        <v>193</v>
      </c>
      <c r="CN162" t="s">
        <v>3874</v>
      </c>
      <c r="CO162" t="s">
        <v>95</v>
      </c>
      <c r="CP162" t="s">
        <v>907</v>
      </c>
      <c r="CQ162" t="s">
        <v>116</v>
      </c>
      <c r="CR162" t="s">
        <v>84</v>
      </c>
      <c r="CS162" t="s">
        <v>117</v>
      </c>
      <c r="CT162" t="s">
        <v>264</v>
      </c>
      <c r="CU162" t="s">
        <v>793</v>
      </c>
      <c r="CV162" t="s">
        <v>907</v>
      </c>
      <c r="CW162" t="s">
        <v>907</v>
      </c>
      <c r="CX162" t="s">
        <v>290</v>
      </c>
      <c r="CY162" t="s">
        <v>907</v>
      </c>
      <c r="CZ162" t="s">
        <v>907</v>
      </c>
      <c r="DA162" t="s">
        <v>907</v>
      </c>
      <c r="DB162" t="s">
        <v>907</v>
      </c>
      <c r="DC162" t="s">
        <v>907</v>
      </c>
      <c r="DD162" t="s">
        <v>907</v>
      </c>
      <c r="DE162" t="s">
        <v>907</v>
      </c>
      <c r="DF162" t="s">
        <v>907</v>
      </c>
      <c r="DG162" t="s">
        <v>95</v>
      </c>
      <c r="DH162" t="s">
        <v>95</v>
      </c>
      <c r="DI162" t="s">
        <v>907</v>
      </c>
      <c r="DJ162" t="s">
        <v>907</v>
      </c>
      <c r="DK162" t="s">
        <v>907</v>
      </c>
      <c r="DL162" t="s">
        <v>907</v>
      </c>
      <c r="DM162" t="s">
        <v>291</v>
      </c>
      <c r="DN162" t="s">
        <v>907</v>
      </c>
      <c r="DO162" t="s">
        <v>907</v>
      </c>
      <c r="DP162">
        <v>70</v>
      </c>
      <c r="DQ162" t="s">
        <v>441</v>
      </c>
      <c r="DR162" t="s">
        <v>907</v>
      </c>
      <c r="DS162" t="s">
        <v>1506</v>
      </c>
      <c r="DT162" t="s">
        <v>1437</v>
      </c>
      <c r="DU162" t="s">
        <v>95</v>
      </c>
      <c r="DV162" t="s">
        <v>907</v>
      </c>
      <c r="DW162" t="s">
        <v>907</v>
      </c>
      <c r="DX162" t="s">
        <v>907</v>
      </c>
      <c r="FQ162">
        <v>566102267</v>
      </c>
      <c r="FR162" t="s">
        <v>1507</v>
      </c>
      <c r="FS162" s="1">
        <v>45924.854131944441</v>
      </c>
      <c r="FV162" t="s">
        <v>134</v>
      </c>
      <c r="FW162" t="s">
        <v>135</v>
      </c>
      <c r="FX162" t="s">
        <v>136</v>
      </c>
      <c r="FZ162">
        <v>247</v>
      </c>
    </row>
    <row r="163" spans="1:182" x14ac:dyDescent="0.3">
      <c r="A163" s="1">
        <v>45925.483235798609</v>
      </c>
      <c r="B163" s="1">
        <v>45925.510117048609</v>
      </c>
      <c r="D163" t="s">
        <v>84</v>
      </c>
      <c r="E163" t="s">
        <v>1226</v>
      </c>
      <c r="F163" t="s">
        <v>2246</v>
      </c>
      <c r="G163" t="s">
        <v>176</v>
      </c>
      <c r="H163" t="s">
        <v>4122</v>
      </c>
      <c r="I163" t="s">
        <v>2247</v>
      </c>
      <c r="J163" t="s">
        <v>2248</v>
      </c>
      <c r="K163" t="s">
        <v>90</v>
      </c>
      <c r="L163" t="s">
        <v>2138</v>
      </c>
      <c r="M163" t="s">
        <v>2249</v>
      </c>
      <c r="N163" t="s">
        <v>2250</v>
      </c>
      <c r="O163">
        <v>-15.233449999999999</v>
      </c>
      <c r="P163">
        <v>22.991824999999999</v>
      </c>
      <c r="Q163">
        <v>1047.0999999999999</v>
      </c>
      <c r="R163">
        <v>4.7830000000000004</v>
      </c>
      <c r="S163" t="s">
        <v>84</v>
      </c>
      <c r="T163" t="s">
        <v>94</v>
      </c>
      <c r="U163">
        <v>7</v>
      </c>
      <c r="V163" t="s">
        <v>95</v>
      </c>
      <c r="W163" t="s">
        <v>907</v>
      </c>
      <c r="X163">
        <v>7</v>
      </c>
      <c r="Y163" s="3">
        <v>40</v>
      </c>
      <c r="Z163">
        <v>2</v>
      </c>
      <c r="AA163" t="s">
        <v>251</v>
      </c>
      <c r="AB163" t="s">
        <v>97</v>
      </c>
      <c r="AC163" t="s">
        <v>144</v>
      </c>
      <c r="AD163" t="s">
        <v>252</v>
      </c>
      <c r="AE163" t="s">
        <v>100</v>
      </c>
      <c r="AF163" t="s">
        <v>907</v>
      </c>
      <c r="AG163">
        <v>1000</v>
      </c>
      <c r="AH163" t="s">
        <v>101</v>
      </c>
      <c r="AI163" t="s">
        <v>907</v>
      </c>
      <c r="AJ163" s="5">
        <v>1500</v>
      </c>
      <c r="AK163" t="s">
        <v>102</v>
      </c>
      <c r="AL163" t="s">
        <v>907</v>
      </c>
      <c r="AM163" t="s">
        <v>1760</v>
      </c>
      <c r="AN163" t="s">
        <v>907</v>
      </c>
      <c r="AO163" t="s">
        <v>2204</v>
      </c>
      <c r="AP163" t="s">
        <v>2251</v>
      </c>
      <c r="AQ163" t="s">
        <v>466</v>
      </c>
      <c r="AR163" t="s">
        <v>95</v>
      </c>
      <c r="AS163">
        <v>2</v>
      </c>
      <c r="AT163">
        <v>0</v>
      </c>
      <c r="AU163">
        <v>0</v>
      </c>
      <c r="AV163">
        <v>4</v>
      </c>
      <c r="AW163">
        <v>0</v>
      </c>
      <c r="AX163">
        <v>0</v>
      </c>
      <c r="AY163">
        <v>0</v>
      </c>
      <c r="AZ163" t="s">
        <v>1003</v>
      </c>
      <c r="BA163" t="s">
        <v>452</v>
      </c>
      <c r="BB163" t="s">
        <v>154</v>
      </c>
      <c r="BC163" t="s">
        <v>907</v>
      </c>
      <c r="BD163" t="s">
        <v>107</v>
      </c>
      <c r="BE163" t="s">
        <v>258</v>
      </c>
      <c r="BF163" t="s">
        <v>2160</v>
      </c>
      <c r="BG163" t="s">
        <v>109</v>
      </c>
      <c r="BH163">
        <v>68</v>
      </c>
      <c r="BL163">
        <v>32</v>
      </c>
      <c r="BN163">
        <v>1</v>
      </c>
      <c r="BP163">
        <v>15</v>
      </c>
      <c r="BR163">
        <v>1</v>
      </c>
      <c r="BT163">
        <v>3</v>
      </c>
      <c r="BV163">
        <v>6</v>
      </c>
      <c r="BX163">
        <v>10</v>
      </c>
      <c r="BY163" t="s">
        <v>110</v>
      </c>
      <c r="BZ163" t="s">
        <v>907</v>
      </c>
      <c r="CA163" t="s">
        <v>907</v>
      </c>
      <c r="CB163" t="s">
        <v>84</v>
      </c>
      <c r="CC163" t="s">
        <v>84</v>
      </c>
      <c r="CD163" t="s">
        <v>778</v>
      </c>
      <c r="CE163" t="s">
        <v>4250</v>
      </c>
      <c r="CF163" t="s">
        <v>2145</v>
      </c>
      <c r="CG163" t="s">
        <v>907</v>
      </c>
      <c r="CH163">
        <v>5</v>
      </c>
      <c r="CI163" t="s">
        <v>95</v>
      </c>
      <c r="CJ163" t="s">
        <v>907</v>
      </c>
      <c r="CK163" t="s">
        <v>289</v>
      </c>
      <c r="CL163" t="s">
        <v>367</v>
      </c>
      <c r="CM163" t="s">
        <v>547</v>
      </c>
      <c r="CN163" t="s">
        <v>421</v>
      </c>
      <c r="CO163" t="s">
        <v>95</v>
      </c>
      <c r="CP163" t="s">
        <v>907</v>
      </c>
      <c r="CQ163" t="s">
        <v>116</v>
      </c>
      <c r="CR163" t="s">
        <v>84</v>
      </c>
      <c r="CS163" t="s">
        <v>117</v>
      </c>
      <c r="CT163" t="s">
        <v>118</v>
      </c>
      <c r="CU163" t="s">
        <v>3869</v>
      </c>
      <c r="CV163" t="s">
        <v>812</v>
      </c>
      <c r="CW163" t="s">
        <v>495</v>
      </c>
      <c r="CX163" t="s">
        <v>166</v>
      </c>
      <c r="CY163" t="s">
        <v>167</v>
      </c>
      <c r="CZ163" t="s">
        <v>2252</v>
      </c>
      <c r="DA163">
        <v>0</v>
      </c>
      <c r="DB163" s="10">
        <v>0</v>
      </c>
      <c r="DC163" t="s">
        <v>169</v>
      </c>
      <c r="DD163" t="s">
        <v>907</v>
      </c>
      <c r="DE163">
        <v>2</v>
      </c>
      <c r="DF163">
        <v>12</v>
      </c>
      <c r="DG163" t="s">
        <v>95</v>
      </c>
      <c r="DH163" t="s">
        <v>95</v>
      </c>
      <c r="DI163" t="s">
        <v>907</v>
      </c>
      <c r="DJ163" t="s">
        <v>907</v>
      </c>
      <c r="DK163" t="s">
        <v>907</v>
      </c>
      <c r="DL163" t="s">
        <v>907</v>
      </c>
      <c r="DM163" t="s">
        <v>291</v>
      </c>
      <c r="DN163" t="s">
        <v>907</v>
      </c>
      <c r="DO163" t="s">
        <v>907</v>
      </c>
      <c r="DP163">
        <v>100</v>
      </c>
      <c r="DQ163" t="s">
        <v>441</v>
      </c>
      <c r="DR163" t="s">
        <v>907</v>
      </c>
      <c r="DS163" t="s">
        <v>898</v>
      </c>
      <c r="DT163" t="s">
        <v>1363</v>
      </c>
      <c r="DU163" t="s">
        <v>84</v>
      </c>
      <c r="DV163" t="s">
        <v>2147</v>
      </c>
      <c r="DW163" t="s">
        <v>2148</v>
      </c>
      <c r="DX163" t="s">
        <v>95</v>
      </c>
      <c r="FQ163">
        <v>566875391</v>
      </c>
      <c r="FR163" t="s">
        <v>2253</v>
      </c>
      <c r="FS163" s="1">
        <v>45925.743796296287</v>
      </c>
      <c r="FV163" t="s">
        <v>134</v>
      </c>
      <c r="FW163" t="s">
        <v>135</v>
      </c>
      <c r="FX163" t="s">
        <v>136</v>
      </c>
      <c r="FZ163">
        <v>318</v>
      </c>
    </row>
    <row r="164" spans="1:182" hidden="1" x14ac:dyDescent="0.3">
      <c r="A164" s="1">
        <v>45929.468190312502</v>
      </c>
      <c r="B164" s="1">
        <v>45930.283138923609</v>
      </c>
      <c r="D164" t="s">
        <v>84</v>
      </c>
      <c r="E164" t="s">
        <v>3876</v>
      </c>
      <c r="F164" t="s">
        <v>3245</v>
      </c>
      <c r="G164" t="s">
        <v>176</v>
      </c>
      <c r="H164" t="s">
        <v>4121</v>
      </c>
      <c r="I164" t="s">
        <v>3246</v>
      </c>
      <c r="J164" t="s">
        <v>3247</v>
      </c>
      <c r="K164" t="s">
        <v>90</v>
      </c>
      <c r="L164" t="s">
        <v>3248</v>
      </c>
      <c r="M164" t="s">
        <v>3242</v>
      </c>
      <c r="S164" t="s">
        <v>84</v>
      </c>
      <c r="T164" t="s">
        <v>94</v>
      </c>
      <c r="U164">
        <v>6</v>
      </c>
      <c r="V164" t="s">
        <v>95</v>
      </c>
      <c r="W164" t="s">
        <v>907</v>
      </c>
      <c r="X164">
        <v>5</v>
      </c>
      <c r="Y164">
        <v>2</v>
      </c>
      <c r="Z164">
        <v>2</v>
      </c>
      <c r="AA164" t="s">
        <v>96</v>
      </c>
      <c r="AB164" t="s">
        <v>489</v>
      </c>
      <c r="AC164" t="s">
        <v>98</v>
      </c>
      <c r="AD164" t="s">
        <v>99</v>
      </c>
      <c r="AE164" t="s">
        <v>304</v>
      </c>
      <c r="AF164" t="s">
        <v>907</v>
      </c>
      <c r="AG164">
        <v>16000</v>
      </c>
      <c r="AH164" t="s">
        <v>3249</v>
      </c>
      <c r="AI164" t="s">
        <v>907</v>
      </c>
      <c r="AJ164" s="5">
        <v>10000</v>
      </c>
      <c r="AK164" t="s">
        <v>102</v>
      </c>
      <c r="AL164" t="s">
        <v>907</v>
      </c>
      <c r="AM164" t="s">
        <v>4130</v>
      </c>
      <c r="AN164" t="s">
        <v>907</v>
      </c>
      <c r="AQ164" t="s">
        <v>3250</v>
      </c>
      <c r="AR164" t="s">
        <v>84</v>
      </c>
      <c r="AS164">
        <v>0</v>
      </c>
      <c r="AT164">
        <v>0</v>
      </c>
      <c r="AU164">
        <v>0</v>
      </c>
      <c r="AV164">
        <v>0</v>
      </c>
      <c r="AW164">
        <v>0</v>
      </c>
      <c r="AX164">
        <v>0</v>
      </c>
      <c r="AY164">
        <v>0</v>
      </c>
      <c r="AZ164" t="s">
        <v>929</v>
      </c>
      <c r="BA164" t="s">
        <v>95</v>
      </c>
      <c r="BB164" t="s">
        <v>154</v>
      </c>
      <c r="BC164" t="s">
        <v>907</v>
      </c>
      <c r="BD164" t="s">
        <v>107</v>
      </c>
      <c r="BE164" t="s">
        <v>810</v>
      </c>
      <c r="BF164" t="s">
        <v>1136</v>
      </c>
      <c r="BG164" t="s">
        <v>790</v>
      </c>
      <c r="BH164">
        <v>29</v>
      </c>
      <c r="BL164">
        <v>10</v>
      </c>
      <c r="BN164">
        <v>2</v>
      </c>
      <c r="BP164">
        <v>4</v>
      </c>
      <c r="BR164">
        <v>6</v>
      </c>
      <c r="BT164">
        <v>4</v>
      </c>
      <c r="BV164">
        <v>0</v>
      </c>
      <c r="BX164">
        <v>3</v>
      </c>
      <c r="BY164" t="s">
        <v>110</v>
      </c>
      <c r="BZ164" t="s">
        <v>907</v>
      </c>
      <c r="CA164" t="s">
        <v>907</v>
      </c>
      <c r="CB164" t="s">
        <v>84</v>
      </c>
      <c r="CC164" t="s">
        <v>84</v>
      </c>
      <c r="CD164" t="s">
        <v>334</v>
      </c>
      <c r="CE164" t="s">
        <v>4249</v>
      </c>
      <c r="CF164" t="s">
        <v>3251</v>
      </c>
      <c r="CG164" t="s">
        <v>907</v>
      </c>
      <c r="CH164">
        <v>5</v>
      </c>
      <c r="CI164" t="s">
        <v>84</v>
      </c>
      <c r="CJ164" t="s">
        <v>586</v>
      </c>
      <c r="CK164" t="s">
        <v>1005</v>
      </c>
      <c r="CL164" t="s">
        <v>263</v>
      </c>
      <c r="CM164" t="s">
        <v>193</v>
      </c>
      <c r="CN164" t="s">
        <v>3874</v>
      </c>
      <c r="CO164" t="s">
        <v>95</v>
      </c>
      <c r="CP164" t="s">
        <v>907</v>
      </c>
      <c r="CQ164" t="s">
        <v>116</v>
      </c>
      <c r="CR164" t="s">
        <v>95</v>
      </c>
      <c r="CS164" t="s">
        <v>907</v>
      </c>
      <c r="CT164" t="s">
        <v>907</v>
      </c>
      <c r="CU164" t="s">
        <v>907</v>
      </c>
      <c r="CV164" t="s">
        <v>812</v>
      </c>
      <c r="CW164" t="s">
        <v>907</v>
      </c>
      <c r="CX164" t="s">
        <v>166</v>
      </c>
      <c r="CY164" t="s">
        <v>167</v>
      </c>
      <c r="CZ164" t="s">
        <v>2885</v>
      </c>
      <c r="DA164">
        <v>0</v>
      </c>
      <c r="DB164" s="10">
        <v>0</v>
      </c>
      <c r="DC164" t="s">
        <v>169</v>
      </c>
      <c r="DD164" t="s">
        <v>907</v>
      </c>
      <c r="DE164">
        <v>5</v>
      </c>
      <c r="DF164">
        <v>20</v>
      </c>
      <c r="DG164" t="s">
        <v>95</v>
      </c>
      <c r="DH164" t="s">
        <v>95</v>
      </c>
      <c r="DI164" t="s">
        <v>907</v>
      </c>
      <c r="DJ164" t="s">
        <v>907</v>
      </c>
      <c r="DK164" t="s">
        <v>907</v>
      </c>
      <c r="DL164" t="s">
        <v>907</v>
      </c>
      <c r="DM164" t="s">
        <v>291</v>
      </c>
      <c r="DN164" t="s">
        <v>907</v>
      </c>
      <c r="DO164" t="s">
        <v>907</v>
      </c>
      <c r="DP164">
        <v>1</v>
      </c>
      <c r="DQ164" t="s">
        <v>441</v>
      </c>
      <c r="DR164" t="s">
        <v>907</v>
      </c>
      <c r="DS164" t="s">
        <v>172</v>
      </c>
      <c r="DT164" t="s">
        <v>3252</v>
      </c>
      <c r="DU164" t="s">
        <v>84</v>
      </c>
      <c r="DV164" t="s">
        <v>294</v>
      </c>
      <c r="DW164" t="s">
        <v>2959</v>
      </c>
      <c r="DX164" t="s">
        <v>95</v>
      </c>
      <c r="FQ164">
        <v>569746353</v>
      </c>
      <c r="FR164" t="s">
        <v>3253</v>
      </c>
      <c r="FS164" s="1">
        <v>45930.200208333343</v>
      </c>
      <c r="FV164" t="s">
        <v>134</v>
      </c>
      <c r="FW164" t="s">
        <v>135</v>
      </c>
      <c r="FX164" t="s">
        <v>136</v>
      </c>
      <c r="FZ164">
        <v>523</v>
      </c>
    </row>
    <row r="165" spans="1:182" hidden="1" x14ac:dyDescent="0.3">
      <c r="A165" s="1">
        <v>45923.416092164349</v>
      </c>
      <c r="B165" s="1">
        <v>45923.480013229157</v>
      </c>
      <c r="D165" t="s">
        <v>84</v>
      </c>
      <c r="E165" t="s">
        <v>886</v>
      </c>
      <c r="F165" t="s">
        <v>887</v>
      </c>
      <c r="G165" t="s">
        <v>176</v>
      </c>
      <c r="H165" t="s">
        <v>4122</v>
      </c>
      <c r="I165" t="s">
        <v>888</v>
      </c>
      <c r="J165" t="s">
        <v>889</v>
      </c>
      <c r="K165" t="s">
        <v>90</v>
      </c>
      <c r="L165" t="s">
        <v>3900</v>
      </c>
      <c r="M165" t="s">
        <v>349</v>
      </c>
      <c r="N165" t="s">
        <v>890</v>
      </c>
      <c r="O165">
        <v>-15.4644551</v>
      </c>
      <c r="P165">
        <v>23.157540699999998</v>
      </c>
      <c r="Q165">
        <v>1039.303588867188</v>
      </c>
      <c r="R165">
        <v>4.7080000000000002</v>
      </c>
      <c r="S165" t="s">
        <v>84</v>
      </c>
      <c r="T165" t="s">
        <v>182</v>
      </c>
      <c r="U165">
        <v>14</v>
      </c>
      <c r="V165" t="s">
        <v>95</v>
      </c>
      <c r="W165" t="s">
        <v>907</v>
      </c>
      <c r="X165">
        <v>4</v>
      </c>
      <c r="Y165">
        <v>6</v>
      </c>
      <c r="Z165">
        <v>6</v>
      </c>
      <c r="AA165" t="s">
        <v>96</v>
      </c>
      <c r="AB165" t="s">
        <v>351</v>
      </c>
      <c r="AC165" t="s">
        <v>144</v>
      </c>
      <c r="AD165" t="s">
        <v>145</v>
      </c>
      <c r="AE165" t="s">
        <v>431</v>
      </c>
      <c r="AF165" t="s">
        <v>907</v>
      </c>
      <c r="AG165">
        <v>3000</v>
      </c>
      <c r="AH165" t="s">
        <v>100</v>
      </c>
      <c r="AI165" t="s">
        <v>907</v>
      </c>
      <c r="AJ165" s="5">
        <v>40000</v>
      </c>
      <c r="AK165" t="s">
        <v>148</v>
      </c>
      <c r="AL165" t="s">
        <v>907</v>
      </c>
      <c r="AM165" t="s">
        <v>185</v>
      </c>
      <c r="AN165" t="s">
        <v>907</v>
      </c>
      <c r="AO165" t="s">
        <v>891</v>
      </c>
      <c r="AP165" t="s">
        <v>892</v>
      </c>
      <c r="AQ165" t="s">
        <v>149</v>
      </c>
      <c r="AR165" t="s">
        <v>95</v>
      </c>
      <c r="AS165">
        <v>0</v>
      </c>
      <c r="AT165">
        <v>70</v>
      </c>
      <c r="AU165">
        <v>0</v>
      </c>
      <c r="AV165">
        <v>0</v>
      </c>
      <c r="AW165">
        <v>50</v>
      </c>
      <c r="AX165">
        <v>0</v>
      </c>
      <c r="AY165">
        <v>0</v>
      </c>
      <c r="AZ165" t="s">
        <v>629</v>
      </c>
      <c r="BA165" t="s">
        <v>95</v>
      </c>
      <c r="BB165" t="s">
        <v>154</v>
      </c>
      <c r="BC165" t="s">
        <v>907</v>
      </c>
      <c r="BD165" t="s">
        <v>107</v>
      </c>
      <c r="BE165" t="s">
        <v>258</v>
      </c>
      <c r="BF165" t="s">
        <v>155</v>
      </c>
      <c r="BG165" t="s">
        <v>893</v>
      </c>
      <c r="BH165">
        <v>102</v>
      </c>
      <c r="BL165">
        <v>45</v>
      </c>
      <c r="BN165">
        <v>4</v>
      </c>
      <c r="BP165">
        <v>10</v>
      </c>
      <c r="BR165">
        <v>0</v>
      </c>
      <c r="BT165">
        <v>18</v>
      </c>
      <c r="BV165">
        <v>0</v>
      </c>
      <c r="BX165">
        <v>25</v>
      </c>
      <c r="BY165" t="s">
        <v>189</v>
      </c>
      <c r="BZ165">
        <v>5</v>
      </c>
      <c r="CA165">
        <v>27</v>
      </c>
      <c r="CB165" t="s">
        <v>84</v>
      </c>
      <c r="CC165" t="s">
        <v>84</v>
      </c>
      <c r="CD165" t="s">
        <v>894</v>
      </c>
      <c r="CE165" t="s">
        <v>4250</v>
      </c>
      <c r="CF165" t="s">
        <v>3901</v>
      </c>
      <c r="CG165" t="s">
        <v>907</v>
      </c>
      <c r="CH165">
        <v>5</v>
      </c>
      <c r="CI165" t="s">
        <v>84</v>
      </c>
      <c r="CJ165" t="s">
        <v>262</v>
      </c>
      <c r="CK165" t="s">
        <v>289</v>
      </c>
      <c r="CL165" t="s">
        <v>895</v>
      </c>
      <c r="CM165" t="s">
        <v>193</v>
      </c>
      <c r="CN165" t="s">
        <v>3874</v>
      </c>
      <c r="CO165" t="s">
        <v>95</v>
      </c>
      <c r="CP165" t="s">
        <v>907</v>
      </c>
      <c r="CQ165" t="s">
        <v>116</v>
      </c>
      <c r="CR165" t="s">
        <v>84</v>
      </c>
      <c r="CS165" t="s">
        <v>117</v>
      </c>
      <c r="CT165" t="s">
        <v>160</v>
      </c>
      <c r="CU165" t="s">
        <v>3869</v>
      </c>
      <c r="CV165" t="s">
        <v>119</v>
      </c>
      <c r="CW165" t="s">
        <v>896</v>
      </c>
      <c r="CX165" t="s">
        <v>897</v>
      </c>
      <c r="CY165" t="s">
        <v>121</v>
      </c>
      <c r="CZ165" t="s">
        <v>240</v>
      </c>
      <c r="DA165">
        <v>0</v>
      </c>
      <c r="DB165" s="10">
        <v>0</v>
      </c>
      <c r="DC165" t="s">
        <v>169</v>
      </c>
      <c r="DD165" t="s">
        <v>907</v>
      </c>
      <c r="DE165">
        <v>2</v>
      </c>
      <c r="DF165">
        <v>4</v>
      </c>
      <c r="DG165" t="s">
        <v>95</v>
      </c>
      <c r="DH165" t="s">
        <v>95</v>
      </c>
      <c r="DI165" t="s">
        <v>907</v>
      </c>
      <c r="DJ165" t="s">
        <v>907</v>
      </c>
      <c r="DK165" t="s">
        <v>907</v>
      </c>
      <c r="DL165" t="s">
        <v>907</v>
      </c>
      <c r="DM165" t="s">
        <v>291</v>
      </c>
      <c r="DN165" t="s">
        <v>907</v>
      </c>
      <c r="DO165" t="s">
        <v>907</v>
      </c>
      <c r="DP165">
        <v>6</v>
      </c>
      <c r="DQ165" t="s">
        <v>441</v>
      </c>
      <c r="DR165" t="s">
        <v>907</v>
      </c>
      <c r="DS165" t="s">
        <v>898</v>
      </c>
      <c r="DT165" t="s">
        <v>883</v>
      </c>
      <c r="DU165" t="s">
        <v>84</v>
      </c>
      <c r="DV165" t="s">
        <v>131</v>
      </c>
      <c r="DW165" t="s">
        <v>899</v>
      </c>
      <c r="DX165" t="s">
        <v>95</v>
      </c>
      <c r="FQ165">
        <v>565934843</v>
      </c>
      <c r="FR165" t="s">
        <v>900</v>
      </c>
      <c r="FS165" s="1">
        <v>45924.665856481479</v>
      </c>
      <c r="FV165" t="s">
        <v>134</v>
      </c>
      <c r="FW165" t="s">
        <v>135</v>
      </c>
      <c r="FX165" t="s">
        <v>136</v>
      </c>
      <c r="FZ165">
        <v>177</v>
      </c>
    </row>
    <row r="166" spans="1:182" hidden="1" x14ac:dyDescent="0.3">
      <c r="A166" s="1">
        <v>45926.425437500002</v>
      </c>
      <c r="B166" s="1">
        <v>45926.436942696761</v>
      </c>
      <c r="D166" t="s">
        <v>84</v>
      </c>
      <c r="E166" t="s">
        <v>3878</v>
      </c>
      <c r="F166" t="s">
        <v>2872</v>
      </c>
      <c r="G166" t="s">
        <v>176</v>
      </c>
      <c r="H166" t="s">
        <v>4122</v>
      </c>
      <c r="I166" t="s">
        <v>2873</v>
      </c>
      <c r="J166" t="s">
        <v>2874</v>
      </c>
      <c r="K166" t="s">
        <v>90</v>
      </c>
      <c r="L166" t="s">
        <v>2867</v>
      </c>
      <c r="M166" t="s">
        <v>2868</v>
      </c>
      <c r="N166" t="s">
        <v>2875</v>
      </c>
      <c r="O166">
        <v>-15.2143654</v>
      </c>
      <c r="P166">
        <v>22.934911199999998</v>
      </c>
      <c r="Q166">
        <v>1023.2</v>
      </c>
      <c r="R166">
        <v>4.8330000000000002</v>
      </c>
      <c r="S166" t="s">
        <v>84</v>
      </c>
      <c r="T166" t="s">
        <v>94</v>
      </c>
      <c r="U166">
        <v>8</v>
      </c>
      <c r="V166" t="s">
        <v>95</v>
      </c>
      <c r="W166" t="s">
        <v>907</v>
      </c>
      <c r="X166">
        <v>12</v>
      </c>
      <c r="Y166">
        <v>2</v>
      </c>
      <c r="Z166">
        <v>1</v>
      </c>
      <c r="AA166" t="s">
        <v>96</v>
      </c>
      <c r="AB166" t="s">
        <v>351</v>
      </c>
      <c r="AC166" t="s">
        <v>98</v>
      </c>
      <c r="AD166" t="s">
        <v>280</v>
      </c>
      <c r="AE166" t="s">
        <v>304</v>
      </c>
      <c r="AF166" t="s">
        <v>907</v>
      </c>
      <c r="AG166">
        <v>0</v>
      </c>
      <c r="AH166" t="s">
        <v>147</v>
      </c>
      <c r="AI166" t="s">
        <v>907</v>
      </c>
      <c r="AJ166" s="5">
        <v>100</v>
      </c>
      <c r="AK166" t="s">
        <v>102</v>
      </c>
      <c r="AL166" t="s">
        <v>907</v>
      </c>
      <c r="AM166" t="s">
        <v>1154</v>
      </c>
      <c r="AN166" t="s">
        <v>907</v>
      </c>
      <c r="AO166" t="s">
        <v>267</v>
      </c>
      <c r="AP166" t="s">
        <v>3960</v>
      </c>
      <c r="AQ166" t="s">
        <v>466</v>
      </c>
      <c r="AR166" t="s">
        <v>95</v>
      </c>
      <c r="AS166">
        <v>0</v>
      </c>
      <c r="AT166">
        <v>0</v>
      </c>
      <c r="AU166">
        <v>0</v>
      </c>
      <c r="AV166">
        <v>0</v>
      </c>
      <c r="AW166">
        <v>0</v>
      </c>
      <c r="AX166">
        <v>0</v>
      </c>
      <c r="AY166">
        <v>0</v>
      </c>
      <c r="AZ166" t="s">
        <v>929</v>
      </c>
      <c r="BA166" t="s">
        <v>95</v>
      </c>
      <c r="BB166" t="s">
        <v>308</v>
      </c>
      <c r="BC166" t="s">
        <v>907</v>
      </c>
      <c r="BD166" t="s">
        <v>257</v>
      </c>
      <c r="BE166" t="s">
        <v>258</v>
      </c>
      <c r="BF166" t="s">
        <v>2876</v>
      </c>
      <c r="BG166" t="s">
        <v>235</v>
      </c>
      <c r="BH166">
        <v>17</v>
      </c>
      <c r="BL166">
        <v>9</v>
      </c>
      <c r="BN166">
        <v>2</v>
      </c>
      <c r="BP166">
        <v>0</v>
      </c>
      <c r="BR166">
        <v>0</v>
      </c>
      <c r="BT166">
        <v>2</v>
      </c>
      <c r="BV166">
        <v>0</v>
      </c>
      <c r="BX166">
        <v>4</v>
      </c>
      <c r="BY166" t="s">
        <v>110</v>
      </c>
      <c r="BZ166" t="s">
        <v>907</v>
      </c>
      <c r="CA166" t="s">
        <v>907</v>
      </c>
      <c r="CB166" t="s">
        <v>84</v>
      </c>
      <c r="CC166" t="s">
        <v>84</v>
      </c>
      <c r="CD166" t="s">
        <v>1734</v>
      </c>
      <c r="CE166" t="s">
        <v>4252</v>
      </c>
      <c r="CF166" t="s">
        <v>988</v>
      </c>
      <c r="CG166" t="s">
        <v>907</v>
      </c>
      <c r="CH166">
        <v>5</v>
      </c>
      <c r="CI166" t="s">
        <v>84</v>
      </c>
      <c r="CJ166" t="s">
        <v>160</v>
      </c>
      <c r="CK166" t="s">
        <v>1005</v>
      </c>
      <c r="CL166" t="s">
        <v>263</v>
      </c>
      <c r="CM166" t="s">
        <v>162</v>
      </c>
      <c r="CN166" t="s">
        <v>3874</v>
      </c>
      <c r="CO166" t="s">
        <v>95</v>
      </c>
      <c r="CP166" t="s">
        <v>907</v>
      </c>
      <c r="CQ166" t="s">
        <v>116</v>
      </c>
      <c r="CR166" t="s">
        <v>95</v>
      </c>
      <c r="CS166" t="s">
        <v>907</v>
      </c>
      <c r="CT166" t="s">
        <v>907</v>
      </c>
      <c r="CU166" t="s">
        <v>907</v>
      </c>
      <c r="CV166" t="s">
        <v>812</v>
      </c>
      <c r="CW166" t="s">
        <v>907</v>
      </c>
      <c r="CX166" t="s">
        <v>907</v>
      </c>
      <c r="CY166" t="s">
        <v>907</v>
      </c>
      <c r="CZ166" t="s">
        <v>907</v>
      </c>
      <c r="DA166" t="s">
        <v>907</v>
      </c>
      <c r="DB166" t="s">
        <v>907</v>
      </c>
      <c r="DC166" t="s">
        <v>907</v>
      </c>
      <c r="DD166" t="s">
        <v>907</v>
      </c>
      <c r="DE166" t="s">
        <v>907</v>
      </c>
      <c r="DF166" t="s">
        <v>907</v>
      </c>
      <c r="DG166" t="s">
        <v>95</v>
      </c>
      <c r="DH166" t="s">
        <v>95</v>
      </c>
      <c r="DI166" t="s">
        <v>907</v>
      </c>
      <c r="DJ166" t="s">
        <v>907</v>
      </c>
      <c r="DK166" t="s">
        <v>907</v>
      </c>
      <c r="DL166" t="s">
        <v>907</v>
      </c>
      <c r="DM166" t="s">
        <v>291</v>
      </c>
      <c r="DN166" t="s">
        <v>907</v>
      </c>
      <c r="DO166" t="s">
        <v>907</v>
      </c>
      <c r="DP166">
        <v>2</v>
      </c>
      <c r="DQ166" t="s">
        <v>441</v>
      </c>
      <c r="DR166" t="s">
        <v>907</v>
      </c>
      <c r="DS166" t="s">
        <v>2877</v>
      </c>
      <c r="DT166" t="s">
        <v>1737</v>
      </c>
      <c r="DU166" t="s">
        <v>95</v>
      </c>
      <c r="DV166" t="s">
        <v>907</v>
      </c>
      <c r="DW166" t="s">
        <v>907</v>
      </c>
      <c r="DX166" t="s">
        <v>907</v>
      </c>
      <c r="FQ166">
        <v>567443265</v>
      </c>
      <c r="FR166" t="s">
        <v>2878</v>
      </c>
      <c r="FS166" s="1">
        <v>45926.568148148152</v>
      </c>
      <c r="FV166" t="s">
        <v>134</v>
      </c>
      <c r="FW166" t="s">
        <v>135</v>
      </c>
      <c r="FX166" t="s">
        <v>136</v>
      </c>
      <c r="FZ166">
        <v>411</v>
      </c>
    </row>
    <row r="167" spans="1:182" x14ac:dyDescent="0.3">
      <c r="A167" s="1">
        <v>45923.379803229167</v>
      </c>
      <c r="B167" s="1">
        <v>45923.534041874998</v>
      </c>
      <c r="D167" t="s">
        <v>84</v>
      </c>
      <c r="E167" t="s">
        <v>85</v>
      </c>
      <c r="F167" t="s">
        <v>175</v>
      </c>
      <c r="G167" t="s">
        <v>176</v>
      </c>
      <c r="H167" t="s">
        <v>4122</v>
      </c>
      <c r="I167" t="s">
        <v>177</v>
      </c>
      <c r="J167" t="s">
        <v>178</v>
      </c>
      <c r="K167" t="s">
        <v>90</v>
      </c>
      <c r="L167" t="s">
        <v>179</v>
      </c>
      <c r="M167" t="s">
        <v>180</v>
      </c>
      <c r="N167" t="s">
        <v>181</v>
      </c>
      <c r="O167">
        <v>-15.4676496</v>
      </c>
      <c r="P167">
        <v>23.220103600000002</v>
      </c>
      <c r="Q167">
        <v>1019.24169921875</v>
      </c>
      <c r="R167">
        <v>4.8479999999999999</v>
      </c>
      <c r="S167" t="s">
        <v>84</v>
      </c>
      <c r="T167" t="s">
        <v>182</v>
      </c>
      <c r="U167">
        <v>6</v>
      </c>
      <c r="V167" t="s">
        <v>95</v>
      </c>
      <c r="W167" t="s">
        <v>907</v>
      </c>
      <c r="X167">
        <v>20</v>
      </c>
      <c r="Y167">
        <v>4</v>
      </c>
      <c r="Z167">
        <v>4</v>
      </c>
      <c r="AA167" t="s">
        <v>96</v>
      </c>
      <c r="AB167" t="s">
        <v>97</v>
      </c>
      <c r="AC167" t="s">
        <v>98</v>
      </c>
      <c r="AD167" t="s">
        <v>99</v>
      </c>
      <c r="AE167" t="s">
        <v>100</v>
      </c>
      <c r="AF167" t="s">
        <v>907</v>
      </c>
      <c r="AG167">
        <v>400</v>
      </c>
      <c r="AH167" t="s">
        <v>183</v>
      </c>
      <c r="AI167" t="s">
        <v>907</v>
      </c>
      <c r="AJ167" s="5">
        <v>400</v>
      </c>
      <c r="AK167" t="s">
        <v>184</v>
      </c>
      <c r="AL167" t="s">
        <v>907</v>
      </c>
      <c r="AM167" t="s">
        <v>185</v>
      </c>
      <c r="AN167" t="s">
        <v>907</v>
      </c>
      <c r="AO167" t="s">
        <v>186</v>
      </c>
      <c r="AP167" t="s">
        <v>187</v>
      </c>
      <c r="AQ167" t="s">
        <v>188</v>
      </c>
      <c r="AR167" t="s">
        <v>95</v>
      </c>
      <c r="AS167">
        <v>13</v>
      </c>
      <c r="AT167">
        <v>18</v>
      </c>
      <c r="AU167">
        <v>0</v>
      </c>
      <c r="AV167">
        <v>0</v>
      </c>
      <c r="AW167">
        <v>0</v>
      </c>
      <c r="AX167">
        <v>0</v>
      </c>
      <c r="AY167">
        <v>0</v>
      </c>
      <c r="AZ167" t="s">
        <v>106</v>
      </c>
      <c r="BA167" t="s">
        <v>95</v>
      </c>
      <c r="BB167" t="s">
        <v>3866</v>
      </c>
      <c r="BC167" t="s">
        <v>907</v>
      </c>
      <c r="BD167" t="s">
        <v>107</v>
      </c>
      <c r="BE167" t="s">
        <v>108</v>
      </c>
      <c r="BF167" t="s">
        <v>3871</v>
      </c>
      <c r="BG167" t="s">
        <v>156</v>
      </c>
      <c r="BH167">
        <v>33</v>
      </c>
      <c r="BL167">
        <v>52</v>
      </c>
      <c r="BN167">
        <v>9</v>
      </c>
      <c r="BX167">
        <v>2</v>
      </c>
      <c r="BY167" t="s">
        <v>189</v>
      </c>
      <c r="BZ167">
        <v>2</v>
      </c>
      <c r="CA167">
        <v>15</v>
      </c>
      <c r="CB167" t="s">
        <v>84</v>
      </c>
      <c r="CC167" t="s">
        <v>84</v>
      </c>
      <c r="CD167" t="s">
        <v>190</v>
      </c>
      <c r="CE167" t="s">
        <v>4250</v>
      </c>
      <c r="CF167" t="s">
        <v>191</v>
      </c>
      <c r="CG167" t="s">
        <v>907</v>
      </c>
      <c r="CH167">
        <v>5</v>
      </c>
      <c r="CI167" t="s">
        <v>95</v>
      </c>
      <c r="CJ167" t="s">
        <v>907</v>
      </c>
      <c r="CK167" t="s">
        <v>113</v>
      </c>
      <c r="CL167" t="s">
        <v>192</v>
      </c>
      <c r="CM167" t="s">
        <v>193</v>
      </c>
      <c r="CN167" t="s">
        <v>194</v>
      </c>
      <c r="CO167" t="s">
        <v>95</v>
      </c>
      <c r="CP167" t="s">
        <v>907</v>
      </c>
      <c r="CQ167" t="s">
        <v>116</v>
      </c>
      <c r="CR167" t="s">
        <v>95</v>
      </c>
      <c r="CS167" t="s">
        <v>907</v>
      </c>
      <c r="CT167" t="s">
        <v>907</v>
      </c>
      <c r="CU167" t="s">
        <v>907</v>
      </c>
      <c r="CV167" t="s">
        <v>119</v>
      </c>
      <c r="CW167" t="s">
        <v>195</v>
      </c>
      <c r="CX167" t="s">
        <v>119</v>
      </c>
      <c r="CY167" t="s">
        <v>121</v>
      </c>
      <c r="CZ167" t="s">
        <v>196</v>
      </c>
      <c r="DA167">
        <v>0</v>
      </c>
      <c r="DB167" s="10">
        <v>2000</v>
      </c>
      <c r="DC167" t="s">
        <v>169</v>
      </c>
      <c r="DD167" t="s">
        <v>907</v>
      </c>
      <c r="DE167">
        <v>10</v>
      </c>
      <c r="DF167">
        <v>25</v>
      </c>
      <c r="DG167" t="s">
        <v>84</v>
      </c>
      <c r="DH167" t="s">
        <v>84</v>
      </c>
      <c r="DI167" t="s">
        <v>197</v>
      </c>
      <c r="DJ167" t="s">
        <v>198</v>
      </c>
      <c r="DK167" t="s">
        <v>907</v>
      </c>
      <c r="DL167" t="s">
        <v>199</v>
      </c>
      <c r="DM167" t="s">
        <v>125</v>
      </c>
      <c r="DN167" t="s">
        <v>200</v>
      </c>
      <c r="DO167" t="s">
        <v>201</v>
      </c>
      <c r="DP167">
        <v>5</v>
      </c>
      <c r="DQ167" t="s">
        <v>202</v>
      </c>
      <c r="DR167" t="s">
        <v>907</v>
      </c>
      <c r="DS167" t="s">
        <v>203</v>
      </c>
      <c r="DT167" t="s">
        <v>204</v>
      </c>
      <c r="DU167" t="s">
        <v>84</v>
      </c>
      <c r="DV167" t="s">
        <v>205</v>
      </c>
      <c r="DW167" t="s">
        <v>132</v>
      </c>
      <c r="DX167" t="s">
        <v>95</v>
      </c>
      <c r="FQ167">
        <v>565100065</v>
      </c>
      <c r="FR167" t="s">
        <v>206</v>
      </c>
      <c r="FS167" s="1">
        <v>45923.675358796303</v>
      </c>
      <c r="FV167" t="s">
        <v>134</v>
      </c>
      <c r="FW167" t="s">
        <v>135</v>
      </c>
      <c r="FX167" t="s">
        <v>136</v>
      </c>
      <c r="FZ167">
        <v>91</v>
      </c>
    </row>
    <row r="168" spans="1:182" hidden="1" x14ac:dyDescent="0.3">
      <c r="A168" s="1">
        <v>45925.41316009259</v>
      </c>
      <c r="B168" s="1">
        <v>45925.468700324083</v>
      </c>
      <c r="D168" t="s">
        <v>84</v>
      </c>
      <c r="E168" t="s">
        <v>798</v>
      </c>
      <c r="F168" t="s">
        <v>1981</v>
      </c>
      <c r="G168" t="s">
        <v>176</v>
      </c>
      <c r="H168" t="s">
        <v>4122</v>
      </c>
      <c r="I168" t="s">
        <v>1982</v>
      </c>
      <c r="J168" t="s">
        <v>1983</v>
      </c>
      <c r="K168" t="s">
        <v>90</v>
      </c>
      <c r="L168" t="s">
        <v>1984</v>
      </c>
      <c r="M168" t="s">
        <v>1883</v>
      </c>
      <c r="N168" t="s">
        <v>1985</v>
      </c>
      <c r="O168">
        <v>-15.1646821</v>
      </c>
      <c r="P168">
        <v>22.997848000000001</v>
      </c>
      <c r="Q168">
        <v>1021.969970703125</v>
      </c>
      <c r="R168">
        <v>4.8890000000000002</v>
      </c>
      <c r="S168" t="s">
        <v>84</v>
      </c>
      <c r="T168" t="s">
        <v>182</v>
      </c>
      <c r="U168">
        <v>4</v>
      </c>
      <c r="V168" t="s">
        <v>95</v>
      </c>
      <c r="W168" t="s">
        <v>907</v>
      </c>
      <c r="X168">
        <v>4</v>
      </c>
      <c r="Y168">
        <v>3</v>
      </c>
      <c r="Z168">
        <v>3</v>
      </c>
      <c r="AA168" t="s">
        <v>96</v>
      </c>
      <c r="AB168" t="s">
        <v>351</v>
      </c>
      <c r="AC168" t="s">
        <v>98</v>
      </c>
      <c r="AD168" t="s">
        <v>280</v>
      </c>
      <c r="AE168" t="s">
        <v>304</v>
      </c>
      <c r="AF168" t="s">
        <v>907</v>
      </c>
      <c r="AG168">
        <v>1750</v>
      </c>
      <c r="AH168" t="s">
        <v>1986</v>
      </c>
      <c r="AI168" t="s">
        <v>907</v>
      </c>
      <c r="AJ168" s="5">
        <v>183</v>
      </c>
      <c r="AK168" t="s">
        <v>102</v>
      </c>
      <c r="AL168" t="s">
        <v>907</v>
      </c>
      <c r="AM168" t="s">
        <v>1154</v>
      </c>
      <c r="AN168" t="s">
        <v>907</v>
      </c>
      <c r="AO168" t="s">
        <v>267</v>
      </c>
      <c r="AP168" t="s">
        <v>236</v>
      </c>
      <c r="AQ168" t="s">
        <v>956</v>
      </c>
      <c r="AR168" t="s">
        <v>84</v>
      </c>
      <c r="AS168">
        <v>0</v>
      </c>
      <c r="AT168">
        <v>0</v>
      </c>
      <c r="AU168">
        <v>0</v>
      </c>
      <c r="AV168">
        <v>0</v>
      </c>
      <c r="AW168">
        <v>0</v>
      </c>
      <c r="AX168">
        <v>0</v>
      </c>
      <c r="AY168">
        <v>0</v>
      </c>
      <c r="AZ168" t="s">
        <v>929</v>
      </c>
      <c r="BA168" t="s">
        <v>95</v>
      </c>
      <c r="BB168" t="s">
        <v>154</v>
      </c>
      <c r="BC168" t="s">
        <v>907</v>
      </c>
      <c r="BD168" t="s">
        <v>107</v>
      </c>
      <c r="BE168" t="s">
        <v>810</v>
      </c>
      <c r="BF168" t="s">
        <v>3971</v>
      </c>
      <c r="BG168" t="s">
        <v>235</v>
      </c>
      <c r="BH168">
        <v>70</v>
      </c>
      <c r="BN168">
        <v>1</v>
      </c>
      <c r="BP168">
        <v>39</v>
      </c>
      <c r="BR168">
        <v>10</v>
      </c>
      <c r="BT168">
        <v>4</v>
      </c>
      <c r="BX168">
        <v>16</v>
      </c>
      <c r="BY168" t="s">
        <v>189</v>
      </c>
      <c r="BZ168">
        <v>7</v>
      </c>
      <c r="CA168">
        <v>5</v>
      </c>
      <c r="CB168" t="s">
        <v>84</v>
      </c>
      <c r="CC168" t="s">
        <v>84</v>
      </c>
      <c r="CD168" t="s">
        <v>1987</v>
      </c>
      <c r="CE168" t="s">
        <v>4251</v>
      </c>
      <c r="CF168" t="s">
        <v>1988</v>
      </c>
      <c r="CG168" t="s">
        <v>907</v>
      </c>
      <c r="CH168">
        <v>5</v>
      </c>
      <c r="CI168" t="s">
        <v>84</v>
      </c>
      <c r="CJ168" t="s">
        <v>160</v>
      </c>
      <c r="CK168" t="s">
        <v>289</v>
      </c>
      <c r="CL168" t="s">
        <v>456</v>
      </c>
      <c r="CM168" t="s">
        <v>162</v>
      </c>
      <c r="CN168" t="s">
        <v>3874</v>
      </c>
      <c r="CO168" t="s">
        <v>95</v>
      </c>
      <c r="CP168" t="s">
        <v>907</v>
      </c>
      <c r="CQ168" t="s">
        <v>116</v>
      </c>
      <c r="CR168" t="s">
        <v>84</v>
      </c>
      <c r="CS168" t="s">
        <v>117</v>
      </c>
      <c r="CT168" t="s">
        <v>118</v>
      </c>
      <c r="CU168" t="s">
        <v>438</v>
      </c>
      <c r="CV168" t="s">
        <v>119</v>
      </c>
      <c r="CW168" t="s">
        <v>529</v>
      </c>
      <c r="CX168" t="s">
        <v>166</v>
      </c>
      <c r="CY168" t="s">
        <v>121</v>
      </c>
      <c r="CZ168" t="s">
        <v>1565</v>
      </c>
      <c r="DA168">
        <v>2</v>
      </c>
      <c r="DB168" s="10">
        <v>2100</v>
      </c>
      <c r="DC168" t="s">
        <v>169</v>
      </c>
      <c r="DD168" t="s">
        <v>907</v>
      </c>
      <c r="DE168">
        <v>1</v>
      </c>
      <c r="DF168">
        <v>21</v>
      </c>
      <c r="DG168" t="s">
        <v>84</v>
      </c>
      <c r="DH168" t="s">
        <v>95</v>
      </c>
      <c r="DI168" t="s">
        <v>907</v>
      </c>
      <c r="DJ168" t="s">
        <v>907</v>
      </c>
      <c r="DK168" t="s">
        <v>907</v>
      </c>
      <c r="DL168" t="s">
        <v>907</v>
      </c>
      <c r="DM168" t="s">
        <v>291</v>
      </c>
      <c r="DN168" t="s">
        <v>907</v>
      </c>
      <c r="DO168" t="s">
        <v>907</v>
      </c>
      <c r="DP168">
        <v>3</v>
      </c>
      <c r="DQ168" t="s">
        <v>128</v>
      </c>
      <c r="DR168" t="s">
        <v>907</v>
      </c>
      <c r="DS168" t="s">
        <v>882</v>
      </c>
      <c r="DT168" t="s">
        <v>1889</v>
      </c>
      <c r="DU168" t="s">
        <v>84</v>
      </c>
      <c r="DV168" t="s">
        <v>294</v>
      </c>
      <c r="DW168" t="s">
        <v>1120</v>
      </c>
      <c r="DX168" t="s">
        <v>84</v>
      </c>
      <c r="FQ168">
        <v>566860730</v>
      </c>
      <c r="FR168" t="s">
        <v>1989</v>
      </c>
      <c r="FS168" s="1">
        <v>45925.728194444448</v>
      </c>
      <c r="FV168" t="s">
        <v>134</v>
      </c>
      <c r="FW168" t="s">
        <v>135</v>
      </c>
      <c r="FX168" t="s">
        <v>136</v>
      </c>
      <c r="FZ168">
        <v>295</v>
      </c>
    </row>
    <row r="169" spans="1:182" hidden="1" x14ac:dyDescent="0.3">
      <c r="A169" s="1">
        <v>45926.415103321757</v>
      </c>
      <c r="B169" s="1">
        <v>45926.63393167824</v>
      </c>
      <c r="D169" t="s">
        <v>84</v>
      </c>
      <c r="E169" t="s">
        <v>85</v>
      </c>
      <c r="F169" t="s">
        <v>2740</v>
      </c>
      <c r="G169" t="s">
        <v>87</v>
      </c>
      <c r="H169" t="s">
        <v>4122</v>
      </c>
      <c r="I169" t="s">
        <v>2741</v>
      </c>
      <c r="J169" t="s">
        <v>2742</v>
      </c>
      <c r="K169" t="s">
        <v>90</v>
      </c>
      <c r="L169" t="s">
        <v>2743</v>
      </c>
      <c r="M169" t="s">
        <v>2733</v>
      </c>
      <c r="N169" t="s">
        <v>2744</v>
      </c>
      <c r="O169">
        <v>-15.234418399999999</v>
      </c>
      <c r="P169">
        <v>22.9363712</v>
      </c>
      <c r="Q169">
        <v>1029.917358398438</v>
      </c>
      <c r="R169">
        <v>4.8310000000000004</v>
      </c>
      <c r="S169" t="s">
        <v>84</v>
      </c>
      <c r="T169" t="s">
        <v>94</v>
      </c>
      <c r="U169">
        <v>8</v>
      </c>
      <c r="V169" t="s">
        <v>95</v>
      </c>
      <c r="W169" t="s">
        <v>907</v>
      </c>
      <c r="X169">
        <v>20</v>
      </c>
      <c r="Y169">
        <v>6</v>
      </c>
      <c r="Z169">
        <v>1</v>
      </c>
      <c r="AA169" t="s">
        <v>96</v>
      </c>
      <c r="AB169" t="s">
        <v>351</v>
      </c>
      <c r="AC169" t="s">
        <v>98</v>
      </c>
      <c r="AD169" t="s">
        <v>99</v>
      </c>
      <c r="AE169" t="s">
        <v>100</v>
      </c>
      <c r="AF169" t="s">
        <v>907</v>
      </c>
      <c r="AG169">
        <v>0</v>
      </c>
      <c r="AH169" t="s">
        <v>100</v>
      </c>
      <c r="AI169" t="s">
        <v>907</v>
      </c>
      <c r="AJ169" s="5">
        <v>0</v>
      </c>
      <c r="AK169" t="s">
        <v>102</v>
      </c>
      <c r="AL169" t="s">
        <v>907</v>
      </c>
      <c r="AM169" t="s">
        <v>466</v>
      </c>
      <c r="AN169" t="s">
        <v>907</v>
      </c>
      <c r="AO169">
        <v>0</v>
      </c>
      <c r="AP169">
        <v>0</v>
      </c>
      <c r="AQ169" t="s">
        <v>466</v>
      </c>
      <c r="AR169" t="s">
        <v>95</v>
      </c>
      <c r="AS169">
        <v>10</v>
      </c>
      <c r="AT169">
        <v>0</v>
      </c>
      <c r="AU169">
        <v>0</v>
      </c>
      <c r="AV169">
        <v>0</v>
      </c>
      <c r="AW169">
        <v>0</v>
      </c>
      <c r="AX169">
        <v>0</v>
      </c>
      <c r="AY169">
        <v>0</v>
      </c>
      <c r="AZ169" t="s">
        <v>1003</v>
      </c>
      <c r="BA169" t="s">
        <v>95</v>
      </c>
      <c r="BB169" t="s">
        <v>3866</v>
      </c>
      <c r="BC169" t="s">
        <v>907</v>
      </c>
      <c r="BD169" t="s">
        <v>107</v>
      </c>
      <c r="BE169" t="s">
        <v>108</v>
      </c>
      <c r="BF169" t="s">
        <v>544</v>
      </c>
      <c r="BG169" t="s">
        <v>235</v>
      </c>
      <c r="BH169">
        <v>50</v>
      </c>
      <c r="BY169" t="s">
        <v>189</v>
      </c>
      <c r="BZ169">
        <v>5</v>
      </c>
      <c r="CA169">
        <v>2</v>
      </c>
      <c r="CB169" t="s">
        <v>84</v>
      </c>
      <c r="CC169" t="s">
        <v>84</v>
      </c>
      <c r="CD169" t="s">
        <v>545</v>
      </c>
      <c r="CE169" t="s">
        <v>4250</v>
      </c>
      <c r="CF169" t="s">
        <v>4021</v>
      </c>
      <c r="CG169" t="s">
        <v>907</v>
      </c>
      <c r="CH169">
        <v>5</v>
      </c>
      <c r="CI169" t="s">
        <v>95</v>
      </c>
      <c r="CJ169" t="s">
        <v>907</v>
      </c>
      <c r="CK169" t="s">
        <v>289</v>
      </c>
      <c r="CL169" t="s">
        <v>4262</v>
      </c>
      <c r="CM169" t="s">
        <v>115</v>
      </c>
      <c r="CN169" t="s">
        <v>3993</v>
      </c>
      <c r="CO169" t="s">
        <v>95</v>
      </c>
      <c r="CP169" t="s">
        <v>907</v>
      </c>
      <c r="CQ169" t="s">
        <v>116</v>
      </c>
      <c r="CR169" t="s">
        <v>84</v>
      </c>
      <c r="CS169" t="s">
        <v>117</v>
      </c>
      <c r="CT169" t="s">
        <v>264</v>
      </c>
      <c r="CU169" t="s">
        <v>793</v>
      </c>
      <c r="CV169" t="s">
        <v>119</v>
      </c>
      <c r="CW169" t="s">
        <v>559</v>
      </c>
      <c r="CX169" t="s">
        <v>166</v>
      </c>
      <c r="CY169" t="s">
        <v>549</v>
      </c>
      <c r="CZ169" t="s">
        <v>559</v>
      </c>
      <c r="DA169">
        <v>1</v>
      </c>
      <c r="DB169" s="10">
        <v>4000</v>
      </c>
      <c r="DC169" t="s">
        <v>169</v>
      </c>
      <c r="DD169" t="s">
        <v>907</v>
      </c>
      <c r="DE169">
        <v>5</v>
      </c>
      <c r="DF169">
        <v>25</v>
      </c>
      <c r="DG169" t="s">
        <v>95</v>
      </c>
      <c r="DH169" t="s">
        <v>95</v>
      </c>
      <c r="DI169" t="s">
        <v>907</v>
      </c>
      <c r="DJ169" t="s">
        <v>907</v>
      </c>
      <c r="DK169" t="s">
        <v>907</v>
      </c>
      <c r="DL169" t="s">
        <v>907</v>
      </c>
      <c r="DM169" t="s">
        <v>125</v>
      </c>
      <c r="DN169" t="s">
        <v>2386</v>
      </c>
      <c r="DO169" t="s">
        <v>2745</v>
      </c>
      <c r="DP169">
        <v>2</v>
      </c>
      <c r="DQ169" t="s">
        <v>128</v>
      </c>
      <c r="DR169" t="s">
        <v>907</v>
      </c>
      <c r="DS169" t="s">
        <v>2746</v>
      </c>
      <c r="DT169" t="s">
        <v>2747</v>
      </c>
      <c r="DU169" t="s">
        <v>95</v>
      </c>
      <c r="DV169" t="s">
        <v>907</v>
      </c>
      <c r="DW169" t="s">
        <v>907</v>
      </c>
      <c r="DX169" t="s">
        <v>907</v>
      </c>
      <c r="FQ169">
        <v>567424811</v>
      </c>
      <c r="FR169" t="s">
        <v>2748</v>
      </c>
      <c r="FS169" s="1">
        <v>45926.550937499997</v>
      </c>
      <c r="FV169" t="s">
        <v>134</v>
      </c>
      <c r="FW169" t="s">
        <v>135</v>
      </c>
      <c r="FX169" t="s">
        <v>136</v>
      </c>
      <c r="FZ169">
        <v>397</v>
      </c>
    </row>
    <row r="170" spans="1:182" x14ac:dyDescent="0.3">
      <c r="A170" s="1">
        <v>45923.584222280093</v>
      </c>
      <c r="B170" s="1">
        <v>45923.621404861107</v>
      </c>
      <c r="D170" t="s">
        <v>84</v>
      </c>
      <c r="E170" t="s">
        <v>1226</v>
      </c>
      <c r="F170" t="s">
        <v>3921</v>
      </c>
      <c r="G170" t="s">
        <v>176</v>
      </c>
      <c r="H170" t="s">
        <v>4122</v>
      </c>
      <c r="I170" t="s">
        <v>1275</v>
      </c>
      <c r="J170" t="s">
        <v>1276</v>
      </c>
      <c r="K170" t="s">
        <v>90</v>
      </c>
      <c r="L170" t="s">
        <v>3913</v>
      </c>
      <c r="M170" t="s">
        <v>277</v>
      </c>
      <c r="N170" t="s">
        <v>1277</v>
      </c>
      <c r="O170">
        <v>-15.440116700000001</v>
      </c>
      <c r="P170">
        <v>23.216503299999999</v>
      </c>
      <c r="Q170">
        <v>1038.5999999999999</v>
      </c>
      <c r="R170">
        <v>4.5</v>
      </c>
      <c r="S170" t="s">
        <v>84</v>
      </c>
      <c r="T170" t="s">
        <v>182</v>
      </c>
      <c r="U170">
        <v>9</v>
      </c>
      <c r="V170" t="s">
        <v>95</v>
      </c>
      <c r="W170" t="s">
        <v>907</v>
      </c>
      <c r="X170">
        <v>20</v>
      </c>
      <c r="Y170">
        <v>98</v>
      </c>
      <c r="Z170">
        <v>60</v>
      </c>
      <c r="AA170" t="s">
        <v>1046</v>
      </c>
      <c r="AB170" t="s">
        <v>143</v>
      </c>
      <c r="AC170" t="s">
        <v>144</v>
      </c>
      <c r="AD170" t="s">
        <v>520</v>
      </c>
      <c r="AE170" t="s">
        <v>431</v>
      </c>
      <c r="AF170" t="s">
        <v>907</v>
      </c>
      <c r="AG170" s="3">
        <v>20000</v>
      </c>
      <c r="AH170" t="s">
        <v>1278</v>
      </c>
      <c r="AI170" t="s">
        <v>1279</v>
      </c>
      <c r="AJ170" s="5">
        <v>8000</v>
      </c>
      <c r="AK170" t="s">
        <v>1280</v>
      </c>
      <c r="AL170" t="s">
        <v>907</v>
      </c>
      <c r="AM170" t="s">
        <v>1281</v>
      </c>
      <c r="AN170" t="s">
        <v>907</v>
      </c>
      <c r="AO170" t="s">
        <v>1282</v>
      </c>
      <c r="AP170" t="s">
        <v>1283</v>
      </c>
      <c r="AQ170" t="s">
        <v>1284</v>
      </c>
      <c r="AR170" t="s">
        <v>84</v>
      </c>
      <c r="AS170">
        <v>0</v>
      </c>
      <c r="AT170">
        <v>72</v>
      </c>
      <c r="AU170">
        <v>0</v>
      </c>
      <c r="AV170">
        <v>0</v>
      </c>
      <c r="AW170">
        <v>113</v>
      </c>
      <c r="AX170">
        <v>0</v>
      </c>
      <c r="AY170">
        <v>0</v>
      </c>
      <c r="AZ170" t="s">
        <v>629</v>
      </c>
      <c r="BA170" t="s">
        <v>452</v>
      </c>
      <c r="BB170" t="s">
        <v>308</v>
      </c>
      <c r="BC170" t="s">
        <v>907</v>
      </c>
      <c r="BD170" t="s">
        <v>257</v>
      </c>
      <c r="BE170" t="s">
        <v>258</v>
      </c>
      <c r="BF170" t="s">
        <v>1146</v>
      </c>
      <c r="BG170" t="s">
        <v>235</v>
      </c>
      <c r="BH170">
        <v>42</v>
      </c>
      <c r="BL170">
        <v>15</v>
      </c>
      <c r="BN170">
        <v>2</v>
      </c>
      <c r="BP170">
        <v>6</v>
      </c>
      <c r="BR170">
        <v>5</v>
      </c>
      <c r="BT170">
        <v>4</v>
      </c>
      <c r="BV170">
        <v>2</v>
      </c>
      <c r="BX170">
        <v>8</v>
      </c>
      <c r="BY170" t="s">
        <v>110</v>
      </c>
      <c r="BZ170" t="s">
        <v>907</v>
      </c>
      <c r="CA170" t="s">
        <v>907</v>
      </c>
      <c r="CB170" t="s">
        <v>84</v>
      </c>
      <c r="CC170" t="s">
        <v>84</v>
      </c>
      <c r="CD170" t="s">
        <v>1285</v>
      </c>
      <c r="CE170" t="s">
        <v>1286</v>
      </c>
      <c r="CF170" t="s">
        <v>3922</v>
      </c>
      <c r="CG170" t="s">
        <v>907</v>
      </c>
      <c r="CH170">
        <v>5</v>
      </c>
      <c r="CI170" t="s">
        <v>95</v>
      </c>
      <c r="CJ170" t="s">
        <v>907</v>
      </c>
      <c r="CK170" t="s">
        <v>289</v>
      </c>
      <c r="CL170" t="s">
        <v>367</v>
      </c>
      <c r="CM170" t="s">
        <v>193</v>
      </c>
      <c r="CN170" t="s">
        <v>421</v>
      </c>
      <c r="CO170" t="s">
        <v>95</v>
      </c>
      <c r="CP170" t="s">
        <v>907</v>
      </c>
      <c r="CQ170" t="s">
        <v>116</v>
      </c>
      <c r="CR170" t="s">
        <v>84</v>
      </c>
      <c r="CS170" t="s">
        <v>117</v>
      </c>
      <c r="CT170" t="s">
        <v>163</v>
      </c>
      <c r="CU170" t="s">
        <v>438</v>
      </c>
      <c r="CV170" t="s">
        <v>119</v>
      </c>
      <c r="CW170" t="s">
        <v>1251</v>
      </c>
      <c r="CX170" t="s">
        <v>897</v>
      </c>
      <c r="CY170" t="s">
        <v>167</v>
      </c>
      <c r="CZ170" t="s">
        <v>1251</v>
      </c>
      <c r="DA170">
        <v>0</v>
      </c>
      <c r="DB170" s="10" t="s">
        <v>907</v>
      </c>
      <c r="DC170" t="s">
        <v>169</v>
      </c>
      <c r="DD170" t="s">
        <v>907</v>
      </c>
      <c r="DE170">
        <v>1</v>
      </c>
      <c r="DF170">
        <v>25</v>
      </c>
      <c r="DG170" t="s">
        <v>84</v>
      </c>
      <c r="DH170" t="s">
        <v>95</v>
      </c>
      <c r="DI170" t="s">
        <v>907</v>
      </c>
      <c r="DJ170" t="s">
        <v>907</v>
      </c>
      <c r="DK170" t="s">
        <v>907</v>
      </c>
      <c r="DL170" t="s">
        <v>907</v>
      </c>
      <c r="DM170" t="s">
        <v>291</v>
      </c>
      <c r="DN170" t="s">
        <v>907</v>
      </c>
      <c r="DO170" t="s">
        <v>907</v>
      </c>
      <c r="DP170">
        <v>1</v>
      </c>
      <c r="DQ170" t="s">
        <v>128</v>
      </c>
      <c r="DR170" t="s">
        <v>907</v>
      </c>
      <c r="DS170" t="s">
        <v>1287</v>
      </c>
      <c r="DT170" t="s">
        <v>1288</v>
      </c>
      <c r="DU170" t="s">
        <v>84</v>
      </c>
      <c r="DV170" t="s">
        <v>1289</v>
      </c>
      <c r="DW170" t="s">
        <v>533</v>
      </c>
      <c r="DX170" t="s">
        <v>95</v>
      </c>
      <c r="FQ170">
        <v>566012918</v>
      </c>
      <c r="FR170" t="s">
        <v>1290</v>
      </c>
      <c r="FS170" s="1">
        <v>45924.733923611107</v>
      </c>
      <c r="FV170" t="s">
        <v>134</v>
      </c>
      <c r="FW170" t="s">
        <v>135</v>
      </c>
      <c r="FX170" t="s">
        <v>136</v>
      </c>
      <c r="FZ170">
        <v>211</v>
      </c>
    </row>
    <row r="171" spans="1:182" x14ac:dyDescent="0.3">
      <c r="A171" s="1">
        <v>45930.44897824074</v>
      </c>
      <c r="B171" s="1">
        <v>45930.476978055558</v>
      </c>
      <c r="D171" t="s">
        <v>84</v>
      </c>
      <c r="E171" t="s">
        <v>1226</v>
      </c>
      <c r="F171" t="s">
        <v>3719</v>
      </c>
      <c r="G171" t="s">
        <v>176</v>
      </c>
      <c r="H171" t="s">
        <v>4122</v>
      </c>
      <c r="I171" t="s">
        <v>3720</v>
      </c>
      <c r="J171" t="s">
        <v>3721</v>
      </c>
      <c r="K171" t="s">
        <v>90</v>
      </c>
      <c r="L171" t="s">
        <v>3722</v>
      </c>
      <c r="M171" t="s">
        <v>3723</v>
      </c>
      <c r="N171" t="s">
        <v>3724</v>
      </c>
      <c r="O171">
        <v>-15.2067783</v>
      </c>
      <c r="P171">
        <v>22.917283300000001</v>
      </c>
      <c r="Q171">
        <v>1040.2</v>
      </c>
      <c r="R171">
        <v>4.6749999999999998</v>
      </c>
      <c r="S171" t="s">
        <v>84</v>
      </c>
      <c r="T171" t="s">
        <v>94</v>
      </c>
      <c r="U171">
        <v>5</v>
      </c>
      <c r="V171" t="s">
        <v>95</v>
      </c>
      <c r="W171" t="s">
        <v>907</v>
      </c>
      <c r="X171">
        <v>40</v>
      </c>
      <c r="Y171">
        <v>0.2</v>
      </c>
      <c r="Z171">
        <v>1</v>
      </c>
      <c r="AA171" t="s">
        <v>4178</v>
      </c>
      <c r="AB171" t="s">
        <v>351</v>
      </c>
      <c r="AC171" t="s">
        <v>98</v>
      </c>
      <c r="AD171" t="s">
        <v>252</v>
      </c>
      <c r="AE171" t="s">
        <v>304</v>
      </c>
      <c r="AF171" t="s">
        <v>907</v>
      </c>
      <c r="AG171">
        <v>2000</v>
      </c>
      <c r="AH171" t="s">
        <v>3873</v>
      </c>
      <c r="AI171" t="s">
        <v>907</v>
      </c>
      <c r="AJ171" t="s">
        <v>907</v>
      </c>
      <c r="AK171" t="s">
        <v>102</v>
      </c>
      <c r="AL171" t="s">
        <v>907</v>
      </c>
      <c r="AM171" t="s">
        <v>4130</v>
      </c>
      <c r="AN171" t="s">
        <v>907</v>
      </c>
      <c r="AQ171" t="s">
        <v>3704</v>
      </c>
      <c r="AR171" t="s">
        <v>95</v>
      </c>
      <c r="AS171">
        <v>0</v>
      </c>
      <c r="AT171">
        <v>0</v>
      </c>
      <c r="AU171">
        <v>0</v>
      </c>
      <c r="AV171">
        <v>0</v>
      </c>
      <c r="AW171">
        <v>0</v>
      </c>
      <c r="AX171">
        <v>0</v>
      </c>
      <c r="AY171">
        <v>0</v>
      </c>
      <c r="AZ171" t="s">
        <v>284</v>
      </c>
      <c r="BA171" t="s">
        <v>452</v>
      </c>
      <c r="BB171" t="s">
        <v>3866</v>
      </c>
      <c r="BC171" t="s">
        <v>907</v>
      </c>
      <c r="BD171" t="s">
        <v>107</v>
      </c>
      <c r="BE171" t="s">
        <v>258</v>
      </c>
      <c r="BF171" t="s">
        <v>4110</v>
      </c>
      <c r="BG171" t="s">
        <v>156</v>
      </c>
      <c r="BH171">
        <v>71</v>
      </c>
      <c r="BL171">
        <v>28</v>
      </c>
      <c r="BN171">
        <v>4</v>
      </c>
      <c r="BP171">
        <v>5</v>
      </c>
      <c r="BR171">
        <v>2</v>
      </c>
      <c r="BT171">
        <v>4</v>
      </c>
      <c r="BV171">
        <v>5</v>
      </c>
      <c r="BX171">
        <v>23</v>
      </c>
      <c r="BY171" t="s">
        <v>110</v>
      </c>
      <c r="BZ171" t="s">
        <v>907</v>
      </c>
      <c r="CA171" t="s">
        <v>907</v>
      </c>
      <c r="CB171" t="s">
        <v>84</v>
      </c>
      <c r="CC171" t="s">
        <v>84</v>
      </c>
      <c r="CD171" t="s">
        <v>334</v>
      </c>
      <c r="CE171" t="s">
        <v>4251</v>
      </c>
      <c r="CF171" t="s">
        <v>4111</v>
      </c>
      <c r="CG171" t="s">
        <v>907</v>
      </c>
      <c r="CH171">
        <v>5</v>
      </c>
      <c r="CI171" t="s">
        <v>95</v>
      </c>
      <c r="CJ171" t="s">
        <v>907</v>
      </c>
      <c r="CK171" t="s">
        <v>289</v>
      </c>
      <c r="CL171" t="s">
        <v>367</v>
      </c>
      <c r="CM171" t="s">
        <v>193</v>
      </c>
      <c r="CN171" t="s">
        <v>3903</v>
      </c>
      <c r="CO171" t="s">
        <v>95</v>
      </c>
      <c r="CP171" t="s">
        <v>907</v>
      </c>
      <c r="CQ171" t="s">
        <v>116</v>
      </c>
      <c r="CR171" t="s">
        <v>84</v>
      </c>
      <c r="CS171" t="s">
        <v>117</v>
      </c>
      <c r="CT171" t="s">
        <v>163</v>
      </c>
      <c r="CU171" t="s">
        <v>438</v>
      </c>
      <c r="CV171" t="s">
        <v>812</v>
      </c>
      <c r="CW171" t="s">
        <v>2573</v>
      </c>
      <c r="CX171" t="s">
        <v>166</v>
      </c>
      <c r="CY171" t="s">
        <v>167</v>
      </c>
      <c r="CZ171" t="s">
        <v>382</v>
      </c>
      <c r="DA171">
        <v>1</v>
      </c>
      <c r="DB171" s="10">
        <v>6000</v>
      </c>
      <c r="DC171" t="s">
        <v>169</v>
      </c>
      <c r="DD171" t="s">
        <v>907</v>
      </c>
      <c r="DE171">
        <v>3</v>
      </c>
      <c r="DF171">
        <v>25</v>
      </c>
      <c r="DG171" t="s">
        <v>95</v>
      </c>
      <c r="DH171" t="s">
        <v>84</v>
      </c>
      <c r="DI171" t="s">
        <v>197</v>
      </c>
      <c r="DJ171" t="s">
        <v>635</v>
      </c>
      <c r="DK171" t="s">
        <v>907</v>
      </c>
      <c r="DL171" t="s">
        <v>3717</v>
      </c>
      <c r="DM171" t="s">
        <v>291</v>
      </c>
      <c r="DN171" t="s">
        <v>907</v>
      </c>
      <c r="DO171" t="s">
        <v>907</v>
      </c>
      <c r="DP171">
        <v>300</v>
      </c>
      <c r="DQ171" t="s">
        <v>441</v>
      </c>
      <c r="DR171" t="s">
        <v>907</v>
      </c>
      <c r="DS171" t="s">
        <v>1349</v>
      </c>
      <c r="DT171" t="s">
        <v>2265</v>
      </c>
      <c r="DU171" t="s">
        <v>84</v>
      </c>
      <c r="DV171" t="s">
        <v>3725</v>
      </c>
      <c r="DW171" t="s">
        <v>2105</v>
      </c>
      <c r="DX171" t="s">
        <v>95</v>
      </c>
      <c r="FQ171">
        <v>570585129</v>
      </c>
      <c r="FR171" t="s">
        <v>3726</v>
      </c>
      <c r="FS171" s="1">
        <v>45931.275555555563</v>
      </c>
      <c r="FV171" t="s">
        <v>134</v>
      </c>
      <c r="FW171" t="s">
        <v>135</v>
      </c>
      <c r="FX171" t="s">
        <v>136</v>
      </c>
      <c r="FZ171">
        <v>635</v>
      </c>
    </row>
    <row r="172" spans="1:182" x14ac:dyDescent="0.3">
      <c r="A172" s="1">
        <v>45925.586455358804</v>
      </c>
      <c r="B172" s="1">
        <v>45925.611348240738</v>
      </c>
      <c r="D172" t="s">
        <v>84</v>
      </c>
      <c r="E172" t="s">
        <v>1397</v>
      </c>
      <c r="F172" t="s">
        <v>2175</v>
      </c>
      <c r="G172" t="s">
        <v>176</v>
      </c>
      <c r="H172" t="s">
        <v>4122</v>
      </c>
      <c r="I172" t="s">
        <v>2176</v>
      </c>
      <c r="J172" t="s">
        <v>2177</v>
      </c>
      <c r="K172" t="s">
        <v>90</v>
      </c>
      <c r="L172" t="s">
        <v>2138</v>
      </c>
      <c r="M172" t="s">
        <v>2139</v>
      </c>
      <c r="N172" t="s">
        <v>2178</v>
      </c>
      <c r="O172">
        <v>-15.2334616</v>
      </c>
      <c r="P172">
        <v>22.991849200000001</v>
      </c>
      <c r="Q172">
        <v>1026.195556640625</v>
      </c>
      <c r="R172">
        <v>4.8230000000000004</v>
      </c>
      <c r="S172" t="s">
        <v>84</v>
      </c>
      <c r="T172" t="s">
        <v>94</v>
      </c>
      <c r="U172">
        <v>9</v>
      </c>
      <c r="V172" t="s">
        <v>95</v>
      </c>
      <c r="W172" t="s">
        <v>907</v>
      </c>
      <c r="X172">
        <v>15</v>
      </c>
      <c r="Y172" s="3">
        <v>1.2</v>
      </c>
      <c r="Z172">
        <v>1</v>
      </c>
      <c r="AA172" t="s">
        <v>251</v>
      </c>
      <c r="AB172" t="s">
        <v>489</v>
      </c>
      <c r="AC172" t="s">
        <v>98</v>
      </c>
      <c r="AD172" t="s">
        <v>252</v>
      </c>
      <c r="AE172" t="s">
        <v>101</v>
      </c>
      <c r="AF172" t="s">
        <v>907</v>
      </c>
      <c r="AG172" s="3">
        <v>7000</v>
      </c>
      <c r="AH172" t="s">
        <v>2179</v>
      </c>
      <c r="AI172" t="s">
        <v>1232</v>
      </c>
      <c r="AJ172" s="5">
        <v>4000</v>
      </c>
      <c r="AK172" t="s">
        <v>102</v>
      </c>
      <c r="AL172" t="s">
        <v>907</v>
      </c>
      <c r="AM172" t="s">
        <v>1094</v>
      </c>
      <c r="AN172" t="s">
        <v>907</v>
      </c>
      <c r="AO172" t="s">
        <v>2113</v>
      </c>
      <c r="AP172" t="s">
        <v>1392</v>
      </c>
      <c r="AQ172" t="s">
        <v>466</v>
      </c>
      <c r="AR172" t="s">
        <v>84</v>
      </c>
      <c r="AS172">
        <v>3</v>
      </c>
      <c r="AT172">
        <v>0</v>
      </c>
      <c r="AU172">
        <v>0</v>
      </c>
      <c r="AV172">
        <v>15</v>
      </c>
      <c r="AW172">
        <v>0</v>
      </c>
      <c r="AX172">
        <v>0</v>
      </c>
      <c r="AY172">
        <v>0</v>
      </c>
      <c r="AZ172" t="s">
        <v>284</v>
      </c>
      <c r="BA172" t="s">
        <v>452</v>
      </c>
      <c r="BB172" t="s">
        <v>154</v>
      </c>
      <c r="BC172" t="s">
        <v>907</v>
      </c>
      <c r="BD172" t="s">
        <v>107</v>
      </c>
      <c r="BE172" t="s">
        <v>810</v>
      </c>
      <c r="BF172" t="s">
        <v>2160</v>
      </c>
      <c r="BG172" t="s">
        <v>156</v>
      </c>
      <c r="BH172">
        <v>40</v>
      </c>
      <c r="BL172">
        <v>17</v>
      </c>
      <c r="BN172">
        <v>1</v>
      </c>
      <c r="BP172">
        <v>3</v>
      </c>
      <c r="BR172">
        <v>4</v>
      </c>
      <c r="BT172">
        <v>8</v>
      </c>
      <c r="BV172">
        <v>0</v>
      </c>
      <c r="BX172">
        <v>7</v>
      </c>
      <c r="BY172" t="s">
        <v>110</v>
      </c>
      <c r="BZ172" t="s">
        <v>907</v>
      </c>
      <c r="CA172" t="s">
        <v>907</v>
      </c>
      <c r="CB172" t="s">
        <v>84</v>
      </c>
      <c r="CC172" t="s">
        <v>84</v>
      </c>
      <c r="CD172" t="s">
        <v>778</v>
      </c>
      <c r="CE172" t="s">
        <v>4251</v>
      </c>
      <c r="CF172" t="s">
        <v>2180</v>
      </c>
      <c r="CG172" t="s">
        <v>907</v>
      </c>
      <c r="CH172">
        <v>5</v>
      </c>
      <c r="CI172" t="s">
        <v>95</v>
      </c>
      <c r="CJ172" t="s">
        <v>907</v>
      </c>
      <c r="CK172" t="s">
        <v>289</v>
      </c>
      <c r="CL172" t="s">
        <v>367</v>
      </c>
      <c r="CM172" t="s">
        <v>193</v>
      </c>
      <c r="CN172" t="s">
        <v>3868</v>
      </c>
      <c r="CO172" t="s">
        <v>95</v>
      </c>
      <c r="CP172" t="s">
        <v>907</v>
      </c>
      <c r="CQ172" t="s">
        <v>116</v>
      </c>
      <c r="CR172" t="s">
        <v>84</v>
      </c>
      <c r="CS172" t="s">
        <v>117</v>
      </c>
      <c r="CT172" t="s">
        <v>118</v>
      </c>
      <c r="CU172" t="s">
        <v>3869</v>
      </c>
      <c r="CV172" t="s">
        <v>812</v>
      </c>
      <c r="CW172" t="s">
        <v>715</v>
      </c>
      <c r="CX172" t="s">
        <v>166</v>
      </c>
      <c r="CY172" t="s">
        <v>167</v>
      </c>
      <c r="CZ172" t="s">
        <v>945</v>
      </c>
      <c r="DA172">
        <v>0</v>
      </c>
      <c r="DB172" s="10" t="s">
        <v>2181</v>
      </c>
      <c r="DC172" t="s">
        <v>169</v>
      </c>
      <c r="DD172" t="s">
        <v>907</v>
      </c>
      <c r="DE172">
        <v>3</v>
      </c>
      <c r="DF172">
        <v>14</v>
      </c>
      <c r="DG172" t="s">
        <v>95</v>
      </c>
      <c r="DH172" t="s">
        <v>95</v>
      </c>
      <c r="DI172" t="s">
        <v>907</v>
      </c>
      <c r="DJ172" t="s">
        <v>907</v>
      </c>
      <c r="DK172" t="s">
        <v>907</v>
      </c>
      <c r="DL172" t="s">
        <v>907</v>
      </c>
      <c r="DM172" t="s">
        <v>291</v>
      </c>
      <c r="DN172" t="s">
        <v>907</v>
      </c>
      <c r="DO172" t="s">
        <v>907</v>
      </c>
      <c r="DP172">
        <v>300</v>
      </c>
      <c r="DQ172" t="s">
        <v>441</v>
      </c>
      <c r="DR172" t="s">
        <v>907</v>
      </c>
      <c r="DS172" t="s">
        <v>2182</v>
      </c>
      <c r="DT172" t="s">
        <v>1288</v>
      </c>
      <c r="DU172" t="s">
        <v>84</v>
      </c>
      <c r="DV172" t="s">
        <v>864</v>
      </c>
      <c r="DW172" t="s">
        <v>533</v>
      </c>
      <c r="DX172" t="s">
        <v>95</v>
      </c>
      <c r="FQ172">
        <v>566874436</v>
      </c>
      <c r="FR172" t="s">
        <v>2183</v>
      </c>
      <c r="FS172" s="1">
        <v>45925.742685185192</v>
      </c>
      <c r="FV172" t="s">
        <v>134</v>
      </c>
      <c r="FW172" t="s">
        <v>135</v>
      </c>
      <c r="FX172" t="s">
        <v>136</v>
      </c>
      <c r="FZ172">
        <v>311</v>
      </c>
    </row>
    <row r="173" spans="1:182" x14ac:dyDescent="0.3">
      <c r="A173" s="1">
        <v>45925.56017099537</v>
      </c>
      <c r="B173" s="1">
        <v>45925.586249490741</v>
      </c>
      <c r="D173" t="s">
        <v>84</v>
      </c>
      <c r="E173" t="s">
        <v>1397</v>
      </c>
      <c r="F173" t="s">
        <v>2164</v>
      </c>
      <c r="G173" t="s">
        <v>176</v>
      </c>
      <c r="H173" t="s">
        <v>4122</v>
      </c>
      <c r="I173" t="s">
        <v>2165</v>
      </c>
      <c r="J173" t="s">
        <v>2166</v>
      </c>
      <c r="K173" t="s">
        <v>90</v>
      </c>
      <c r="L173" t="s">
        <v>2167</v>
      </c>
      <c r="M173" t="s">
        <v>2168</v>
      </c>
      <c r="N173" t="s">
        <v>2169</v>
      </c>
      <c r="O173">
        <v>-15.233492</v>
      </c>
      <c r="P173">
        <v>22.9918646</v>
      </c>
      <c r="Q173">
        <v>1022.264404296875</v>
      </c>
      <c r="R173">
        <v>4.8170000000000002</v>
      </c>
      <c r="S173" t="s">
        <v>84</v>
      </c>
      <c r="T173" t="s">
        <v>94</v>
      </c>
      <c r="U173">
        <v>8</v>
      </c>
      <c r="V173" t="s">
        <v>212</v>
      </c>
      <c r="W173" t="s">
        <v>2170</v>
      </c>
      <c r="X173">
        <v>8</v>
      </c>
      <c r="Y173">
        <v>0.06</v>
      </c>
      <c r="Z173">
        <v>3</v>
      </c>
      <c r="AA173" t="s">
        <v>465</v>
      </c>
      <c r="AB173" t="s">
        <v>351</v>
      </c>
      <c r="AC173" t="s">
        <v>98</v>
      </c>
      <c r="AD173" t="s">
        <v>252</v>
      </c>
      <c r="AE173" t="s">
        <v>431</v>
      </c>
      <c r="AF173" t="s">
        <v>907</v>
      </c>
      <c r="AG173" s="3">
        <v>5000</v>
      </c>
      <c r="AH173" t="s">
        <v>2156</v>
      </c>
      <c r="AI173" t="s">
        <v>907</v>
      </c>
      <c r="AJ173" s="5">
        <v>4000</v>
      </c>
      <c r="AK173" t="s">
        <v>102</v>
      </c>
      <c r="AL173" t="s">
        <v>907</v>
      </c>
      <c r="AM173" t="s">
        <v>4130</v>
      </c>
      <c r="AN173" t="s">
        <v>907</v>
      </c>
      <c r="AQ173" t="s">
        <v>466</v>
      </c>
      <c r="AR173" t="s">
        <v>95</v>
      </c>
      <c r="AS173">
        <v>0</v>
      </c>
      <c r="AT173">
        <v>0</v>
      </c>
      <c r="AU173">
        <v>0</v>
      </c>
      <c r="AV173">
        <v>0</v>
      </c>
      <c r="AW173">
        <v>0</v>
      </c>
      <c r="AX173">
        <v>0</v>
      </c>
      <c r="AY173">
        <v>0</v>
      </c>
      <c r="AZ173" t="s">
        <v>929</v>
      </c>
      <c r="BA173" t="s">
        <v>452</v>
      </c>
      <c r="BB173" t="s">
        <v>154</v>
      </c>
      <c r="BC173" t="s">
        <v>907</v>
      </c>
      <c r="BD173" t="s">
        <v>107</v>
      </c>
      <c r="BE173" t="s">
        <v>810</v>
      </c>
      <c r="BF173" t="s">
        <v>2171</v>
      </c>
      <c r="BG173" t="s">
        <v>156</v>
      </c>
      <c r="BH173">
        <v>66</v>
      </c>
      <c r="BL173">
        <v>33</v>
      </c>
      <c r="BN173">
        <v>2</v>
      </c>
      <c r="BP173">
        <v>5</v>
      </c>
      <c r="BR173">
        <v>4</v>
      </c>
      <c r="BT173">
        <v>10</v>
      </c>
      <c r="BV173">
        <v>4</v>
      </c>
      <c r="BX173">
        <v>12</v>
      </c>
      <c r="BY173" t="s">
        <v>189</v>
      </c>
      <c r="BZ173">
        <v>2</v>
      </c>
      <c r="CA173">
        <v>36</v>
      </c>
      <c r="CB173" t="s">
        <v>84</v>
      </c>
      <c r="CC173" t="s">
        <v>84</v>
      </c>
      <c r="CD173" t="s">
        <v>778</v>
      </c>
      <c r="CE173" t="s">
        <v>4251</v>
      </c>
      <c r="CF173" t="s">
        <v>3978</v>
      </c>
      <c r="CG173" t="s">
        <v>907</v>
      </c>
      <c r="CH173">
        <v>5</v>
      </c>
      <c r="CI173" t="s">
        <v>84</v>
      </c>
      <c r="CJ173" t="s">
        <v>262</v>
      </c>
      <c r="CK173" t="s">
        <v>289</v>
      </c>
      <c r="CL173" t="s">
        <v>367</v>
      </c>
      <c r="CM173" t="s">
        <v>193</v>
      </c>
      <c r="CN173" t="s">
        <v>421</v>
      </c>
      <c r="CO173" t="s">
        <v>95</v>
      </c>
      <c r="CP173" t="s">
        <v>907</v>
      </c>
      <c r="CQ173" t="s">
        <v>116</v>
      </c>
      <c r="CR173" t="s">
        <v>84</v>
      </c>
      <c r="CS173" t="s">
        <v>117</v>
      </c>
      <c r="CT173" t="s">
        <v>907</v>
      </c>
      <c r="CU173" t="s">
        <v>3869</v>
      </c>
      <c r="CV173" t="s">
        <v>812</v>
      </c>
      <c r="CW173" t="s">
        <v>1622</v>
      </c>
      <c r="CX173" t="s">
        <v>166</v>
      </c>
      <c r="CY173" t="s">
        <v>167</v>
      </c>
      <c r="CZ173" t="s">
        <v>2172</v>
      </c>
      <c r="DA173">
        <v>2</v>
      </c>
      <c r="DB173" s="10">
        <v>12000</v>
      </c>
      <c r="DC173" t="s">
        <v>169</v>
      </c>
      <c r="DD173" t="s">
        <v>907</v>
      </c>
      <c r="DE173">
        <v>3</v>
      </c>
      <c r="DF173">
        <v>12</v>
      </c>
      <c r="DG173" t="s">
        <v>95</v>
      </c>
      <c r="DH173" t="s">
        <v>95</v>
      </c>
      <c r="DI173" t="s">
        <v>907</v>
      </c>
      <c r="DJ173" t="s">
        <v>907</v>
      </c>
      <c r="DK173" t="s">
        <v>907</v>
      </c>
      <c r="DL173" t="s">
        <v>907</v>
      </c>
      <c r="DM173" t="s">
        <v>291</v>
      </c>
      <c r="DN173" t="s">
        <v>907</v>
      </c>
      <c r="DO173" t="s">
        <v>907</v>
      </c>
      <c r="DP173">
        <v>300</v>
      </c>
      <c r="DQ173" t="s">
        <v>441</v>
      </c>
      <c r="DR173" t="s">
        <v>907</v>
      </c>
      <c r="DS173" t="s">
        <v>1362</v>
      </c>
      <c r="DT173" t="s">
        <v>2173</v>
      </c>
      <c r="DU173" t="s">
        <v>84</v>
      </c>
      <c r="DV173" t="s">
        <v>344</v>
      </c>
      <c r="DW173" t="s">
        <v>2105</v>
      </c>
      <c r="DX173" t="s">
        <v>95</v>
      </c>
      <c r="FQ173">
        <v>566874426</v>
      </c>
      <c r="FR173" t="s">
        <v>2174</v>
      </c>
      <c r="FS173" s="1">
        <v>45925.742673611108</v>
      </c>
      <c r="FV173" t="s">
        <v>134</v>
      </c>
      <c r="FW173" t="s">
        <v>135</v>
      </c>
      <c r="FX173" t="s">
        <v>136</v>
      </c>
      <c r="FZ173">
        <v>310</v>
      </c>
    </row>
    <row r="174" spans="1:182" x14ac:dyDescent="0.3">
      <c r="A174" s="1">
        <v>45924.735317685183</v>
      </c>
      <c r="B174" s="1">
        <v>45924.753251273149</v>
      </c>
      <c r="D174" t="s">
        <v>84</v>
      </c>
      <c r="E174" t="s">
        <v>1226</v>
      </c>
      <c r="F174" t="s">
        <v>1353</v>
      </c>
      <c r="G174" t="s">
        <v>87</v>
      </c>
      <c r="H174" t="s">
        <v>4122</v>
      </c>
      <c r="I174" t="s">
        <v>1354</v>
      </c>
      <c r="J174" t="s">
        <v>1355</v>
      </c>
      <c r="K174" t="s">
        <v>90</v>
      </c>
      <c r="L174" t="s">
        <v>1356</v>
      </c>
      <c r="M174" t="s">
        <v>1357</v>
      </c>
      <c r="N174" t="s">
        <v>1358</v>
      </c>
      <c r="O174">
        <v>-15.276188299999999</v>
      </c>
      <c r="P174">
        <v>23.035213299999999</v>
      </c>
      <c r="Q174">
        <v>1042</v>
      </c>
      <c r="R174">
        <v>4.74</v>
      </c>
      <c r="S174" t="s">
        <v>95</v>
      </c>
      <c r="T174" t="s">
        <v>907</v>
      </c>
      <c r="U174" t="s">
        <v>907</v>
      </c>
      <c r="V174" t="s">
        <v>95</v>
      </c>
      <c r="W174" t="s">
        <v>907</v>
      </c>
      <c r="X174">
        <v>13</v>
      </c>
      <c r="Y174">
        <v>12</v>
      </c>
      <c r="Z174">
        <v>2</v>
      </c>
      <c r="AA174" t="s">
        <v>251</v>
      </c>
      <c r="AB174" t="s">
        <v>97</v>
      </c>
      <c r="AC174" t="s">
        <v>98</v>
      </c>
      <c r="AD174" t="s">
        <v>252</v>
      </c>
      <c r="AE174" t="s">
        <v>123</v>
      </c>
      <c r="AF174" t="s">
        <v>1232</v>
      </c>
      <c r="AG174" s="3">
        <v>20000</v>
      </c>
      <c r="AH174" t="s">
        <v>908</v>
      </c>
      <c r="AI174" t="s">
        <v>907</v>
      </c>
      <c r="AJ174" s="5">
        <v>2000</v>
      </c>
      <c r="AK174" t="s">
        <v>102</v>
      </c>
      <c r="AL174" t="s">
        <v>907</v>
      </c>
      <c r="AM174" t="s">
        <v>1359</v>
      </c>
      <c r="AN174" t="s">
        <v>907</v>
      </c>
      <c r="AO174" t="s">
        <v>1360</v>
      </c>
      <c r="AP174" t="s">
        <v>1361</v>
      </c>
      <c r="AQ174" t="s">
        <v>466</v>
      </c>
      <c r="AR174" t="s">
        <v>84</v>
      </c>
      <c r="AS174">
        <v>12</v>
      </c>
      <c r="AT174">
        <v>8</v>
      </c>
      <c r="AU174">
        <v>0</v>
      </c>
      <c r="AV174">
        <v>8</v>
      </c>
      <c r="AW174">
        <v>0</v>
      </c>
      <c r="AX174">
        <v>0</v>
      </c>
      <c r="AY174">
        <v>0</v>
      </c>
      <c r="AZ174" t="s">
        <v>929</v>
      </c>
      <c r="BA174" t="s">
        <v>1065</v>
      </c>
      <c r="BB174" t="s">
        <v>154</v>
      </c>
      <c r="BC174" t="s">
        <v>907</v>
      </c>
      <c r="BD174" t="s">
        <v>107</v>
      </c>
      <c r="BE174" t="s">
        <v>810</v>
      </c>
      <c r="BF174" t="s">
        <v>3928</v>
      </c>
      <c r="BG174" t="s">
        <v>109</v>
      </c>
      <c r="BH174">
        <v>30</v>
      </c>
      <c r="BL174">
        <v>12</v>
      </c>
      <c r="BN174">
        <v>1</v>
      </c>
      <c r="BP174">
        <v>4</v>
      </c>
      <c r="BR174">
        <v>4</v>
      </c>
      <c r="BT174">
        <v>2</v>
      </c>
      <c r="BV174">
        <v>2</v>
      </c>
      <c r="BX174">
        <v>5</v>
      </c>
      <c r="BY174" t="s">
        <v>189</v>
      </c>
      <c r="BZ174">
        <v>3</v>
      </c>
      <c r="CA174">
        <v>7</v>
      </c>
      <c r="CB174" t="s">
        <v>84</v>
      </c>
      <c r="CC174" t="s">
        <v>84</v>
      </c>
      <c r="CD174" t="s">
        <v>334</v>
      </c>
      <c r="CE174" t="s">
        <v>4252</v>
      </c>
      <c r="CF174" t="s">
        <v>3929</v>
      </c>
      <c r="CG174" t="s">
        <v>907</v>
      </c>
      <c r="CH174">
        <v>5</v>
      </c>
      <c r="CI174" t="s">
        <v>84</v>
      </c>
      <c r="CJ174" t="s">
        <v>262</v>
      </c>
      <c r="CK174" t="s">
        <v>289</v>
      </c>
      <c r="CL174" t="s">
        <v>367</v>
      </c>
      <c r="CM174" t="s">
        <v>193</v>
      </c>
      <c r="CN174" t="s">
        <v>3868</v>
      </c>
      <c r="CO174" t="s">
        <v>95</v>
      </c>
      <c r="CP174" t="s">
        <v>907</v>
      </c>
      <c r="CQ174" t="s">
        <v>116</v>
      </c>
      <c r="CR174" t="s">
        <v>84</v>
      </c>
      <c r="CS174" t="s">
        <v>117</v>
      </c>
      <c r="CT174" t="s">
        <v>118</v>
      </c>
      <c r="CU174" t="s">
        <v>3869</v>
      </c>
      <c r="CV174" t="s">
        <v>812</v>
      </c>
      <c r="CW174" t="s">
        <v>483</v>
      </c>
      <c r="CX174" t="s">
        <v>166</v>
      </c>
      <c r="CY174" t="s">
        <v>167</v>
      </c>
      <c r="CZ174" t="s">
        <v>382</v>
      </c>
      <c r="DA174">
        <v>0</v>
      </c>
      <c r="DB174" s="10" t="s">
        <v>907</v>
      </c>
      <c r="DC174" t="s">
        <v>169</v>
      </c>
      <c r="DD174" t="s">
        <v>907</v>
      </c>
      <c r="DE174">
        <v>2</v>
      </c>
      <c r="DF174">
        <v>10</v>
      </c>
      <c r="DG174" t="s">
        <v>95</v>
      </c>
      <c r="DH174" t="s">
        <v>95</v>
      </c>
      <c r="DI174" t="s">
        <v>907</v>
      </c>
      <c r="DJ174" t="s">
        <v>907</v>
      </c>
      <c r="DK174" t="s">
        <v>907</v>
      </c>
      <c r="DL174" t="s">
        <v>907</v>
      </c>
      <c r="DM174" t="s">
        <v>291</v>
      </c>
      <c r="DN174" t="s">
        <v>907</v>
      </c>
      <c r="DO174" t="s">
        <v>907</v>
      </c>
      <c r="DP174">
        <v>1</v>
      </c>
      <c r="DQ174" t="s">
        <v>128</v>
      </c>
      <c r="DR174" t="s">
        <v>907</v>
      </c>
      <c r="DS174" t="s">
        <v>1362</v>
      </c>
      <c r="DT174" t="s">
        <v>1363</v>
      </c>
      <c r="DU174" t="s">
        <v>84</v>
      </c>
      <c r="DV174" t="s">
        <v>131</v>
      </c>
      <c r="DW174" t="s">
        <v>1007</v>
      </c>
      <c r="DX174" t="s">
        <v>84</v>
      </c>
      <c r="FQ174">
        <v>566013010</v>
      </c>
      <c r="FR174" t="s">
        <v>1364</v>
      </c>
      <c r="FS174" s="1">
        <v>45924.734027777777</v>
      </c>
      <c r="FV174" t="s">
        <v>134</v>
      </c>
      <c r="FW174" t="s">
        <v>135</v>
      </c>
      <c r="FX174" t="s">
        <v>136</v>
      </c>
      <c r="FZ174">
        <v>216</v>
      </c>
    </row>
    <row r="175" spans="1:182" x14ac:dyDescent="0.3">
      <c r="A175" s="1">
        <v>45925.611595196759</v>
      </c>
      <c r="B175" s="1">
        <v>45925.637731944436</v>
      </c>
      <c r="D175" t="s">
        <v>84</v>
      </c>
      <c r="E175" t="s">
        <v>1397</v>
      </c>
      <c r="F175" t="s">
        <v>2184</v>
      </c>
      <c r="G175" t="s">
        <v>176</v>
      </c>
      <c r="H175" t="s">
        <v>4122</v>
      </c>
      <c r="I175" t="s">
        <v>2185</v>
      </c>
      <c r="J175" t="s">
        <v>2186</v>
      </c>
      <c r="K175" t="s">
        <v>90</v>
      </c>
      <c r="L175" t="s">
        <v>2187</v>
      </c>
      <c r="M175" t="s">
        <v>2111</v>
      </c>
      <c r="N175" t="s">
        <v>2188</v>
      </c>
      <c r="O175">
        <v>-15.2334421</v>
      </c>
      <c r="P175">
        <v>22.991795100000001</v>
      </c>
      <c r="Q175">
        <v>1027.719604492188</v>
      </c>
      <c r="R175">
        <v>3.79</v>
      </c>
      <c r="S175" t="s">
        <v>84</v>
      </c>
      <c r="T175" t="s">
        <v>94</v>
      </c>
      <c r="U175">
        <v>8</v>
      </c>
      <c r="V175" t="s">
        <v>95</v>
      </c>
      <c r="W175" t="s">
        <v>907</v>
      </c>
      <c r="X175">
        <v>15</v>
      </c>
      <c r="Y175">
        <v>2800</v>
      </c>
      <c r="Z175">
        <v>1</v>
      </c>
      <c r="AA175" t="s">
        <v>251</v>
      </c>
      <c r="AB175" t="s">
        <v>351</v>
      </c>
      <c r="AC175" t="s">
        <v>98</v>
      </c>
      <c r="AD175" t="s">
        <v>252</v>
      </c>
      <c r="AE175" t="s">
        <v>123</v>
      </c>
      <c r="AF175" t="s">
        <v>1232</v>
      </c>
      <c r="AG175" s="3">
        <v>5000</v>
      </c>
      <c r="AH175" t="s">
        <v>1807</v>
      </c>
      <c r="AI175" t="s">
        <v>907</v>
      </c>
      <c r="AJ175" s="5">
        <v>3000</v>
      </c>
      <c r="AK175" t="s">
        <v>102</v>
      </c>
      <c r="AL175" t="s">
        <v>907</v>
      </c>
      <c r="AM175" t="s">
        <v>2189</v>
      </c>
      <c r="AN175" t="s">
        <v>907</v>
      </c>
      <c r="AO175" t="s">
        <v>2114</v>
      </c>
      <c r="AP175" t="s">
        <v>2190</v>
      </c>
      <c r="AQ175" t="s">
        <v>466</v>
      </c>
      <c r="AR175" t="s">
        <v>84</v>
      </c>
      <c r="AS175">
        <v>5</v>
      </c>
      <c r="AT175">
        <v>0</v>
      </c>
      <c r="AU175">
        <v>0</v>
      </c>
      <c r="AV175">
        <v>7</v>
      </c>
      <c r="AW175">
        <v>0</v>
      </c>
      <c r="AX175">
        <v>0</v>
      </c>
      <c r="AY175">
        <v>0</v>
      </c>
      <c r="AZ175" t="s">
        <v>929</v>
      </c>
      <c r="BA175" t="s">
        <v>452</v>
      </c>
      <c r="BB175" t="s">
        <v>154</v>
      </c>
      <c r="BC175" t="s">
        <v>907</v>
      </c>
      <c r="BD175" t="s">
        <v>107</v>
      </c>
      <c r="BE175" t="s">
        <v>258</v>
      </c>
      <c r="BF175" t="s">
        <v>2191</v>
      </c>
      <c r="BG175" t="s">
        <v>156</v>
      </c>
      <c r="BH175">
        <v>130</v>
      </c>
      <c r="BL175">
        <v>61</v>
      </c>
      <c r="BN175">
        <v>4</v>
      </c>
      <c r="BP175">
        <v>30</v>
      </c>
      <c r="BR175">
        <v>0</v>
      </c>
      <c r="BT175">
        <v>20</v>
      </c>
      <c r="BV175">
        <v>5</v>
      </c>
      <c r="BX175">
        <v>10</v>
      </c>
      <c r="BY175" t="s">
        <v>110</v>
      </c>
      <c r="BZ175" t="s">
        <v>907</v>
      </c>
      <c r="CA175" t="s">
        <v>907</v>
      </c>
      <c r="CB175" t="s">
        <v>84</v>
      </c>
      <c r="CC175" t="s">
        <v>84</v>
      </c>
      <c r="CD175" t="s">
        <v>2192</v>
      </c>
      <c r="CE175" t="s">
        <v>4251</v>
      </c>
      <c r="CF175" t="s">
        <v>3979</v>
      </c>
      <c r="CG175" t="s">
        <v>907</v>
      </c>
      <c r="CH175">
        <v>5</v>
      </c>
      <c r="CI175" t="s">
        <v>95</v>
      </c>
      <c r="CJ175" t="s">
        <v>907</v>
      </c>
      <c r="CK175" t="s">
        <v>289</v>
      </c>
      <c r="CL175" t="s">
        <v>367</v>
      </c>
      <c r="CM175" t="s">
        <v>193</v>
      </c>
      <c r="CN175" t="s">
        <v>3868</v>
      </c>
      <c r="CO175" t="s">
        <v>95</v>
      </c>
      <c r="CP175" t="s">
        <v>907</v>
      </c>
      <c r="CQ175" t="s">
        <v>116</v>
      </c>
      <c r="CR175" t="s">
        <v>84</v>
      </c>
      <c r="CS175" t="s">
        <v>117</v>
      </c>
      <c r="CT175" t="s">
        <v>118</v>
      </c>
      <c r="CU175" t="s">
        <v>3869</v>
      </c>
      <c r="CV175" t="s">
        <v>812</v>
      </c>
      <c r="CW175" t="s">
        <v>1137</v>
      </c>
      <c r="CX175" t="s">
        <v>166</v>
      </c>
      <c r="CY175" t="s">
        <v>167</v>
      </c>
      <c r="CZ175" t="s">
        <v>2193</v>
      </c>
      <c r="DA175">
        <v>6</v>
      </c>
      <c r="DB175" s="10">
        <v>36000</v>
      </c>
      <c r="DC175" t="s">
        <v>169</v>
      </c>
      <c r="DD175" t="s">
        <v>907</v>
      </c>
      <c r="DE175">
        <v>2</v>
      </c>
      <c r="DF175">
        <v>12</v>
      </c>
      <c r="DG175" t="s">
        <v>95</v>
      </c>
      <c r="DH175" t="s">
        <v>95</v>
      </c>
      <c r="DI175" t="s">
        <v>907</v>
      </c>
      <c r="DJ175" t="s">
        <v>907</v>
      </c>
      <c r="DK175" t="s">
        <v>907</v>
      </c>
      <c r="DL175" t="s">
        <v>907</v>
      </c>
      <c r="DM175" t="s">
        <v>291</v>
      </c>
      <c r="DN175" t="s">
        <v>907</v>
      </c>
      <c r="DO175" t="s">
        <v>907</v>
      </c>
      <c r="DP175">
        <v>200</v>
      </c>
      <c r="DQ175" t="s">
        <v>441</v>
      </c>
      <c r="DR175" t="s">
        <v>907</v>
      </c>
      <c r="DS175" t="s">
        <v>2194</v>
      </c>
      <c r="DT175" t="s">
        <v>2195</v>
      </c>
      <c r="DU175" t="s">
        <v>84</v>
      </c>
      <c r="DV175" t="s">
        <v>864</v>
      </c>
      <c r="DW175" t="s">
        <v>933</v>
      </c>
      <c r="DX175" t="s">
        <v>95</v>
      </c>
      <c r="FQ175">
        <v>566874443</v>
      </c>
      <c r="FR175" t="s">
        <v>2196</v>
      </c>
      <c r="FS175" s="1">
        <v>45925.742696759262</v>
      </c>
      <c r="FV175" t="s">
        <v>134</v>
      </c>
      <c r="FW175" t="s">
        <v>135</v>
      </c>
      <c r="FX175" t="s">
        <v>136</v>
      </c>
      <c r="FZ175">
        <v>312</v>
      </c>
    </row>
    <row r="176" spans="1:182" x14ac:dyDescent="0.3">
      <c r="A176" s="1">
        <v>45925.586440300933</v>
      </c>
      <c r="B176" s="1">
        <v>45925.611427696756</v>
      </c>
      <c r="D176" t="s">
        <v>84</v>
      </c>
      <c r="E176" t="s">
        <v>1226</v>
      </c>
      <c r="F176" t="s">
        <v>2286</v>
      </c>
      <c r="G176" t="s">
        <v>176</v>
      </c>
      <c r="H176" t="s">
        <v>4122</v>
      </c>
      <c r="I176" t="s">
        <v>2176</v>
      </c>
      <c r="J176" t="s">
        <v>2287</v>
      </c>
      <c r="K176" t="s">
        <v>90</v>
      </c>
      <c r="L176" t="s">
        <v>2138</v>
      </c>
      <c r="M176" t="s">
        <v>2139</v>
      </c>
      <c r="N176" t="s">
        <v>2288</v>
      </c>
      <c r="O176">
        <v>-15.2334833</v>
      </c>
      <c r="P176">
        <v>22.991798299999999</v>
      </c>
      <c r="Q176">
        <v>1027.7</v>
      </c>
      <c r="R176">
        <v>4.9829999999999997</v>
      </c>
      <c r="S176" t="s">
        <v>84</v>
      </c>
      <c r="T176" t="s">
        <v>94</v>
      </c>
      <c r="U176">
        <v>8</v>
      </c>
      <c r="V176" t="s">
        <v>95</v>
      </c>
      <c r="W176" t="s">
        <v>907</v>
      </c>
      <c r="X176">
        <v>6</v>
      </c>
      <c r="Y176">
        <v>1.2</v>
      </c>
      <c r="Z176">
        <v>0.5</v>
      </c>
      <c r="AA176" t="s">
        <v>251</v>
      </c>
      <c r="AB176" t="s">
        <v>489</v>
      </c>
      <c r="AC176" t="s">
        <v>98</v>
      </c>
      <c r="AD176" t="s">
        <v>252</v>
      </c>
      <c r="AE176" t="s">
        <v>101</v>
      </c>
      <c r="AF176" t="s">
        <v>907</v>
      </c>
      <c r="AG176" s="3">
        <v>5000</v>
      </c>
      <c r="AH176" t="s">
        <v>1262</v>
      </c>
      <c r="AI176" t="s">
        <v>1232</v>
      </c>
      <c r="AJ176" s="5">
        <v>2000</v>
      </c>
      <c r="AK176" t="s">
        <v>102</v>
      </c>
      <c r="AL176" t="s">
        <v>907</v>
      </c>
      <c r="AM176" t="s">
        <v>1116</v>
      </c>
      <c r="AN176" t="s">
        <v>907</v>
      </c>
      <c r="AO176" t="s">
        <v>2289</v>
      </c>
      <c r="AP176" t="s">
        <v>2142</v>
      </c>
      <c r="AQ176" t="s">
        <v>466</v>
      </c>
      <c r="AR176" t="s">
        <v>84</v>
      </c>
      <c r="AS176">
        <v>1</v>
      </c>
      <c r="AT176">
        <v>0</v>
      </c>
      <c r="AU176">
        <v>0</v>
      </c>
      <c r="AV176">
        <v>7</v>
      </c>
      <c r="AW176">
        <v>0</v>
      </c>
      <c r="AX176">
        <v>0</v>
      </c>
      <c r="AY176">
        <v>0</v>
      </c>
      <c r="AZ176" t="s">
        <v>284</v>
      </c>
      <c r="BA176" t="s">
        <v>452</v>
      </c>
      <c r="BB176" t="s">
        <v>154</v>
      </c>
      <c r="BC176" t="s">
        <v>907</v>
      </c>
      <c r="BD176" t="s">
        <v>107</v>
      </c>
      <c r="BE176" t="s">
        <v>810</v>
      </c>
      <c r="BF176" t="s">
        <v>2290</v>
      </c>
      <c r="BG176" t="s">
        <v>109</v>
      </c>
      <c r="BH176">
        <v>44</v>
      </c>
      <c r="BL176">
        <v>23</v>
      </c>
      <c r="BN176">
        <v>2</v>
      </c>
      <c r="BP176">
        <v>5</v>
      </c>
      <c r="BR176">
        <v>4</v>
      </c>
      <c r="BT176">
        <v>4</v>
      </c>
      <c r="BV176">
        <v>0</v>
      </c>
      <c r="BX176">
        <v>6</v>
      </c>
      <c r="BY176" t="s">
        <v>110</v>
      </c>
      <c r="BZ176" t="s">
        <v>907</v>
      </c>
      <c r="CA176" t="s">
        <v>907</v>
      </c>
      <c r="CB176" t="s">
        <v>84</v>
      </c>
      <c r="CC176" t="s">
        <v>84</v>
      </c>
      <c r="CD176" t="s">
        <v>778</v>
      </c>
      <c r="CE176" t="s">
        <v>4251</v>
      </c>
      <c r="CF176" t="s">
        <v>2180</v>
      </c>
      <c r="CG176" t="s">
        <v>907</v>
      </c>
      <c r="CH176">
        <v>5</v>
      </c>
      <c r="CI176" t="s">
        <v>95</v>
      </c>
      <c r="CJ176" t="s">
        <v>907</v>
      </c>
      <c r="CK176" t="s">
        <v>289</v>
      </c>
      <c r="CL176" t="s">
        <v>367</v>
      </c>
      <c r="CM176" t="s">
        <v>193</v>
      </c>
      <c r="CN176" t="s">
        <v>3868</v>
      </c>
      <c r="CO176" t="s">
        <v>95</v>
      </c>
      <c r="CP176" t="s">
        <v>907</v>
      </c>
      <c r="CQ176" t="s">
        <v>116</v>
      </c>
      <c r="CR176" t="s">
        <v>84</v>
      </c>
      <c r="CS176" t="s">
        <v>117</v>
      </c>
      <c r="CT176" t="s">
        <v>118</v>
      </c>
      <c r="CU176" t="s">
        <v>3869</v>
      </c>
      <c r="CV176" t="s">
        <v>812</v>
      </c>
      <c r="CW176" t="s">
        <v>495</v>
      </c>
      <c r="CX176" t="s">
        <v>166</v>
      </c>
      <c r="CY176" t="s">
        <v>167</v>
      </c>
      <c r="CZ176" t="s">
        <v>945</v>
      </c>
      <c r="DA176">
        <v>0</v>
      </c>
      <c r="DB176" s="10" t="s">
        <v>907</v>
      </c>
      <c r="DC176" t="s">
        <v>169</v>
      </c>
      <c r="DD176" t="s">
        <v>907</v>
      </c>
      <c r="DE176">
        <v>4</v>
      </c>
      <c r="DF176">
        <v>14</v>
      </c>
      <c r="DG176" t="s">
        <v>95</v>
      </c>
      <c r="DH176" t="s">
        <v>95</v>
      </c>
      <c r="DI176" t="s">
        <v>907</v>
      </c>
      <c r="DJ176" t="s">
        <v>907</v>
      </c>
      <c r="DK176" t="s">
        <v>907</v>
      </c>
      <c r="DL176" t="s">
        <v>907</v>
      </c>
      <c r="DM176" t="s">
        <v>291</v>
      </c>
      <c r="DN176" t="s">
        <v>907</v>
      </c>
      <c r="DO176" t="s">
        <v>907</v>
      </c>
      <c r="DP176">
        <v>300</v>
      </c>
      <c r="DQ176" t="s">
        <v>441</v>
      </c>
      <c r="DR176" t="s">
        <v>907</v>
      </c>
      <c r="DS176" t="s">
        <v>1316</v>
      </c>
      <c r="DT176" t="s">
        <v>2265</v>
      </c>
      <c r="DU176" t="s">
        <v>84</v>
      </c>
      <c r="DV176" t="s">
        <v>864</v>
      </c>
      <c r="DW176" t="s">
        <v>533</v>
      </c>
      <c r="DX176" t="s">
        <v>95</v>
      </c>
      <c r="FQ176">
        <v>566875463</v>
      </c>
      <c r="FR176" t="s">
        <v>2291</v>
      </c>
      <c r="FS176" s="1">
        <v>45925.743877314817</v>
      </c>
      <c r="FV176" t="s">
        <v>134</v>
      </c>
      <c r="FW176" t="s">
        <v>135</v>
      </c>
      <c r="FX176" t="s">
        <v>136</v>
      </c>
      <c r="FZ176">
        <v>322</v>
      </c>
    </row>
    <row r="177" spans="1:182" x14ac:dyDescent="0.3">
      <c r="A177" s="1">
        <v>45926.535207928238</v>
      </c>
      <c r="B177" s="1">
        <v>45926.550296562498</v>
      </c>
      <c r="D177" t="s">
        <v>84</v>
      </c>
      <c r="E177" t="s">
        <v>1226</v>
      </c>
      <c r="F177" t="s">
        <v>4036</v>
      </c>
      <c r="G177" t="s">
        <v>176</v>
      </c>
      <c r="H177" t="s">
        <v>4121</v>
      </c>
      <c r="I177" t="s">
        <v>3028</v>
      </c>
      <c r="J177" t="s">
        <v>3029</v>
      </c>
      <c r="K177" t="s">
        <v>90</v>
      </c>
      <c r="L177" t="s">
        <v>3030</v>
      </c>
      <c r="M177" t="s">
        <v>4037</v>
      </c>
      <c r="N177" t="s">
        <v>3031</v>
      </c>
      <c r="O177">
        <v>-15.247628300000001</v>
      </c>
      <c r="P177">
        <v>22.961493300000001</v>
      </c>
      <c r="Q177">
        <v>1028</v>
      </c>
      <c r="R177">
        <v>4.9569999999999999</v>
      </c>
      <c r="S177" t="s">
        <v>84</v>
      </c>
      <c r="T177" t="s">
        <v>182</v>
      </c>
      <c r="U177">
        <v>3</v>
      </c>
      <c r="V177" t="s">
        <v>95</v>
      </c>
      <c r="W177" t="s">
        <v>907</v>
      </c>
      <c r="X177">
        <v>2</v>
      </c>
      <c r="Y177">
        <v>100</v>
      </c>
      <c r="Z177">
        <v>1</v>
      </c>
      <c r="AA177" t="s">
        <v>251</v>
      </c>
      <c r="AB177" t="s">
        <v>97</v>
      </c>
      <c r="AC177" t="s">
        <v>98</v>
      </c>
      <c r="AD177" t="s">
        <v>520</v>
      </c>
      <c r="AE177" t="s">
        <v>101</v>
      </c>
      <c r="AF177" t="s">
        <v>907</v>
      </c>
      <c r="AG177">
        <v>1000</v>
      </c>
      <c r="AH177" t="s">
        <v>1262</v>
      </c>
      <c r="AI177" t="s">
        <v>1232</v>
      </c>
      <c r="AJ177" s="5">
        <v>2000</v>
      </c>
      <c r="AK177" t="s">
        <v>102</v>
      </c>
      <c r="AL177" t="s">
        <v>907</v>
      </c>
      <c r="AM177" t="s">
        <v>2008</v>
      </c>
      <c r="AN177" t="s">
        <v>907</v>
      </c>
      <c r="AO177" t="s">
        <v>3032</v>
      </c>
      <c r="AP177" t="s">
        <v>3033</v>
      </c>
      <c r="AQ177" t="s">
        <v>466</v>
      </c>
      <c r="AR177" t="s">
        <v>84</v>
      </c>
      <c r="AS177">
        <v>0</v>
      </c>
      <c r="AT177">
        <v>0</v>
      </c>
      <c r="AU177">
        <v>7</v>
      </c>
      <c r="AV177">
        <v>0</v>
      </c>
      <c r="AW177">
        <v>0</v>
      </c>
      <c r="AX177">
        <v>10</v>
      </c>
      <c r="AY177">
        <v>0</v>
      </c>
      <c r="AZ177" t="s">
        <v>1003</v>
      </c>
      <c r="BA177" t="s">
        <v>452</v>
      </c>
      <c r="BB177" t="s">
        <v>154</v>
      </c>
      <c r="BC177" t="s">
        <v>907</v>
      </c>
      <c r="BD177" t="s">
        <v>107</v>
      </c>
      <c r="BE177" t="s">
        <v>258</v>
      </c>
      <c r="BF177" t="s">
        <v>4038</v>
      </c>
      <c r="BG177" t="s">
        <v>235</v>
      </c>
      <c r="BH177">
        <v>70</v>
      </c>
      <c r="BL177">
        <v>26</v>
      </c>
      <c r="BN177">
        <v>2</v>
      </c>
      <c r="BP177">
        <v>10</v>
      </c>
      <c r="BR177">
        <v>6</v>
      </c>
      <c r="BT177">
        <v>5</v>
      </c>
      <c r="BV177">
        <v>6</v>
      </c>
      <c r="BX177">
        <v>15</v>
      </c>
      <c r="BY177" t="s">
        <v>189</v>
      </c>
      <c r="BZ177">
        <v>3</v>
      </c>
      <c r="CA177">
        <v>5</v>
      </c>
      <c r="CB177" t="s">
        <v>84</v>
      </c>
      <c r="CC177" t="s">
        <v>84</v>
      </c>
      <c r="CD177" t="s">
        <v>334</v>
      </c>
      <c r="CE177" t="s">
        <v>4251</v>
      </c>
      <c r="CF177" t="s">
        <v>4039</v>
      </c>
      <c r="CG177" t="s">
        <v>907</v>
      </c>
      <c r="CH177">
        <v>5</v>
      </c>
      <c r="CI177" t="s">
        <v>84</v>
      </c>
      <c r="CJ177" t="s">
        <v>262</v>
      </c>
      <c r="CK177" t="s">
        <v>289</v>
      </c>
      <c r="CL177" t="s">
        <v>367</v>
      </c>
      <c r="CM177" t="s">
        <v>193</v>
      </c>
      <c r="CN177" t="s">
        <v>3874</v>
      </c>
      <c r="CO177" t="s">
        <v>95</v>
      </c>
      <c r="CP177" t="s">
        <v>907</v>
      </c>
      <c r="CQ177" t="s">
        <v>116</v>
      </c>
      <c r="CR177" t="s">
        <v>95</v>
      </c>
      <c r="CS177" t="s">
        <v>907</v>
      </c>
      <c r="CT177" t="s">
        <v>907</v>
      </c>
      <c r="CU177" t="s">
        <v>907</v>
      </c>
      <c r="CV177" t="s">
        <v>812</v>
      </c>
      <c r="CW177" t="s">
        <v>1137</v>
      </c>
      <c r="CX177" t="s">
        <v>166</v>
      </c>
      <c r="CY177" t="s">
        <v>167</v>
      </c>
      <c r="CZ177" t="s">
        <v>2172</v>
      </c>
      <c r="DA177">
        <v>3</v>
      </c>
      <c r="DB177" s="10">
        <v>12000</v>
      </c>
      <c r="DC177" t="s">
        <v>169</v>
      </c>
      <c r="DD177" t="s">
        <v>907</v>
      </c>
      <c r="DE177">
        <v>3</v>
      </c>
      <c r="DF177">
        <v>20</v>
      </c>
      <c r="DG177" t="s">
        <v>95</v>
      </c>
      <c r="DH177" t="s">
        <v>95</v>
      </c>
      <c r="DI177" t="s">
        <v>907</v>
      </c>
      <c r="DJ177" t="s">
        <v>907</v>
      </c>
      <c r="DK177" t="s">
        <v>907</v>
      </c>
      <c r="DL177" t="s">
        <v>907</v>
      </c>
      <c r="DM177" t="s">
        <v>291</v>
      </c>
      <c r="DN177" t="s">
        <v>907</v>
      </c>
      <c r="DO177" t="s">
        <v>907</v>
      </c>
      <c r="DP177">
        <v>300</v>
      </c>
      <c r="DQ177" t="s">
        <v>441</v>
      </c>
      <c r="DR177" t="s">
        <v>907</v>
      </c>
      <c r="DS177" t="s">
        <v>1362</v>
      </c>
      <c r="DT177" t="s">
        <v>1408</v>
      </c>
      <c r="DU177" t="s">
        <v>84</v>
      </c>
      <c r="DV177" t="s">
        <v>294</v>
      </c>
      <c r="DW177" t="s">
        <v>132</v>
      </c>
      <c r="DX177" t="s">
        <v>95</v>
      </c>
      <c r="FQ177">
        <v>567708629</v>
      </c>
      <c r="FR177" t="s">
        <v>3034</v>
      </c>
      <c r="FS177" s="1">
        <v>45926.814745370371</v>
      </c>
      <c r="FV177" t="s">
        <v>134</v>
      </c>
      <c r="FW177" t="s">
        <v>135</v>
      </c>
      <c r="FX177" t="s">
        <v>136</v>
      </c>
      <c r="FZ177">
        <v>429</v>
      </c>
    </row>
    <row r="178" spans="1:182" hidden="1" x14ac:dyDescent="0.3">
      <c r="A178" s="1">
        <v>45930.386379884258</v>
      </c>
      <c r="B178" s="1">
        <v>45930.410025474543</v>
      </c>
      <c r="D178" t="s">
        <v>84</v>
      </c>
      <c r="E178" t="s">
        <v>297</v>
      </c>
      <c r="F178" t="s">
        <v>3644</v>
      </c>
      <c r="G178" t="s">
        <v>176</v>
      </c>
      <c r="H178" t="s">
        <v>4122</v>
      </c>
      <c r="I178" t="s">
        <v>3645</v>
      </c>
      <c r="J178" t="s">
        <v>3646</v>
      </c>
      <c r="K178" t="s">
        <v>90</v>
      </c>
      <c r="L178" t="s">
        <v>3647</v>
      </c>
      <c r="M178" t="s">
        <v>3648</v>
      </c>
      <c r="N178" t="s">
        <v>3649</v>
      </c>
      <c r="O178">
        <v>-15.194171499999999</v>
      </c>
      <c r="P178">
        <v>22.914088499999998</v>
      </c>
      <c r="Q178">
        <v>1024.045288085938</v>
      </c>
      <c r="R178">
        <v>3.9380000000000002</v>
      </c>
      <c r="S178" t="s">
        <v>84</v>
      </c>
      <c r="T178" t="s">
        <v>94</v>
      </c>
      <c r="U178">
        <v>14</v>
      </c>
      <c r="V178" t="s">
        <v>95</v>
      </c>
      <c r="W178" t="s">
        <v>907</v>
      </c>
      <c r="X178">
        <v>25</v>
      </c>
      <c r="Y178">
        <v>3</v>
      </c>
      <c r="Z178">
        <v>6</v>
      </c>
      <c r="AA178" t="s">
        <v>504</v>
      </c>
      <c r="AB178" t="s">
        <v>351</v>
      </c>
      <c r="AC178" t="s">
        <v>98</v>
      </c>
      <c r="AD178" t="s">
        <v>280</v>
      </c>
      <c r="AE178" t="s">
        <v>304</v>
      </c>
      <c r="AF178" t="s">
        <v>907</v>
      </c>
      <c r="AG178">
        <v>10000</v>
      </c>
      <c r="AH178" t="s">
        <v>100</v>
      </c>
      <c r="AI178" t="s">
        <v>907</v>
      </c>
      <c r="AJ178" s="5">
        <v>2500</v>
      </c>
      <c r="AK178" t="s">
        <v>102</v>
      </c>
      <c r="AL178" t="s">
        <v>907</v>
      </c>
      <c r="AM178" t="s">
        <v>3512</v>
      </c>
      <c r="AN178" t="s">
        <v>907</v>
      </c>
      <c r="AO178" t="s">
        <v>3650</v>
      </c>
      <c r="AP178" t="s">
        <v>3651</v>
      </c>
      <c r="AQ178" t="s">
        <v>466</v>
      </c>
      <c r="AR178" t="s">
        <v>95</v>
      </c>
      <c r="AS178">
        <v>0</v>
      </c>
      <c r="AT178">
        <v>0</v>
      </c>
      <c r="AU178">
        <v>0</v>
      </c>
      <c r="AV178">
        <v>0</v>
      </c>
      <c r="AW178">
        <v>0</v>
      </c>
      <c r="AX178">
        <v>0</v>
      </c>
      <c r="AY178">
        <v>0</v>
      </c>
      <c r="AZ178" t="s">
        <v>929</v>
      </c>
      <c r="BA178" t="s">
        <v>95</v>
      </c>
      <c r="BB178" t="s">
        <v>154</v>
      </c>
      <c r="BC178" t="s">
        <v>907</v>
      </c>
      <c r="BD178" t="s">
        <v>107</v>
      </c>
      <c r="BE178" t="s">
        <v>258</v>
      </c>
      <c r="BF178" t="s">
        <v>3916</v>
      </c>
      <c r="BG178" t="s">
        <v>156</v>
      </c>
      <c r="BH178">
        <v>115</v>
      </c>
      <c r="BL178">
        <v>32</v>
      </c>
      <c r="BN178">
        <v>4</v>
      </c>
      <c r="BP178">
        <v>25</v>
      </c>
      <c r="BR178">
        <v>25</v>
      </c>
      <c r="BT178">
        <v>14</v>
      </c>
      <c r="BV178">
        <v>0</v>
      </c>
      <c r="BX178">
        <v>15</v>
      </c>
      <c r="BY178" t="s">
        <v>189</v>
      </c>
      <c r="BZ178">
        <v>2</v>
      </c>
      <c r="CA178">
        <v>100</v>
      </c>
      <c r="CB178" t="s">
        <v>84</v>
      </c>
      <c r="CC178" t="s">
        <v>84</v>
      </c>
      <c r="CD178" t="s">
        <v>3652</v>
      </c>
      <c r="CE178" t="s">
        <v>4249</v>
      </c>
      <c r="CF178" t="s">
        <v>1577</v>
      </c>
      <c r="CG178" t="s">
        <v>907</v>
      </c>
      <c r="CH178">
        <v>5</v>
      </c>
      <c r="CI178" t="s">
        <v>84</v>
      </c>
      <c r="CJ178" t="s">
        <v>262</v>
      </c>
      <c r="CK178" t="s">
        <v>113</v>
      </c>
      <c r="CL178" t="s">
        <v>3653</v>
      </c>
      <c r="CM178" t="s">
        <v>193</v>
      </c>
      <c r="CN178" t="s">
        <v>3874</v>
      </c>
      <c r="CO178" t="s">
        <v>95</v>
      </c>
      <c r="CP178" t="s">
        <v>907</v>
      </c>
      <c r="CQ178" t="s">
        <v>116</v>
      </c>
      <c r="CR178" t="s">
        <v>84</v>
      </c>
      <c r="CS178" t="s">
        <v>117</v>
      </c>
      <c r="CT178" t="s">
        <v>907</v>
      </c>
      <c r="CU178" t="s">
        <v>438</v>
      </c>
      <c r="CV178" t="s">
        <v>119</v>
      </c>
      <c r="CW178" t="s">
        <v>3654</v>
      </c>
      <c r="CX178" t="s">
        <v>166</v>
      </c>
      <c r="CY178" t="s">
        <v>167</v>
      </c>
      <c r="CZ178" t="s">
        <v>2172</v>
      </c>
      <c r="DA178">
        <v>4</v>
      </c>
      <c r="DB178" s="10">
        <v>12000</v>
      </c>
      <c r="DC178" t="s">
        <v>123</v>
      </c>
      <c r="DD178" t="s">
        <v>3655</v>
      </c>
      <c r="DE178">
        <v>2</v>
      </c>
      <c r="DF178">
        <v>15</v>
      </c>
      <c r="DG178" t="s">
        <v>95</v>
      </c>
      <c r="DH178" t="s">
        <v>95</v>
      </c>
      <c r="DI178" t="s">
        <v>907</v>
      </c>
      <c r="DJ178" t="s">
        <v>907</v>
      </c>
      <c r="DK178" t="s">
        <v>907</v>
      </c>
      <c r="DL178" t="s">
        <v>907</v>
      </c>
      <c r="DM178" t="s">
        <v>291</v>
      </c>
      <c r="DN178" t="s">
        <v>907</v>
      </c>
      <c r="DO178" t="s">
        <v>907</v>
      </c>
      <c r="DP178">
        <v>3</v>
      </c>
      <c r="DQ178" t="s">
        <v>441</v>
      </c>
      <c r="DR178" t="s">
        <v>907</v>
      </c>
      <c r="DS178" t="s">
        <v>1362</v>
      </c>
      <c r="DT178" t="s">
        <v>2486</v>
      </c>
      <c r="DU178" t="s">
        <v>95</v>
      </c>
      <c r="DV178" t="s">
        <v>907</v>
      </c>
      <c r="DW178" t="s">
        <v>907</v>
      </c>
      <c r="DX178" t="s">
        <v>907</v>
      </c>
      <c r="FQ178">
        <v>570054014</v>
      </c>
      <c r="FR178" t="s">
        <v>3656</v>
      </c>
      <c r="FS178" s="1">
        <v>45930.512048611112</v>
      </c>
      <c r="FV178" t="s">
        <v>134</v>
      </c>
      <c r="FW178" t="s">
        <v>135</v>
      </c>
      <c r="FX178" t="s">
        <v>136</v>
      </c>
      <c r="FZ178">
        <v>568</v>
      </c>
    </row>
    <row r="179" spans="1:182" hidden="1" x14ac:dyDescent="0.3">
      <c r="A179" s="1">
        <v>45925.537422118046</v>
      </c>
      <c r="B179" s="1">
        <v>45925.553750381943</v>
      </c>
      <c r="D179" t="s">
        <v>84</v>
      </c>
      <c r="E179" t="s">
        <v>1878</v>
      </c>
      <c r="F179" t="s">
        <v>1916</v>
      </c>
      <c r="G179" t="s">
        <v>176</v>
      </c>
      <c r="H179" t="s">
        <v>4122</v>
      </c>
      <c r="I179" t="s">
        <v>1917</v>
      </c>
      <c r="J179" t="s">
        <v>1918</v>
      </c>
      <c r="K179" t="s">
        <v>90</v>
      </c>
      <c r="L179" t="s">
        <v>1919</v>
      </c>
      <c r="M179" t="s">
        <v>1920</v>
      </c>
      <c r="N179" t="s">
        <v>1921</v>
      </c>
      <c r="O179">
        <v>-15.1646167</v>
      </c>
      <c r="P179">
        <v>22.997872099999999</v>
      </c>
      <c r="Q179">
        <v>1036.4000000000001</v>
      </c>
      <c r="R179">
        <v>3.51</v>
      </c>
      <c r="S179" t="s">
        <v>84</v>
      </c>
      <c r="T179" t="s">
        <v>182</v>
      </c>
      <c r="U179">
        <v>5</v>
      </c>
      <c r="V179" t="s">
        <v>95</v>
      </c>
      <c r="W179" t="s">
        <v>907</v>
      </c>
      <c r="X179">
        <v>20</v>
      </c>
      <c r="Y179">
        <v>4</v>
      </c>
      <c r="Z179">
        <v>2</v>
      </c>
      <c r="AA179" t="s">
        <v>96</v>
      </c>
      <c r="AB179" t="s">
        <v>351</v>
      </c>
      <c r="AC179" t="s">
        <v>98</v>
      </c>
      <c r="AD179" t="s">
        <v>280</v>
      </c>
      <c r="AE179" t="s">
        <v>101</v>
      </c>
      <c r="AF179" t="s">
        <v>907</v>
      </c>
      <c r="AG179">
        <v>1000</v>
      </c>
      <c r="AH179" t="s">
        <v>304</v>
      </c>
      <c r="AI179" t="s">
        <v>907</v>
      </c>
      <c r="AJ179" s="5">
        <v>100</v>
      </c>
      <c r="AK179" t="s">
        <v>148</v>
      </c>
      <c r="AL179" t="s">
        <v>907</v>
      </c>
      <c r="AM179" t="s">
        <v>253</v>
      </c>
      <c r="AN179" t="s">
        <v>907</v>
      </c>
      <c r="AO179" t="s">
        <v>1922</v>
      </c>
      <c r="AP179" t="s">
        <v>1923</v>
      </c>
      <c r="AQ179" t="s">
        <v>1924</v>
      </c>
      <c r="AR179" t="s">
        <v>95</v>
      </c>
      <c r="AS179">
        <v>0</v>
      </c>
      <c r="AT179">
        <v>30</v>
      </c>
      <c r="AU179">
        <v>0</v>
      </c>
      <c r="AV179">
        <v>0</v>
      </c>
      <c r="AW179">
        <v>10</v>
      </c>
      <c r="AX179">
        <v>0</v>
      </c>
      <c r="AY179">
        <v>0</v>
      </c>
      <c r="AZ179" t="s">
        <v>929</v>
      </c>
      <c r="BA179" t="s">
        <v>95</v>
      </c>
      <c r="BB179" t="s">
        <v>154</v>
      </c>
      <c r="BC179" t="s">
        <v>907</v>
      </c>
      <c r="BD179" t="s">
        <v>107</v>
      </c>
      <c r="BE179" t="s">
        <v>258</v>
      </c>
      <c r="BF179" t="s">
        <v>3965</v>
      </c>
      <c r="BG179" t="s">
        <v>156</v>
      </c>
      <c r="BH179">
        <v>14</v>
      </c>
      <c r="BL179">
        <v>52</v>
      </c>
      <c r="BN179">
        <v>1</v>
      </c>
      <c r="BR179">
        <v>2</v>
      </c>
      <c r="BT179">
        <v>2</v>
      </c>
      <c r="BV179">
        <v>0</v>
      </c>
      <c r="BX179">
        <v>3</v>
      </c>
      <c r="BY179" t="s">
        <v>189</v>
      </c>
      <c r="BZ179">
        <v>2</v>
      </c>
      <c r="CA179">
        <v>8</v>
      </c>
      <c r="CB179" t="s">
        <v>84</v>
      </c>
      <c r="CC179" t="s">
        <v>84</v>
      </c>
      <c r="CD179" t="s">
        <v>778</v>
      </c>
      <c r="CE179" t="s">
        <v>4250</v>
      </c>
      <c r="CF179" t="s">
        <v>3966</v>
      </c>
      <c r="CG179" t="s">
        <v>907</v>
      </c>
      <c r="CH179">
        <v>5</v>
      </c>
      <c r="CI179" t="s">
        <v>95</v>
      </c>
      <c r="CJ179" t="s">
        <v>907</v>
      </c>
      <c r="CK179" t="s">
        <v>289</v>
      </c>
      <c r="CL179" t="s">
        <v>1040</v>
      </c>
      <c r="CM179" t="s">
        <v>193</v>
      </c>
      <c r="CN179" t="s">
        <v>3874</v>
      </c>
      <c r="CO179" t="s">
        <v>95</v>
      </c>
      <c r="CP179" t="s">
        <v>907</v>
      </c>
      <c r="CQ179" t="s">
        <v>116</v>
      </c>
      <c r="CR179" t="s">
        <v>84</v>
      </c>
      <c r="CS179" t="s">
        <v>117</v>
      </c>
      <c r="CT179" t="s">
        <v>907</v>
      </c>
      <c r="CU179" t="s">
        <v>3869</v>
      </c>
      <c r="CV179" t="s">
        <v>812</v>
      </c>
      <c r="CW179" t="s">
        <v>1925</v>
      </c>
      <c r="CX179" t="s">
        <v>290</v>
      </c>
      <c r="CY179" t="s">
        <v>907</v>
      </c>
      <c r="CZ179" t="s">
        <v>907</v>
      </c>
      <c r="DA179" t="s">
        <v>907</v>
      </c>
      <c r="DB179" t="s">
        <v>907</v>
      </c>
      <c r="DC179" t="s">
        <v>907</v>
      </c>
      <c r="DD179" t="s">
        <v>907</v>
      </c>
      <c r="DE179" t="s">
        <v>907</v>
      </c>
      <c r="DF179" t="s">
        <v>907</v>
      </c>
      <c r="DG179" t="s">
        <v>95</v>
      </c>
      <c r="DH179" t="s">
        <v>95</v>
      </c>
      <c r="DI179" t="s">
        <v>907</v>
      </c>
      <c r="DJ179" t="s">
        <v>907</v>
      </c>
      <c r="DK179" t="s">
        <v>907</v>
      </c>
      <c r="DL179" t="s">
        <v>907</v>
      </c>
      <c r="DM179" t="s">
        <v>291</v>
      </c>
      <c r="DN179" t="s">
        <v>907</v>
      </c>
      <c r="DO179" t="s">
        <v>907</v>
      </c>
      <c r="DP179">
        <v>3</v>
      </c>
      <c r="DQ179" t="s">
        <v>128</v>
      </c>
      <c r="DR179" t="s">
        <v>907</v>
      </c>
      <c r="DS179" t="s">
        <v>270</v>
      </c>
      <c r="DT179" t="s">
        <v>1926</v>
      </c>
      <c r="DU179" t="s">
        <v>95</v>
      </c>
      <c r="DV179" t="s">
        <v>907</v>
      </c>
      <c r="DW179" t="s">
        <v>907</v>
      </c>
      <c r="DX179" t="s">
        <v>907</v>
      </c>
      <c r="FQ179">
        <v>566859550</v>
      </c>
      <c r="FR179" t="s">
        <v>1927</v>
      </c>
      <c r="FS179" s="1">
        <v>45925.726909722223</v>
      </c>
      <c r="FV179" t="s">
        <v>134</v>
      </c>
      <c r="FW179" t="s">
        <v>135</v>
      </c>
      <c r="FX179" t="s">
        <v>136</v>
      </c>
      <c r="FZ179">
        <v>289</v>
      </c>
    </row>
    <row r="180" spans="1:182" x14ac:dyDescent="0.3">
      <c r="A180" s="1">
        <v>45925.670983124997</v>
      </c>
      <c r="B180" s="1">
        <v>45925.69530496528</v>
      </c>
      <c r="D180" t="s">
        <v>84</v>
      </c>
      <c r="E180" t="s">
        <v>1397</v>
      </c>
      <c r="F180" t="s">
        <v>2207</v>
      </c>
      <c r="G180" t="s">
        <v>176</v>
      </c>
      <c r="H180" t="s">
        <v>4122</v>
      </c>
      <c r="I180" t="s">
        <v>1860</v>
      </c>
      <c r="J180" t="s">
        <v>1861</v>
      </c>
      <c r="K180" t="s">
        <v>90</v>
      </c>
      <c r="L180" t="s">
        <v>2138</v>
      </c>
      <c r="M180" t="s">
        <v>2139</v>
      </c>
      <c r="N180" t="s">
        <v>2208</v>
      </c>
      <c r="O180">
        <v>-15.233430800000001</v>
      </c>
      <c r="P180">
        <v>22.9916631</v>
      </c>
      <c r="Q180">
        <v>1034.421020507812</v>
      </c>
      <c r="R180">
        <v>4.4459999999999997</v>
      </c>
      <c r="S180" t="s">
        <v>84</v>
      </c>
      <c r="T180" t="s">
        <v>94</v>
      </c>
      <c r="U180">
        <v>4</v>
      </c>
      <c r="V180" t="s">
        <v>95</v>
      </c>
      <c r="W180" t="s">
        <v>907</v>
      </c>
      <c r="X180">
        <v>30</v>
      </c>
      <c r="Y180">
        <v>80</v>
      </c>
      <c r="Z180">
        <v>3</v>
      </c>
      <c r="AA180" t="s">
        <v>251</v>
      </c>
      <c r="AB180" t="s">
        <v>351</v>
      </c>
      <c r="AC180" t="s">
        <v>98</v>
      </c>
      <c r="AD180" t="s">
        <v>252</v>
      </c>
      <c r="AE180" t="s">
        <v>100</v>
      </c>
      <c r="AF180" t="s">
        <v>907</v>
      </c>
      <c r="AG180">
        <v>2000</v>
      </c>
      <c r="AH180" t="s">
        <v>2209</v>
      </c>
      <c r="AI180" t="s">
        <v>1232</v>
      </c>
      <c r="AJ180" s="5">
        <v>5000</v>
      </c>
      <c r="AK180" t="s">
        <v>102</v>
      </c>
      <c r="AL180" t="s">
        <v>907</v>
      </c>
      <c r="AM180" t="s">
        <v>1760</v>
      </c>
      <c r="AN180" t="s">
        <v>907</v>
      </c>
      <c r="AO180" t="s">
        <v>2142</v>
      </c>
      <c r="AP180" t="s">
        <v>2210</v>
      </c>
      <c r="AQ180" t="s">
        <v>2211</v>
      </c>
      <c r="AR180" t="s">
        <v>84</v>
      </c>
      <c r="AS180">
        <v>7</v>
      </c>
      <c r="AT180">
        <v>0</v>
      </c>
      <c r="AU180">
        <v>0</v>
      </c>
      <c r="AV180">
        <v>13</v>
      </c>
      <c r="AW180">
        <v>0</v>
      </c>
      <c r="AX180">
        <v>0</v>
      </c>
      <c r="AY180">
        <v>0</v>
      </c>
      <c r="AZ180" t="s">
        <v>929</v>
      </c>
      <c r="BA180" t="s">
        <v>452</v>
      </c>
      <c r="BB180" t="s">
        <v>154</v>
      </c>
      <c r="BC180" t="s">
        <v>907</v>
      </c>
      <c r="BD180" t="s">
        <v>107</v>
      </c>
      <c r="BE180" t="s">
        <v>258</v>
      </c>
      <c r="BF180" t="s">
        <v>2212</v>
      </c>
      <c r="BG180" t="s">
        <v>235</v>
      </c>
      <c r="BH180">
        <v>100</v>
      </c>
      <c r="BL180">
        <v>31</v>
      </c>
      <c r="BN180">
        <v>5</v>
      </c>
      <c r="BP180">
        <v>20</v>
      </c>
      <c r="BR180">
        <v>14</v>
      </c>
      <c r="BT180">
        <v>6</v>
      </c>
      <c r="BV180">
        <v>12</v>
      </c>
      <c r="BX180">
        <v>16</v>
      </c>
      <c r="BY180" t="s">
        <v>189</v>
      </c>
      <c r="BZ180">
        <v>5</v>
      </c>
      <c r="CA180">
        <v>32</v>
      </c>
      <c r="CB180" t="s">
        <v>84</v>
      </c>
      <c r="CC180" t="s">
        <v>84</v>
      </c>
      <c r="CD180" t="s">
        <v>778</v>
      </c>
      <c r="CE180" t="s">
        <v>4250</v>
      </c>
      <c r="CF180" t="s">
        <v>2213</v>
      </c>
      <c r="CG180" t="s">
        <v>907</v>
      </c>
      <c r="CH180">
        <v>5</v>
      </c>
      <c r="CI180" t="s">
        <v>95</v>
      </c>
      <c r="CJ180" t="s">
        <v>907</v>
      </c>
      <c r="CK180" t="s">
        <v>289</v>
      </c>
      <c r="CL180" t="s">
        <v>367</v>
      </c>
      <c r="CM180" t="s">
        <v>193</v>
      </c>
      <c r="CN180" t="s">
        <v>3874</v>
      </c>
      <c r="CO180" t="s">
        <v>95</v>
      </c>
      <c r="CP180" t="s">
        <v>907</v>
      </c>
      <c r="CQ180" t="s">
        <v>116</v>
      </c>
      <c r="CR180" t="s">
        <v>84</v>
      </c>
      <c r="CS180" t="s">
        <v>117</v>
      </c>
      <c r="CT180" t="s">
        <v>118</v>
      </c>
      <c r="CU180" t="s">
        <v>3869</v>
      </c>
      <c r="CV180" t="s">
        <v>812</v>
      </c>
      <c r="CW180" t="s">
        <v>1068</v>
      </c>
      <c r="CX180" t="s">
        <v>166</v>
      </c>
      <c r="CY180" t="s">
        <v>167</v>
      </c>
      <c r="CZ180" t="s">
        <v>980</v>
      </c>
      <c r="DA180">
        <v>2</v>
      </c>
      <c r="DB180" s="10">
        <v>14000</v>
      </c>
      <c r="DC180" t="s">
        <v>169</v>
      </c>
      <c r="DD180" t="s">
        <v>907</v>
      </c>
      <c r="DE180">
        <v>2</v>
      </c>
      <c r="DF180">
        <v>12</v>
      </c>
      <c r="DG180" t="s">
        <v>95</v>
      </c>
      <c r="DH180" t="s">
        <v>95</v>
      </c>
      <c r="DI180" t="s">
        <v>907</v>
      </c>
      <c r="DJ180" t="s">
        <v>907</v>
      </c>
      <c r="DK180" t="s">
        <v>907</v>
      </c>
      <c r="DL180" t="s">
        <v>907</v>
      </c>
      <c r="DM180" t="s">
        <v>291</v>
      </c>
      <c r="DN180" t="s">
        <v>907</v>
      </c>
      <c r="DO180" t="s">
        <v>907</v>
      </c>
      <c r="DP180">
        <v>300</v>
      </c>
      <c r="DQ180" t="s">
        <v>441</v>
      </c>
      <c r="DR180" t="s">
        <v>907</v>
      </c>
      <c r="DS180" t="s">
        <v>1362</v>
      </c>
      <c r="DT180" t="s">
        <v>2214</v>
      </c>
      <c r="DU180" t="s">
        <v>84</v>
      </c>
      <c r="DV180" t="s">
        <v>864</v>
      </c>
      <c r="DW180" t="s">
        <v>2105</v>
      </c>
      <c r="DX180" t="s">
        <v>95</v>
      </c>
      <c r="FQ180">
        <v>566874461</v>
      </c>
      <c r="FR180" t="s">
        <v>2215</v>
      </c>
      <c r="FS180" s="1">
        <v>45925.742719907408</v>
      </c>
      <c r="FV180" t="s">
        <v>134</v>
      </c>
      <c r="FW180" t="s">
        <v>135</v>
      </c>
      <c r="FX180" t="s">
        <v>136</v>
      </c>
      <c r="FZ180">
        <v>314</v>
      </c>
    </row>
    <row r="181" spans="1:182" x14ac:dyDescent="0.3">
      <c r="A181" s="1">
        <v>45930.497301979172</v>
      </c>
      <c r="B181" s="1">
        <v>45930.509577291668</v>
      </c>
      <c r="D181" t="s">
        <v>84</v>
      </c>
      <c r="E181" t="s">
        <v>1226</v>
      </c>
      <c r="F181" t="s">
        <v>3727</v>
      </c>
      <c r="G181" t="s">
        <v>176</v>
      </c>
      <c r="H181" t="s">
        <v>4122</v>
      </c>
      <c r="I181" t="s">
        <v>3728</v>
      </c>
      <c r="J181" t="s">
        <v>3729</v>
      </c>
      <c r="K181" t="s">
        <v>90</v>
      </c>
      <c r="L181" t="s">
        <v>3722</v>
      </c>
      <c r="M181" t="s">
        <v>3730</v>
      </c>
      <c r="N181" t="s">
        <v>3731</v>
      </c>
      <c r="O181">
        <v>-15.2168917</v>
      </c>
      <c r="P181">
        <v>22.922709999999999</v>
      </c>
      <c r="Q181">
        <v>1020.5</v>
      </c>
      <c r="R181">
        <v>3.9</v>
      </c>
      <c r="S181" t="s">
        <v>84</v>
      </c>
      <c r="T181" t="s">
        <v>94</v>
      </c>
      <c r="U181">
        <v>6</v>
      </c>
      <c r="V181" t="s">
        <v>95</v>
      </c>
      <c r="W181" t="s">
        <v>907</v>
      </c>
      <c r="X181">
        <v>19</v>
      </c>
      <c r="Y181">
        <v>200</v>
      </c>
      <c r="Z181">
        <v>1</v>
      </c>
      <c r="AA181" t="s">
        <v>251</v>
      </c>
      <c r="AB181" t="s">
        <v>351</v>
      </c>
      <c r="AC181" t="s">
        <v>98</v>
      </c>
      <c r="AD181" t="s">
        <v>252</v>
      </c>
      <c r="AE181" t="s">
        <v>304</v>
      </c>
      <c r="AF181" t="s">
        <v>907</v>
      </c>
      <c r="AG181" s="3">
        <v>5000</v>
      </c>
      <c r="AH181" t="s">
        <v>101</v>
      </c>
      <c r="AI181" t="s">
        <v>907</v>
      </c>
      <c r="AJ181" s="5">
        <v>1000</v>
      </c>
      <c r="AK181" t="s">
        <v>102</v>
      </c>
      <c r="AL181" t="s">
        <v>907</v>
      </c>
      <c r="AM181" t="s">
        <v>4130</v>
      </c>
      <c r="AN181" t="s">
        <v>907</v>
      </c>
      <c r="AQ181" t="s">
        <v>956</v>
      </c>
      <c r="AR181" t="s">
        <v>95</v>
      </c>
      <c r="AS181">
        <v>0</v>
      </c>
      <c r="AT181">
        <v>0</v>
      </c>
      <c r="AU181">
        <v>0</v>
      </c>
      <c r="AV181">
        <v>0</v>
      </c>
      <c r="AW181">
        <v>0</v>
      </c>
      <c r="AX181">
        <v>0</v>
      </c>
      <c r="AY181">
        <v>0</v>
      </c>
      <c r="AZ181" t="s">
        <v>1003</v>
      </c>
      <c r="BA181" t="s">
        <v>95</v>
      </c>
      <c r="BB181" t="s">
        <v>154</v>
      </c>
      <c r="BC181" t="s">
        <v>907</v>
      </c>
      <c r="BD181" t="s">
        <v>107</v>
      </c>
      <c r="BE181" t="s">
        <v>810</v>
      </c>
      <c r="BF181" t="s">
        <v>3732</v>
      </c>
      <c r="BG181" t="s">
        <v>156</v>
      </c>
      <c r="BH181">
        <v>40</v>
      </c>
      <c r="BL181">
        <v>7</v>
      </c>
      <c r="BN181">
        <v>1</v>
      </c>
      <c r="BP181">
        <v>4</v>
      </c>
      <c r="BR181">
        <v>6</v>
      </c>
      <c r="BT181">
        <v>7</v>
      </c>
      <c r="BV181">
        <v>5</v>
      </c>
      <c r="BX181">
        <v>10</v>
      </c>
      <c r="BY181" t="s">
        <v>189</v>
      </c>
      <c r="BZ181">
        <v>4</v>
      </c>
      <c r="CA181">
        <v>15</v>
      </c>
      <c r="CB181" t="s">
        <v>84</v>
      </c>
      <c r="CC181" t="s">
        <v>84</v>
      </c>
      <c r="CD181" t="s">
        <v>334</v>
      </c>
      <c r="CE181" t="s">
        <v>4251</v>
      </c>
      <c r="CF181" t="s">
        <v>4112</v>
      </c>
      <c r="CG181" t="s">
        <v>907</v>
      </c>
      <c r="CH181">
        <v>5</v>
      </c>
      <c r="CI181" t="s">
        <v>95</v>
      </c>
      <c r="CJ181" t="s">
        <v>907</v>
      </c>
      <c r="CK181" t="s">
        <v>289</v>
      </c>
      <c r="CL181" t="s">
        <v>367</v>
      </c>
      <c r="CM181" t="s">
        <v>193</v>
      </c>
      <c r="CN181" t="s">
        <v>3874</v>
      </c>
      <c r="CO181" t="s">
        <v>95</v>
      </c>
      <c r="CP181" t="s">
        <v>907</v>
      </c>
      <c r="CQ181" t="s">
        <v>116</v>
      </c>
      <c r="CR181" t="s">
        <v>95</v>
      </c>
      <c r="CS181" t="s">
        <v>907</v>
      </c>
      <c r="CT181" t="s">
        <v>907</v>
      </c>
      <c r="CU181" t="s">
        <v>907</v>
      </c>
      <c r="CV181" t="s">
        <v>812</v>
      </c>
      <c r="CW181" t="s">
        <v>907</v>
      </c>
      <c r="CX181" t="s">
        <v>166</v>
      </c>
      <c r="CY181" t="s">
        <v>167</v>
      </c>
      <c r="CZ181" t="s">
        <v>2300</v>
      </c>
      <c r="DA181">
        <v>2</v>
      </c>
      <c r="DB181" s="10">
        <v>15000</v>
      </c>
      <c r="DC181" t="s">
        <v>169</v>
      </c>
      <c r="DD181" t="s">
        <v>907</v>
      </c>
      <c r="DE181">
        <v>3</v>
      </c>
      <c r="DF181">
        <v>20</v>
      </c>
      <c r="DG181" t="s">
        <v>95</v>
      </c>
      <c r="DH181" t="s">
        <v>95</v>
      </c>
      <c r="DI181" t="s">
        <v>907</v>
      </c>
      <c r="DJ181" t="s">
        <v>907</v>
      </c>
      <c r="DK181" t="s">
        <v>907</v>
      </c>
      <c r="DL181" t="s">
        <v>907</v>
      </c>
      <c r="DM181" t="s">
        <v>291</v>
      </c>
      <c r="DN181" t="s">
        <v>907</v>
      </c>
      <c r="DO181" t="s">
        <v>907</v>
      </c>
      <c r="DP181">
        <v>300</v>
      </c>
      <c r="DQ181" t="s">
        <v>441</v>
      </c>
      <c r="DR181" t="s">
        <v>907</v>
      </c>
      <c r="DS181" t="s">
        <v>898</v>
      </c>
      <c r="DT181" t="s">
        <v>1408</v>
      </c>
      <c r="DU181" t="s">
        <v>95</v>
      </c>
      <c r="DV181" t="s">
        <v>907</v>
      </c>
      <c r="DW181" t="s">
        <v>907</v>
      </c>
      <c r="DX181" t="s">
        <v>907</v>
      </c>
      <c r="FQ181">
        <v>570585143</v>
      </c>
      <c r="FR181" t="s">
        <v>3733</v>
      </c>
      <c r="FS181" s="1">
        <v>45931.275567129633</v>
      </c>
      <c r="FV181" t="s">
        <v>134</v>
      </c>
      <c r="FW181" t="s">
        <v>135</v>
      </c>
      <c r="FX181" t="s">
        <v>136</v>
      </c>
      <c r="FZ181">
        <v>636</v>
      </c>
    </row>
    <row r="182" spans="1:182" x14ac:dyDescent="0.3">
      <c r="A182" s="1">
        <v>45924.430955520831</v>
      </c>
      <c r="B182" s="1">
        <v>45924.475891226852</v>
      </c>
      <c r="D182" t="s">
        <v>84</v>
      </c>
      <c r="E182" t="s">
        <v>1384</v>
      </c>
      <c r="F182" t="s">
        <v>1385</v>
      </c>
      <c r="G182" t="s">
        <v>176</v>
      </c>
      <c r="H182" t="s">
        <v>4122</v>
      </c>
      <c r="I182" t="s">
        <v>1386</v>
      </c>
      <c r="J182" t="s">
        <v>1387</v>
      </c>
      <c r="K182" t="s">
        <v>90</v>
      </c>
      <c r="L182" t="s">
        <v>1388</v>
      </c>
      <c r="M182" t="s">
        <v>1389</v>
      </c>
      <c r="N182" t="s">
        <v>1390</v>
      </c>
      <c r="O182">
        <v>-15.327772400000001</v>
      </c>
      <c r="P182">
        <v>23.0400493</v>
      </c>
      <c r="Q182">
        <v>1037.150390625</v>
      </c>
      <c r="R182">
        <v>4.05</v>
      </c>
      <c r="S182" t="s">
        <v>84</v>
      </c>
      <c r="T182" t="s">
        <v>182</v>
      </c>
      <c r="U182">
        <v>10</v>
      </c>
      <c r="V182" t="s">
        <v>95</v>
      </c>
      <c r="W182" t="s">
        <v>907</v>
      </c>
      <c r="X182">
        <v>20</v>
      </c>
      <c r="Y182">
        <v>100</v>
      </c>
      <c r="Z182">
        <v>20</v>
      </c>
      <c r="AA182" t="s">
        <v>251</v>
      </c>
      <c r="AB182" t="s">
        <v>351</v>
      </c>
      <c r="AC182" t="s">
        <v>144</v>
      </c>
      <c r="AD182" t="s">
        <v>252</v>
      </c>
      <c r="AE182" t="s">
        <v>304</v>
      </c>
      <c r="AF182" t="s">
        <v>907</v>
      </c>
      <c r="AG182" s="3">
        <v>7500</v>
      </c>
      <c r="AH182" t="s">
        <v>101</v>
      </c>
      <c r="AI182" t="s">
        <v>907</v>
      </c>
      <c r="AJ182" s="5">
        <v>2000</v>
      </c>
      <c r="AK182" t="s">
        <v>102</v>
      </c>
      <c r="AL182" t="s">
        <v>907</v>
      </c>
      <c r="AM182" t="s">
        <v>466</v>
      </c>
      <c r="AN182" t="s">
        <v>907</v>
      </c>
      <c r="AO182" t="s">
        <v>1391</v>
      </c>
      <c r="AP182" t="s">
        <v>1392</v>
      </c>
      <c r="AQ182" t="s">
        <v>1393</v>
      </c>
      <c r="AR182" t="s">
        <v>84</v>
      </c>
      <c r="AS182">
        <v>6</v>
      </c>
      <c r="AT182">
        <v>0</v>
      </c>
      <c r="AU182">
        <v>0</v>
      </c>
      <c r="AV182">
        <v>15</v>
      </c>
      <c r="AW182">
        <v>0</v>
      </c>
      <c r="AX182">
        <v>0</v>
      </c>
      <c r="AY182">
        <v>0</v>
      </c>
      <c r="AZ182" t="s">
        <v>284</v>
      </c>
      <c r="BA182" t="s">
        <v>452</v>
      </c>
      <c r="BB182" t="s">
        <v>154</v>
      </c>
      <c r="BC182" t="s">
        <v>907</v>
      </c>
      <c r="BD182" t="s">
        <v>257</v>
      </c>
      <c r="BE182" t="s">
        <v>363</v>
      </c>
      <c r="BF182" t="s">
        <v>155</v>
      </c>
      <c r="BG182" t="s">
        <v>109</v>
      </c>
      <c r="BH182">
        <v>35</v>
      </c>
      <c r="BL182">
        <v>52</v>
      </c>
      <c r="BN182">
        <v>2</v>
      </c>
      <c r="BP182">
        <v>8</v>
      </c>
      <c r="BR182">
        <v>5</v>
      </c>
      <c r="BT182">
        <v>0</v>
      </c>
      <c r="BV182">
        <v>4</v>
      </c>
      <c r="BX182">
        <v>6</v>
      </c>
      <c r="BY182" t="s">
        <v>189</v>
      </c>
      <c r="BZ182">
        <v>3</v>
      </c>
      <c r="CA182">
        <v>10</v>
      </c>
      <c r="CB182" t="s">
        <v>84</v>
      </c>
      <c r="CC182" t="s">
        <v>84</v>
      </c>
      <c r="CD182" t="s">
        <v>987</v>
      </c>
      <c r="CE182" t="s">
        <v>4250</v>
      </c>
      <c r="CF182" t="s">
        <v>3923</v>
      </c>
      <c r="CG182" t="s">
        <v>907</v>
      </c>
      <c r="CH182">
        <v>5</v>
      </c>
      <c r="CI182" t="s">
        <v>95</v>
      </c>
      <c r="CJ182" t="s">
        <v>907</v>
      </c>
      <c r="CK182" t="s">
        <v>289</v>
      </c>
      <c r="CL182" t="s">
        <v>1394</v>
      </c>
      <c r="CM182" t="s">
        <v>193</v>
      </c>
      <c r="CN182" t="s">
        <v>3903</v>
      </c>
      <c r="CO182" t="s">
        <v>95</v>
      </c>
      <c r="CP182" t="s">
        <v>907</v>
      </c>
      <c r="CQ182" t="s">
        <v>116</v>
      </c>
      <c r="CR182" t="s">
        <v>84</v>
      </c>
      <c r="CS182" t="s">
        <v>117</v>
      </c>
      <c r="CT182" t="s">
        <v>907</v>
      </c>
      <c r="CU182" t="s">
        <v>3869</v>
      </c>
      <c r="CV182" t="s">
        <v>812</v>
      </c>
      <c r="CW182" t="s">
        <v>907</v>
      </c>
      <c r="CX182" t="s">
        <v>166</v>
      </c>
      <c r="CY182" t="s">
        <v>167</v>
      </c>
      <c r="CZ182" t="s">
        <v>1301</v>
      </c>
      <c r="DA182">
        <v>2</v>
      </c>
      <c r="DB182" s="10">
        <v>15000</v>
      </c>
      <c r="DC182" t="s">
        <v>169</v>
      </c>
      <c r="DD182" t="s">
        <v>907</v>
      </c>
      <c r="DE182">
        <v>7</v>
      </c>
      <c r="DF182">
        <v>14</v>
      </c>
      <c r="DG182" t="s">
        <v>95</v>
      </c>
      <c r="DH182" t="s">
        <v>95</v>
      </c>
      <c r="DI182" t="s">
        <v>907</v>
      </c>
      <c r="DJ182" t="s">
        <v>907</v>
      </c>
      <c r="DK182" t="s">
        <v>907</v>
      </c>
      <c r="DL182" t="s">
        <v>907</v>
      </c>
      <c r="DM182" t="s">
        <v>291</v>
      </c>
      <c r="DN182" t="s">
        <v>907</v>
      </c>
      <c r="DO182" t="s">
        <v>907</v>
      </c>
      <c r="DP182">
        <v>0.5</v>
      </c>
      <c r="DQ182" t="s">
        <v>202</v>
      </c>
      <c r="DR182" t="s">
        <v>907</v>
      </c>
      <c r="DS182" t="s">
        <v>1349</v>
      </c>
      <c r="DT182" t="s">
        <v>1363</v>
      </c>
      <c r="DU182" t="s">
        <v>84</v>
      </c>
      <c r="DV182" t="s">
        <v>1395</v>
      </c>
      <c r="DW182" t="s">
        <v>1305</v>
      </c>
      <c r="DX182" t="s">
        <v>95</v>
      </c>
      <c r="FQ182">
        <v>566014100</v>
      </c>
      <c r="FR182" t="s">
        <v>1396</v>
      </c>
      <c r="FS182" s="1">
        <v>45924.735451388893</v>
      </c>
      <c r="FV182" t="s">
        <v>134</v>
      </c>
      <c r="FW182" t="s">
        <v>135</v>
      </c>
      <c r="FX182" t="s">
        <v>136</v>
      </c>
      <c r="FZ182">
        <v>218</v>
      </c>
    </row>
    <row r="183" spans="1:182" hidden="1" x14ac:dyDescent="0.3">
      <c r="A183" s="1">
        <v>45926.439891319453</v>
      </c>
      <c r="B183" s="1">
        <v>45926.464348148147</v>
      </c>
      <c r="D183" t="s">
        <v>84</v>
      </c>
      <c r="E183" t="s">
        <v>297</v>
      </c>
      <c r="F183" t="s">
        <v>3087</v>
      </c>
      <c r="G183" t="s">
        <v>176</v>
      </c>
      <c r="H183" t="s">
        <v>4121</v>
      </c>
      <c r="I183" t="s">
        <v>3088</v>
      </c>
      <c r="J183" t="s">
        <v>3089</v>
      </c>
      <c r="K183" t="s">
        <v>90</v>
      </c>
      <c r="L183" t="s">
        <v>3090</v>
      </c>
      <c r="M183" t="s">
        <v>1871</v>
      </c>
      <c r="N183" t="s">
        <v>3091</v>
      </c>
      <c r="O183">
        <v>-15.2475811</v>
      </c>
      <c r="P183">
        <v>22.961528999999999</v>
      </c>
      <c r="Q183">
        <v>1020.965576171875</v>
      </c>
      <c r="R183">
        <v>10.180999999999999</v>
      </c>
      <c r="S183" t="s">
        <v>84</v>
      </c>
      <c r="T183" t="s">
        <v>94</v>
      </c>
      <c r="U183">
        <v>5</v>
      </c>
      <c r="V183" t="s">
        <v>212</v>
      </c>
      <c r="W183" t="s">
        <v>3092</v>
      </c>
      <c r="X183">
        <v>15</v>
      </c>
      <c r="Y183">
        <v>4</v>
      </c>
      <c r="Z183">
        <v>2</v>
      </c>
      <c r="AA183" t="s">
        <v>96</v>
      </c>
      <c r="AB183" t="s">
        <v>351</v>
      </c>
      <c r="AC183" t="s">
        <v>98</v>
      </c>
      <c r="AD183" t="s">
        <v>252</v>
      </c>
      <c r="AE183" t="s">
        <v>101</v>
      </c>
      <c r="AF183" t="s">
        <v>907</v>
      </c>
      <c r="AG183">
        <v>1000</v>
      </c>
      <c r="AH183" t="s">
        <v>147</v>
      </c>
      <c r="AI183" t="s">
        <v>907</v>
      </c>
      <c r="AJ183" s="6">
        <v>8000</v>
      </c>
      <c r="AK183" t="s">
        <v>102</v>
      </c>
      <c r="AL183" t="s">
        <v>907</v>
      </c>
      <c r="AM183" t="s">
        <v>956</v>
      </c>
      <c r="AN183" t="s">
        <v>907</v>
      </c>
      <c r="AO183" t="s">
        <v>267</v>
      </c>
      <c r="AP183" t="s">
        <v>3093</v>
      </c>
      <c r="AQ183" t="s">
        <v>956</v>
      </c>
      <c r="AR183" t="s">
        <v>84</v>
      </c>
      <c r="AS183">
        <v>0</v>
      </c>
      <c r="AT183">
        <v>0</v>
      </c>
      <c r="AU183">
        <v>0</v>
      </c>
      <c r="AV183">
        <v>4</v>
      </c>
      <c r="AW183">
        <v>0</v>
      </c>
      <c r="AX183">
        <v>0</v>
      </c>
      <c r="AY183">
        <v>0</v>
      </c>
      <c r="AZ183" t="s">
        <v>929</v>
      </c>
      <c r="BA183" t="s">
        <v>95</v>
      </c>
      <c r="BB183" t="s">
        <v>154</v>
      </c>
      <c r="BC183" t="s">
        <v>907</v>
      </c>
      <c r="BD183" t="s">
        <v>107</v>
      </c>
      <c r="BE183" t="s">
        <v>258</v>
      </c>
      <c r="BF183" t="s">
        <v>4047</v>
      </c>
      <c r="BG183" t="s">
        <v>156</v>
      </c>
      <c r="BH183">
        <v>70</v>
      </c>
      <c r="BL183">
        <v>30</v>
      </c>
      <c r="BN183">
        <v>2</v>
      </c>
      <c r="BP183">
        <v>10</v>
      </c>
      <c r="BR183">
        <v>6</v>
      </c>
      <c r="BT183">
        <v>4</v>
      </c>
      <c r="BV183">
        <v>3</v>
      </c>
      <c r="BX183">
        <v>15</v>
      </c>
      <c r="BY183" t="s">
        <v>189</v>
      </c>
      <c r="BZ183">
        <v>4</v>
      </c>
      <c r="CA183">
        <v>30</v>
      </c>
      <c r="CB183" t="s">
        <v>84</v>
      </c>
      <c r="CC183" t="s">
        <v>84</v>
      </c>
      <c r="CD183" t="s">
        <v>334</v>
      </c>
      <c r="CE183" t="s">
        <v>4251</v>
      </c>
      <c r="CF183" t="s">
        <v>3094</v>
      </c>
      <c r="CG183" t="s">
        <v>907</v>
      </c>
      <c r="CH183">
        <v>5</v>
      </c>
      <c r="CI183" t="s">
        <v>84</v>
      </c>
      <c r="CJ183" t="s">
        <v>262</v>
      </c>
      <c r="CK183" t="s">
        <v>289</v>
      </c>
      <c r="CL183" t="s">
        <v>879</v>
      </c>
      <c r="CM183" t="s">
        <v>193</v>
      </c>
      <c r="CN183" t="s">
        <v>4042</v>
      </c>
      <c r="CO183" t="s">
        <v>95</v>
      </c>
      <c r="CP183" t="s">
        <v>907</v>
      </c>
      <c r="CQ183" t="s">
        <v>116</v>
      </c>
      <c r="CR183" t="s">
        <v>84</v>
      </c>
      <c r="CS183" t="s">
        <v>117</v>
      </c>
      <c r="CT183" t="s">
        <v>264</v>
      </c>
      <c r="CU183" t="s">
        <v>3869</v>
      </c>
      <c r="CV183" t="s">
        <v>119</v>
      </c>
      <c r="CW183" t="s">
        <v>2551</v>
      </c>
      <c r="CX183" t="s">
        <v>166</v>
      </c>
      <c r="CY183" t="s">
        <v>167</v>
      </c>
      <c r="CZ183" t="s">
        <v>2551</v>
      </c>
      <c r="DA183">
        <v>2</v>
      </c>
      <c r="DB183" s="10">
        <v>16000</v>
      </c>
      <c r="DC183" t="s">
        <v>123</v>
      </c>
      <c r="DD183" t="s">
        <v>3057</v>
      </c>
      <c r="DE183">
        <v>1</v>
      </c>
      <c r="DF183">
        <v>15</v>
      </c>
      <c r="DG183" t="s">
        <v>95</v>
      </c>
      <c r="DH183" t="s">
        <v>95</v>
      </c>
      <c r="DI183" t="s">
        <v>907</v>
      </c>
      <c r="DJ183" t="s">
        <v>907</v>
      </c>
      <c r="DK183" t="s">
        <v>907</v>
      </c>
      <c r="DL183" t="s">
        <v>907</v>
      </c>
      <c r="DM183" t="s">
        <v>291</v>
      </c>
      <c r="DN183" t="s">
        <v>907</v>
      </c>
      <c r="DO183" t="s">
        <v>907</v>
      </c>
      <c r="DP183">
        <v>20</v>
      </c>
      <c r="DQ183" t="s">
        <v>441</v>
      </c>
      <c r="DR183" t="s">
        <v>907</v>
      </c>
      <c r="DS183" t="s">
        <v>3095</v>
      </c>
      <c r="DT183" t="s">
        <v>173</v>
      </c>
      <c r="DU183" t="s">
        <v>95</v>
      </c>
      <c r="DV183" t="s">
        <v>907</v>
      </c>
      <c r="DW183" t="s">
        <v>907</v>
      </c>
      <c r="DX183" t="s">
        <v>907</v>
      </c>
      <c r="FQ183">
        <v>567958281</v>
      </c>
      <c r="FR183" t="s">
        <v>3096</v>
      </c>
      <c r="FS183" s="1">
        <v>45927.345208333332</v>
      </c>
      <c r="FV183" t="s">
        <v>134</v>
      </c>
      <c r="FW183" t="s">
        <v>135</v>
      </c>
      <c r="FX183" t="s">
        <v>136</v>
      </c>
      <c r="FZ183">
        <v>447</v>
      </c>
    </row>
    <row r="184" spans="1:182" x14ac:dyDescent="0.3">
      <c r="A184" s="1">
        <v>45925.398050706019</v>
      </c>
      <c r="B184" s="1">
        <v>45925.416751562501</v>
      </c>
      <c r="D184" t="s">
        <v>84</v>
      </c>
      <c r="E184" t="s">
        <v>297</v>
      </c>
      <c r="F184" t="s">
        <v>2578</v>
      </c>
      <c r="G184" t="s">
        <v>176</v>
      </c>
      <c r="H184" t="s">
        <v>4122</v>
      </c>
      <c r="I184" t="s">
        <v>2579</v>
      </c>
      <c r="J184" t="s">
        <v>2580</v>
      </c>
      <c r="K184" t="s">
        <v>90</v>
      </c>
      <c r="L184" t="s">
        <v>2581</v>
      </c>
      <c r="M184" t="s">
        <v>1871</v>
      </c>
      <c r="N184" t="s">
        <v>2582</v>
      </c>
      <c r="O184">
        <v>-15.1975037</v>
      </c>
      <c r="P184">
        <v>22.973568799999999</v>
      </c>
      <c r="Q184">
        <v>1023.607788085938</v>
      </c>
      <c r="R184">
        <v>4.8339999999999996</v>
      </c>
      <c r="S184" t="s">
        <v>84</v>
      </c>
      <c r="T184" t="s">
        <v>94</v>
      </c>
      <c r="U184">
        <v>15</v>
      </c>
      <c r="V184" t="s">
        <v>212</v>
      </c>
      <c r="W184" t="s">
        <v>2583</v>
      </c>
      <c r="X184">
        <v>43</v>
      </c>
      <c r="Y184">
        <v>2</v>
      </c>
      <c r="Z184">
        <v>2</v>
      </c>
      <c r="AA184" t="s">
        <v>504</v>
      </c>
      <c r="AB184" t="s">
        <v>97</v>
      </c>
      <c r="AC184" t="s">
        <v>98</v>
      </c>
      <c r="AD184" t="s">
        <v>280</v>
      </c>
      <c r="AE184" t="s">
        <v>100</v>
      </c>
      <c r="AF184" t="s">
        <v>907</v>
      </c>
      <c r="AG184">
        <v>2000</v>
      </c>
      <c r="AH184" t="s">
        <v>521</v>
      </c>
      <c r="AI184" t="s">
        <v>907</v>
      </c>
      <c r="AJ184" s="5">
        <v>5000</v>
      </c>
      <c r="AK184" t="s">
        <v>102</v>
      </c>
      <c r="AL184" t="s">
        <v>907</v>
      </c>
      <c r="AM184" t="s">
        <v>4130</v>
      </c>
      <c r="AN184" t="s">
        <v>907</v>
      </c>
      <c r="AQ184" t="s">
        <v>149</v>
      </c>
      <c r="AR184" t="s">
        <v>95</v>
      </c>
      <c r="AS184">
        <v>0</v>
      </c>
      <c r="AT184">
        <v>0</v>
      </c>
      <c r="AU184">
        <v>0</v>
      </c>
      <c r="AV184">
        <v>0</v>
      </c>
      <c r="AW184">
        <v>0</v>
      </c>
      <c r="AX184">
        <v>0</v>
      </c>
      <c r="AY184">
        <v>0</v>
      </c>
      <c r="AZ184" t="s">
        <v>284</v>
      </c>
      <c r="BA184" t="s">
        <v>95</v>
      </c>
      <c r="BB184" t="s">
        <v>308</v>
      </c>
      <c r="BC184" t="s">
        <v>907</v>
      </c>
      <c r="BD184" t="s">
        <v>107</v>
      </c>
      <c r="BE184" t="s">
        <v>258</v>
      </c>
      <c r="BF184" t="s">
        <v>4008</v>
      </c>
      <c r="BG184" t="s">
        <v>235</v>
      </c>
      <c r="BH184">
        <v>60</v>
      </c>
      <c r="BL184">
        <v>27</v>
      </c>
      <c r="BN184">
        <v>2</v>
      </c>
      <c r="BP184">
        <v>5</v>
      </c>
      <c r="BR184">
        <v>52</v>
      </c>
      <c r="BT184">
        <v>7</v>
      </c>
      <c r="BX184">
        <v>12</v>
      </c>
      <c r="BY184" t="s">
        <v>189</v>
      </c>
      <c r="BZ184">
        <v>3</v>
      </c>
      <c r="CA184">
        <v>20</v>
      </c>
      <c r="CB184" t="s">
        <v>84</v>
      </c>
      <c r="CC184" t="s">
        <v>84</v>
      </c>
      <c r="CD184" t="s">
        <v>2584</v>
      </c>
      <c r="CE184" t="s">
        <v>4251</v>
      </c>
      <c r="CF184" t="s">
        <v>2585</v>
      </c>
      <c r="CG184" t="s">
        <v>907</v>
      </c>
      <c r="CH184">
        <v>3</v>
      </c>
      <c r="CI184" t="s">
        <v>84</v>
      </c>
      <c r="CJ184" t="s">
        <v>586</v>
      </c>
      <c r="CK184" t="s">
        <v>113</v>
      </c>
      <c r="CL184" t="s">
        <v>1176</v>
      </c>
      <c r="CM184" t="s">
        <v>193</v>
      </c>
      <c r="CN184" t="s">
        <v>3874</v>
      </c>
      <c r="CO184" t="s">
        <v>95</v>
      </c>
      <c r="CP184" t="s">
        <v>907</v>
      </c>
      <c r="CQ184" t="s">
        <v>116</v>
      </c>
      <c r="CR184" t="s">
        <v>84</v>
      </c>
      <c r="CS184" t="s">
        <v>117</v>
      </c>
      <c r="CT184" t="s">
        <v>264</v>
      </c>
      <c r="CU184" t="s">
        <v>322</v>
      </c>
      <c r="CV184" t="s">
        <v>812</v>
      </c>
      <c r="CW184" t="s">
        <v>2463</v>
      </c>
      <c r="CX184" t="s">
        <v>166</v>
      </c>
      <c r="CY184" t="s">
        <v>167</v>
      </c>
      <c r="CZ184" t="s">
        <v>2464</v>
      </c>
      <c r="DA184">
        <v>2</v>
      </c>
      <c r="DB184" s="10">
        <v>7000</v>
      </c>
      <c r="DC184" t="s">
        <v>123</v>
      </c>
      <c r="DD184" t="s">
        <v>2465</v>
      </c>
      <c r="DE184">
        <v>2</v>
      </c>
      <c r="DF184">
        <v>15</v>
      </c>
      <c r="DG184" t="s">
        <v>95</v>
      </c>
      <c r="DH184" t="s">
        <v>95</v>
      </c>
      <c r="DI184" t="s">
        <v>907</v>
      </c>
      <c r="DJ184" t="s">
        <v>907</v>
      </c>
      <c r="DK184" t="s">
        <v>907</v>
      </c>
      <c r="DL184" t="s">
        <v>907</v>
      </c>
      <c r="DM184" t="s">
        <v>291</v>
      </c>
      <c r="DN184" t="s">
        <v>907</v>
      </c>
      <c r="DO184" t="s">
        <v>907</v>
      </c>
      <c r="DP184">
        <v>60</v>
      </c>
      <c r="DQ184" t="s">
        <v>441</v>
      </c>
      <c r="DR184" t="s">
        <v>907</v>
      </c>
      <c r="DS184" t="s">
        <v>2586</v>
      </c>
      <c r="DT184" t="s">
        <v>932</v>
      </c>
      <c r="DU184" t="s">
        <v>95</v>
      </c>
      <c r="DV184" t="s">
        <v>907</v>
      </c>
      <c r="DW184" t="s">
        <v>907</v>
      </c>
      <c r="DX184" t="s">
        <v>907</v>
      </c>
      <c r="FQ184">
        <v>567124685</v>
      </c>
      <c r="FR184" t="s">
        <v>2587</v>
      </c>
      <c r="FS184" s="1">
        <v>45926.220173611109</v>
      </c>
      <c r="FV184" t="s">
        <v>134</v>
      </c>
      <c r="FW184" t="s">
        <v>135</v>
      </c>
      <c r="FX184" t="s">
        <v>136</v>
      </c>
      <c r="FZ184">
        <v>381</v>
      </c>
    </row>
    <row r="185" spans="1:182" hidden="1" x14ac:dyDescent="0.3">
      <c r="A185" s="1">
        <v>45929.497816539348</v>
      </c>
      <c r="B185" s="1">
        <v>45929.51554763889</v>
      </c>
      <c r="D185" t="s">
        <v>84</v>
      </c>
      <c r="E185" t="s">
        <v>901</v>
      </c>
      <c r="F185" t="s">
        <v>3463</v>
      </c>
      <c r="G185" t="s">
        <v>176</v>
      </c>
      <c r="H185" t="s">
        <v>4122</v>
      </c>
      <c r="I185" t="s">
        <v>3427</v>
      </c>
      <c r="J185" t="s">
        <v>3464</v>
      </c>
      <c r="K185" t="s">
        <v>90</v>
      </c>
      <c r="L185" t="s">
        <v>4090</v>
      </c>
      <c r="M185" t="s">
        <v>277</v>
      </c>
      <c r="N185" t="s">
        <v>3465</v>
      </c>
      <c r="O185">
        <v>-15.3958414</v>
      </c>
      <c r="P185">
        <v>23.040793600000001</v>
      </c>
      <c r="Q185">
        <v>1027.937622070312</v>
      </c>
      <c r="R185">
        <v>10.834</v>
      </c>
      <c r="S185" t="s">
        <v>84</v>
      </c>
      <c r="T185" t="s">
        <v>182</v>
      </c>
      <c r="U185">
        <v>8</v>
      </c>
      <c r="V185" t="s">
        <v>95</v>
      </c>
      <c r="W185" t="s">
        <v>907</v>
      </c>
      <c r="X185">
        <v>13</v>
      </c>
      <c r="Y185">
        <v>3</v>
      </c>
      <c r="Z185">
        <v>3</v>
      </c>
      <c r="AA185" t="s">
        <v>96</v>
      </c>
      <c r="AB185" t="s">
        <v>351</v>
      </c>
      <c r="AC185" t="s">
        <v>98</v>
      </c>
      <c r="AD185" t="s">
        <v>252</v>
      </c>
      <c r="AE185" t="s">
        <v>101</v>
      </c>
      <c r="AF185" t="s">
        <v>907</v>
      </c>
      <c r="AG185">
        <v>1400</v>
      </c>
      <c r="AH185" t="s">
        <v>3873</v>
      </c>
      <c r="AI185" t="s">
        <v>907</v>
      </c>
      <c r="AJ185" t="s">
        <v>907</v>
      </c>
      <c r="AK185" t="s">
        <v>102</v>
      </c>
      <c r="AL185" t="s">
        <v>907</v>
      </c>
      <c r="AM185" t="s">
        <v>4130</v>
      </c>
      <c r="AN185" t="s">
        <v>907</v>
      </c>
      <c r="AQ185" t="s">
        <v>466</v>
      </c>
      <c r="AR185" t="s">
        <v>95</v>
      </c>
      <c r="AS185">
        <v>0</v>
      </c>
      <c r="AT185">
        <v>0</v>
      </c>
      <c r="AU185">
        <v>0</v>
      </c>
      <c r="AV185">
        <v>0</v>
      </c>
      <c r="AW185">
        <v>0</v>
      </c>
      <c r="AX185">
        <v>0</v>
      </c>
      <c r="AY185">
        <v>0</v>
      </c>
      <c r="AZ185" t="s">
        <v>929</v>
      </c>
      <c r="BA185" t="s">
        <v>95</v>
      </c>
      <c r="BB185" t="s">
        <v>308</v>
      </c>
      <c r="BC185" t="s">
        <v>907</v>
      </c>
      <c r="BD185" t="s">
        <v>107</v>
      </c>
      <c r="BE185" t="s">
        <v>258</v>
      </c>
      <c r="BF185" t="s">
        <v>3466</v>
      </c>
      <c r="BG185" t="s">
        <v>790</v>
      </c>
      <c r="BH185">
        <v>85</v>
      </c>
      <c r="BL185">
        <v>38</v>
      </c>
      <c r="BN185">
        <v>2</v>
      </c>
      <c r="BP185">
        <v>0</v>
      </c>
      <c r="BR185">
        <v>0</v>
      </c>
      <c r="BT185">
        <v>8</v>
      </c>
      <c r="BV185">
        <v>12</v>
      </c>
      <c r="BX185">
        <v>25</v>
      </c>
      <c r="BY185" t="s">
        <v>189</v>
      </c>
      <c r="BZ185">
        <v>2</v>
      </c>
      <c r="CA185">
        <v>49</v>
      </c>
      <c r="CB185" t="s">
        <v>84</v>
      </c>
      <c r="CC185" t="s">
        <v>84</v>
      </c>
      <c r="CD185" t="s">
        <v>334</v>
      </c>
      <c r="CE185" t="s">
        <v>1998</v>
      </c>
      <c r="CF185" t="s">
        <v>3467</v>
      </c>
      <c r="CG185" t="s">
        <v>907</v>
      </c>
      <c r="CH185">
        <v>5</v>
      </c>
      <c r="CI185" t="s">
        <v>84</v>
      </c>
      <c r="CJ185" t="s">
        <v>546</v>
      </c>
      <c r="CK185" t="s">
        <v>289</v>
      </c>
      <c r="CL185" t="s">
        <v>263</v>
      </c>
      <c r="CM185" t="s">
        <v>193</v>
      </c>
      <c r="CN185" t="s">
        <v>3903</v>
      </c>
      <c r="CO185" t="s">
        <v>95</v>
      </c>
      <c r="CP185" t="s">
        <v>907</v>
      </c>
      <c r="CQ185" t="s">
        <v>116</v>
      </c>
      <c r="CR185" t="s">
        <v>95</v>
      </c>
      <c r="CS185" t="s">
        <v>907</v>
      </c>
      <c r="CT185" t="s">
        <v>907</v>
      </c>
      <c r="CU185" t="s">
        <v>907</v>
      </c>
      <c r="CV185" t="s">
        <v>812</v>
      </c>
      <c r="CW185" t="s">
        <v>439</v>
      </c>
      <c r="CX185" t="s">
        <v>166</v>
      </c>
      <c r="CY185" t="s">
        <v>167</v>
      </c>
      <c r="CZ185" t="s">
        <v>439</v>
      </c>
      <c r="DA185">
        <v>2</v>
      </c>
      <c r="DB185" s="10">
        <v>19000</v>
      </c>
      <c r="DC185" t="s">
        <v>169</v>
      </c>
      <c r="DD185" t="s">
        <v>907</v>
      </c>
      <c r="DE185">
        <v>2</v>
      </c>
      <c r="DF185">
        <v>15</v>
      </c>
      <c r="DG185" t="s">
        <v>95</v>
      </c>
      <c r="DH185" t="s">
        <v>95</v>
      </c>
      <c r="DI185" t="s">
        <v>907</v>
      </c>
      <c r="DJ185" t="s">
        <v>907</v>
      </c>
      <c r="DK185" t="s">
        <v>907</v>
      </c>
      <c r="DL185" t="s">
        <v>907</v>
      </c>
      <c r="DM185" t="s">
        <v>291</v>
      </c>
      <c r="DN185" t="s">
        <v>907</v>
      </c>
      <c r="DO185" t="s">
        <v>907</v>
      </c>
      <c r="DP185">
        <v>0</v>
      </c>
      <c r="DQ185" t="s">
        <v>441</v>
      </c>
      <c r="DR185" t="s">
        <v>907</v>
      </c>
      <c r="DS185" t="s">
        <v>917</v>
      </c>
      <c r="DT185" t="s">
        <v>3431</v>
      </c>
      <c r="DU185" t="s">
        <v>84</v>
      </c>
      <c r="DV185" t="s">
        <v>131</v>
      </c>
      <c r="DW185" t="s">
        <v>3389</v>
      </c>
      <c r="DX185" t="s">
        <v>95</v>
      </c>
      <c r="FQ185">
        <v>569779424</v>
      </c>
      <c r="FR185" t="s">
        <v>3468</v>
      </c>
      <c r="FS185" s="1">
        <v>45930.258981481478</v>
      </c>
      <c r="FV185" t="s">
        <v>134</v>
      </c>
      <c r="FW185" t="s">
        <v>135</v>
      </c>
      <c r="FX185" t="s">
        <v>136</v>
      </c>
      <c r="FZ185">
        <v>549</v>
      </c>
    </row>
    <row r="186" spans="1:182" x14ac:dyDescent="0.3">
      <c r="A186" s="1">
        <v>45924.676326712957</v>
      </c>
      <c r="B186" s="1">
        <v>45924.716017766201</v>
      </c>
      <c r="D186" t="s">
        <v>84</v>
      </c>
      <c r="E186" t="s">
        <v>1226</v>
      </c>
      <c r="F186" t="s">
        <v>1333</v>
      </c>
      <c r="G186" t="s">
        <v>176</v>
      </c>
      <c r="H186" t="s">
        <v>4122</v>
      </c>
      <c r="I186" t="s">
        <v>1334</v>
      </c>
      <c r="J186" t="s">
        <v>1335</v>
      </c>
      <c r="K186" t="s">
        <v>90</v>
      </c>
      <c r="L186" t="s">
        <v>1336</v>
      </c>
      <c r="M186" t="s">
        <v>1337</v>
      </c>
      <c r="N186" t="s">
        <v>1338</v>
      </c>
      <c r="O186">
        <v>-15.276283299999999</v>
      </c>
      <c r="P186">
        <v>23.035119999999999</v>
      </c>
      <c r="Q186">
        <v>1033.7</v>
      </c>
      <c r="R186">
        <v>4.95</v>
      </c>
      <c r="S186" t="s">
        <v>84</v>
      </c>
      <c r="T186" t="s">
        <v>94</v>
      </c>
      <c r="U186">
        <v>10</v>
      </c>
      <c r="V186" t="s">
        <v>95</v>
      </c>
      <c r="W186" t="s">
        <v>907</v>
      </c>
      <c r="X186">
        <v>30</v>
      </c>
      <c r="Y186">
        <v>15</v>
      </c>
      <c r="Z186">
        <v>5</v>
      </c>
      <c r="AA186" t="s">
        <v>251</v>
      </c>
      <c r="AB186" t="s">
        <v>351</v>
      </c>
      <c r="AC186" t="s">
        <v>98</v>
      </c>
      <c r="AD186" t="s">
        <v>252</v>
      </c>
      <c r="AE186" t="s">
        <v>304</v>
      </c>
      <c r="AF186" t="s">
        <v>907</v>
      </c>
      <c r="AG186">
        <v>3000</v>
      </c>
      <c r="AH186" t="s">
        <v>966</v>
      </c>
      <c r="AI186" t="s">
        <v>907</v>
      </c>
      <c r="AJ186" s="5">
        <v>2000</v>
      </c>
      <c r="AK186" t="s">
        <v>102</v>
      </c>
      <c r="AL186" t="s">
        <v>907</v>
      </c>
      <c r="AM186" t="s">
        <v>320</v>
      </c>
      <c r="AN186" t="s">
        <v>907</v>
      </c>
      <c r="AO186" t="s">
        <v>1339</v>
      </c>
      <c r="AP186" t="s">
        <v>1340</v>
      </c>
      <c r="AQ186" t="s">
        <v>1341</v>
      </c>
      <c r="AR186" t="s">
        <v>84</v>
      </c>
      <c r="AS186">
        <v>35</v>
      </c>
      <c r="AT186">
        <v>0</v>
      </c>
      <c r="AU186">
        <v>0</v>
      </c>
      <c r="AV186">
        <v>78</v>
      </c>
      <c r="AW186">
        <v>0</v>
      </c>
      <c r="AX186">
        <v>0</v>
      </c>
      <c r="AY186">
        <v>0</v>
      </c>
      <c r="AZ186" t="s">
        <v>1003</v>
      </c>
      <c r="BA186" t="s">
        <v>1065</v>
      </c>
      <c r="BB186" t="s">
        <v>154</v>
      </c>
      <c r="BC186" t="s">
        <v>907</v>
      </c>
      <c r="BD186" t="s">
        <v>107</v>
      </c>
      <c r="BE186" t="s">
        <v>363</v>
      </c>
      <c r="BF186" t="s">
        <v>3926</v>
      </c>
      <c r="BG186" t="s">
        <v>156</v>
      </c>
      <c r="BH186">
        <v>105</v>
      </c>
      <c r="BL186">
        <v>53</v>
      </c>
      <c r="BN186">
        <v>3</v>
      </c>
      <c r="BP186">
        <v>10</v>
      </c>
      <c r="BR186">
        <v>15</v>
      </c>
      <c r="BT186">
        <v>5</v>
      </c>
      <c r="BV186">
        <v>8</v>
      </c>
      <c r="BX186">
        <v>11</v>
      </c>
      <c r="BY186" t="s">
        <v>189</v>
      </c>
      <c r="BZ186">
        <v>2</v>
      </c>
      <c r="CA186">
        <v>56</v>
      </c>
      <c r="CB186" t="s">
        <v>84</v>
      </c>
      <c r="CC186" t="s">
        <v>84</v>
      </c>
      <c r="CD186" t="s">
        <v>778</v>
      </c>
      <c r="CE186" t="s">
        <v>4251</v>
      </c>
      <c r="CF186" t="s">
        <v>3927</v>
      </c>
      <c r="CG186" t="s">
        <v>907</v>
      </c>
      <c r="CH186">
        <v>5</v>
      </c>
      <c r="CI186" t="s">
        <v>84</v>
      </c>
      <c r="CJ186" t="s">
        <v>262</v>
      </c>
      <c r="CK186" t="s">
        <v>289</v>
      </c>
      <c r="CL186" t="s">
        <v>367</v>
      </c>
      <c r="CM186" t="s">
        <v>193</v>
      </c>
      <c r="CN186" t="s">
        <v>3874</v>
      </c>
      <c r="CO186" t="s">
        <v>84</v>
      </c>
      <c r="CP186" t="s">
        <v>1343</v>
      </c>
      <c r="CQ186" t="s">
        <v>116</v>
      </c>
      <c r="CR186" t="s">
        <v>84</v>
      </c>
      <c r="CS186" t="s">
        <v>117</v>
      </c>
      <c r="CT186" t="s">
        <v>907</v>
      </c>
      <c r="CU186" t="s">
        <v>438</v>
      </c>
      <c r="CV186" t="s">
        <v>812</v>
      </c>
      <c r="CW186" t="s">
        <v>1344</v>
      </c>
      <c r="CX186" t="s">
        <v>166</v>
      </c>
      <c r="CY186" t="s">
        <v>167</v>
      </c>
      <c r="CZ186" t="s">
        <v>1345</v>
      </c>
      <c r="DA186">
        <v>6</v>
      </c>
      <c r="DB186" s="10">
        <v>22000</v>
      </c>
      <c r="DC186" t="s">
        <v>169</v>
      </c>
      <c r="DD186" t="s">
        <v>907</v>
      </c>
      <c r="DE186">
        <v>2</v>
      </c>
      <c r="DF186">
        <v>10</v>
      </c>
      <c r="DG186" t="s">
        <v>84</v>
      </c>
      <c r="DH186" t="s">
        <v>84</v>
      </c>
      <c r="DI186" t="s">
        <v>197</v>
      </c>
      <c r="DJ186" t="s">
        <v>635</v>
      </c>
      <c r="DK186" t="s">
        <v>907</v>
      </c>
      <c r="DL186" t="s">
        <v>1346</v>
      </c>
      <c r="DM186" t="s">
        <v>125</v>
      </c>
      <c r="DN186" t="s">
        <v>1347</v>
      </c>
      <c r="DO186" t="s">
        <v>1348</v>
      </c>
      <c r="DP186">
        <v>200</v>
      </c>
      <c r="DQ186" t="s">
        <v>202</v>
      </c>
      <c r="DR186" t="s">
        <v>907</v>
      </c>
      <c r="DS186" t="s">
        <v>1349</v>
      </c>
      <c r="DT186" t="s">
        <v>1350</v>
      </c>
      <c r="DU186" t="s">
        <v>84</v>
      </c>
      <c r="DV186" t="s">
        <v>205</v>
      </c>
      <c r="DW186" t="s">
        <v>1351</v>
      </c>
      <c r="DX186" t="s">
        <v>95</v>
      </c>
      <c r="FQ186">
        <v>566012991</v>
      </c>
      <c r="FR186" t="s">
        <v>1352</v>
      </c>
      <c r="FS186" s="1">
        <v>45924.734016203707</v>
      </c>
      <c r="FV186" t="s">
        <v>134</v>
      </c>
      <c r="FW186" t="s">
        <v>135</v>
      </c>
      <c r="FX186" t="s">
        <v>136</v>
      </c>
      <c r="FZ186">
        <v>215</v>
      </c>
    </row>
    <row r="187" spans="1:182" hidden="1" x14ac:dyDescent="0.3">
      <c r="A187" s="1">
        <v>45924.416438067128</v>
      </c>
      <c r="B187" s="1">
        <v>45924.771855115738</v>
      </c>
      <c r="D187" t="s">
        <v>84</v>
      </c>
      <c r="E187" t="s">
        <v>3876</v>
      </c>
      <c r="F187" t="s">
        <v>1042</v>
      </c>
      <c r="G187" t="s">
        <v>176</v>
      </c>
      <c r="H187" t="s">
        <v>4122</v>
      </c>
      <c r="I187" t="s">
        <v>1043</v>
      </c>
      <c r="J187" t="s">
        <v>1044</v>
      </c>
      <c r="K187" t="s">
        <v>90</v>
      </c>
      <c r="L187" t="s">
        <v>1045</v>
      </c>
      <c r="M187" t="s">
        <v>1032</v>
      </c>
      <c r="S187" t="s">
        <v>84</v>
      </c>
      <c r="T187" t="s">
        <v>94</v>
      </c>
      <c r="U187">
        <v>2</v>
      </c>
      <c r="V187" t="s">
        <v>95</v>
      </c>
      <c r="W187" t="s">
        <v>907</v>
      </c>
      <c r="X187">
        <v>15</v>
      </c>
      <c r="Y187">
        <v>26</v>
      </c>
      <c r="Z187">
        <v>20</v>
      </c>
      <c r="AA187" t="s">
        <v>1046</v>
      </c>
      <c r="AB187" t="s">
        <v>143</v>
      </c>
      <c r="AC187" t="s">
        <v>144</v>
      </c>
      <c r="AD187" t="s">
        <v>280</v>
      </c>
      <c r="AE187" t="s">
        <v>304</v>
      </c>
      <c r="AF187" t="s">
        <v>907</v>
      </c>
      <c r="AG187">
        <v>50000</v>
      </c>
      <c r="AH187" t="s">
        <v>1047</v>
      </c>
      <c r="AI187" t="s">
        <v>907</v>
      </c>
      <c r="AJ187" s="5">
        <v>100000</v>
      </c>
      <c r="AK187" t="s">
        <v>148</v>
      </c>
      <c r="AL187" t="s">
        <v>907</v>
      </c>
      <c r="AM187" t="s">
        <v>1048</v>
      </c>
      <c r="AN187" t="s">
        <v>907</v>
      </c>
      <c r="AO187" t="s">
        <v>1049</v>
      </c>
      <c r="AP187" t="s">
        <v>1050</v>
      </c>
      <c r="AQ187" t="s">
        <v>1051</v>
      </c>
      <c r="AR187" t="s">
        <v>84</v>
      </c>
      <c r="AS187">
        <v>0</v>
      </c>
      <c r="AT187">
        <v>0</v>
      </c>
      <c r="AU187">
        <v>0</v>
      </c>
      <c r="AV187">
        <v>0</v>
      </c>
      <c r="AW187">
        <v>0</v>
      </c>
      <c r="AX187">
        <v>0</v>
      </c>
      <c r="AY187">
        <v>0</v>
      </c>
      <c r="AZ187" t="s">
        <v>284</v>
      </c>
      <c r="BA187" t="s">
        <v>95</v>
      </c>
      <c r="BB187" t="s">
        <v>154</v>
      </c>
      <c r="BC187" t="s">
        <v>907</v>
      </c>
      <c r="BD187" t="s">
        <v>257</v>
      </c>
      <c r="BE187" t="s">
        <v>470</v>
      </c>
      <c r="BF187" t="s">
        <v>1052</v>
      </c>
      <c r="BG187" t="s">
        <v>235</v>
      </c>
      <c r="BH187">
        <v>200</v>
      </c>
      <c r="BL187">
        <v>121</v>
      </c>
      <c r="BN187">
        <v>3</v>
      </c>
      <c r="BP187">
        <v>0</v>
      </c>
      <c r="BR187">
        <v>38</v>
      </c>
      <c r="BT187">
        <v>6</v>
      </c>
      <c r="BV187">
        <v>0</v>
      </c>
      <c r="BX187">
        <v>32</v>
      </c>
      <c r="BY187" t="s">
        <v>110</v>
      </c>
      <c r="BZ187" t="s">
        <v>907</v>
      </c>
      <c r="CA187" t="s">
        <v>907</v>
      </c>
      <c r="CB187" t="s">
        <v>84</v>
      </c>
      <c r="CC187" t="s">
        <v>84</v>
      </c>
      <c r="CD187" t="s">
        <v>365</v>
      </c>
      <c r="CE187" t="s">
        <v>4249</v>
      </c>
      <c r="CF187" t="s">
        <v>1053</v>
      </c>
      <c r="CG187" t="s">
        <v>907</v>
      </c>
      <c r="CH187">
        <v>5</v>
      </c>
      <c r="CI187" t="s">
        <v>84</v>
      </c>
      <c r="CJ187" t="s">
        <v>160</v>
      </c>
      <c r="CK187" t="s">
        <v>289</v>
      </c>
      <c r="CL187" t="s">
        <v>1006</v>
      </c>
      <c r="CM187" t="s">
        <v>162</v>
      </c>
      <c r="CN187" t="s">
        <v>3874</v>
      </c>
      <c r="CO187" t="s">
        <v>95</v>
      </c>
      <c r="CP187" t="s">
        <v>907</v>
      </c>
      <c r="CQ187" t="s">
        <v>116</v>
      </c>
      <c r="CR187" t="s">
        <v>95</v>
      </c>
      <c r="CS187" t="s">
        <v>907</v>
      </c>
      <c r="CT187" t="s">
        <v>907</v>
      </c>
      <c r="CU187" t="s">
        <v>907</v>
      </c>
      <c r="CV187" t="s">
        <v>482</v>
      </c>
      <c r="CW187" t="s">
        <v>1054</v>
      </c>
      <c r="CX187" t="s">
        <v>166</v>
      </c>
      <c r="CY187" t="s">
        <v>167</v>
      </c>
      <c r="CZ187" t="s">
        <v>439</v>
      </c>
      <c r="DA187">
        <v>5</v>
      </c>
      <c r="DB187" s="10">
        <v>70000</v>
      </c>
      <c r="DC187" t="s">
        <v>169</v>
      </c>
      <c r="DD187" t="s">
        <v>907</v>
      </c>
      <c r="DE187">
        <v>2</v>
      </c>
      <c r="DF187">
        <v>15</v>
      </c>
      <c r="DG187" t="s">
        <v>84</v>
      </c>
      <c r="DH187" t="s">
        <v>95</v>
      </c>
      <c r="DI187" t="s">
        <v>907</v>
      </c>
      <c r="DJ187" t="s">
        <v>907</v>
      </c>
      <c r="DK187" t="s">
        <v>907</v>
      </c>
      <c r="DL187" t="s">
        <v>907</v>
      </c>
      <c r="DM187" t="s">
        <v>291</v>
      </c>
      <c r="DN187" t="s">
        <v>907</v>
      </c>
      <c r="DO187" t="s">
        <v>907</v>
      </c>
      <c r="DP187">
        <v>1</v>
      </c>
      <c r="DQ187" t="s">
        <v>441</v>
      </c>
      <c r="DR187" t="s">
        <v>907</v>
      </c>
      <c r="DS187" t="s">
        <v>172</v>
      </c>
      <c r="DT187" t="s">
        <v>1055</v>
      </c>
      <c r="DU187" t="s">
        <v>95</v>
      </c>
      <c r="DV187" t="s">
        <v>907</v>
      </c>
      <c r="DW187" t="s">
        <v>907</v>
      </c>
      <c r="DX187" t="s">
        <v>907</v>
      </c>
      <c r="FQ187">
        <v>565986391</v>
      </c>
      <c r="FR187" t="s">
        <v>1056</v>
      </c>
      <c r="FS187" s="1">
        <v>45924.707638888889</v>
      </c>
      <c r="FV187" t="s">
        <v>134</v>
      </c>
      <c r="FW187" t="s">
        <v>135</v>
      </c>
      <c r="FX187" t="s">
        <v>136</v>
      </c>
      <c r="FZ187">
        <v>190</v>
      </c>
    </row>
    <row r="188" spans="1:182" x14ac:dyDescent="0.3">
      <c r="A188" s="1">
        <v>45926.449663993058</v>
      </c>
      <c r="B188" s="1">
        <v>45926.480761585648</v>
      </c>
      <c r="D188" t="s">
        <v>84</v>
      </c>
      <c r="E188" t="s">
        <v>1397</v>
      </c>
      <c r="F188" t="s">
        <v>2975</v>
      </c>
      <c r="G188" t="s">
        <v>176</v>
      </c>
      <c r="H188" t="s">
        <v>4122</v>
      </c>
      <c r="I188" t="s">
        <v>2976</v>
      </c>
      <c r="J188" t="s">
        <v>2977</v>
      </c>
      <c r="K188" t="s">
        <v>90</v>
      </c>
      <c r="L188" t="s">
        <v>2978</v>
      </c>
      <c r="M188" t="s">
        <v>2979</v>
      </c>
      <c r="N188" t="s">
        <v>2980</v>
      </c>
      <c r="O188">
        <v>-15.247453</v>
      </c>
      <c r="P188">
        <v>22.961496199999999</v>
      </c>
      <c r="Q188">
        <v>1030.669189453125</v>
      </c>
      <c r="R188">
        <v>4.3620000000000001</v>
      </c>
      <c r="S188" t="s">
        <v>84</v>
      </c>
      <c r="T188" t="s">
        <v>94</v>
      </c>
      <c r="U188">
        <v>9</v>
      </c>
      <c r="V188" t="s">
        <v>95</v>
      </c>
      <c r="W188" t="s">
        <v>907</v>
      </c>
      <c r="X188">
        <v>15</v>
      </c>
      <c r="Y188">
        <v>60</v>
      </c>
      <c r="Z188">
        <v>0.5</v>
      </c>
      <c r="AA188" t="s">
        <v>251</v>
      </c>
      <c r="AB188" t="s">
        <v>97</v>
      </c>
      <c r="AC188" t="s">
        <v>144</v>
      </c>
      <c r="AD188" t="s">
        <v>252</v>
      </c>
      <c r="AE188" t="s">
        <v>431</v>
      </c>
      <c r="AF188" t="s">
        <v>907</v>
      </c>
      <c r="AG188" s="3">
        <v>15000</v>
      </c>
      <c r="AH188" t="s">
        <v>147</v>
      </c>
      <c r="AI188" t="s">
        <v>907</v>
      </c>
      <c r="AJ188" s="5">
        <v>1000</v>
      </c>
      <c r="AK188" t="s">
        <v>102</v>
      </c>
      <c r="AL188" t="s">
        <v>907</v>
      </c>
      <c r="AM188" t="s">
        <v>253</v>
      </c>
      <c r="AN188" t="s">
        <v>907</v>
      </c>
      <c r="AO188" t="s">
        <v>2981</v>
      </c>
      <c r="AP188" t="s">
        <v>2982</v>
      </c>
      <c r="AQ188" t="s">
        <v>320</v>
      </c>
      <c r="AR188" t="s">
        <v>95</v>
      </c>
      <c r="AS188">
        <v>0</v>
      </c>
      <c r="AT188">
        <v>0</v>
      </c>
      <c r="AU188">
        <v>0</v>
      </c>
      <c r="AV188">
        <v>0</v>
      </c>
      <c r="AW188">
        <v>38</v>
      </c>
      <c r="AX188">
        <v>0</v>
      </c>
      <c r="AY188">
        <v>0</v>
      </c>
      <c r="AZ188" t="s">
        <v>284</v>
      </c>
      <c r="BA188" t="s">
        <v>95</v>
      </c>
      <c r="BB188" t="s">
        <v>154</v>
      </c>
      <c r="BC188" t="s">
        <v>907</v>
      </c>
      <c r="BD188" t="s">
        <v>107</v>
      </c>
      <c r="BE188" t="s">
        <v>470</v>
      </c>
      <c r="BF188" t="s">
        <v>2983</v>
      </c>
      <c r="BG188" t="s">
        <v>156</v>
      </c>
      <c r="BH188">
        <v>83</v>
      </c>
      <c r="BL188">
        <v>32</v>
      </c>
      <c r="BN188">
        <v>3</v>
      </c>
      <c r="BP188">
        <v>15</v>
      </c>
      <c r="BR188">
        <v>5</v>
      </c>
      <c r="BT188">
        <v>7</v>
      </c>
      <c r="BV188">
        <v>6</v>
      </c>
      <c r="BX188">
        <v>15</v>
      </c>
      <c r="BY188" t="s">
        <v>189</v>
      </c>
      <c r="BZ188">
        <v>3</v>
      </c>
      <c r="CA188">
        <v>51</v>
      </c>
      <c r="CB188" t="s">
        <v>84</v>
      </c>
      <c r="CC188" t="s">
        <v>84</v>
      </c>
      <c r="CD188" t="s">
        <v>778</v>
      </c>
      <c r="CE188" t="s">
        <v>4249</v>
      </c>
      <c r="CF188" t="s">
        <v>4029</v>
      </c>
      <c r="CG188" t="s">
        <v>907</v>
      </c>
      <c r="CH188">
        <v>5</v>
      </c>
      <c r="CI188" t="s">
        <v>84</v>
      </c>
      <c r="CJ188" t="s">
        <v>160</v>
      </c>
      <c r="CK188" t="s">
        <v>289</v>
      </c>
      <c r="CL188" t="s">
        <v>367</v>
      </c>
      <c r="CM188" t="s">
        <v>193</v>
      </c>
      <c r="CN188" t="s">
        <v>3874</v>
      </c>
      <c r="CO188" t="s">
        <v>95</v>
      </c>
      <c r="CP188" t="s">
        <v>907</v>
      </c>
      <c r="CQ188" t="s">
        <v>116</v>
      </c>
      <c r="CR188" t="s">
        <v>95</v>
      </c>
      <c r="CS188" t="s">
        <v>907</v>
      </c>
      <c r="CT188" t="s">
        <v>907</v>
      </c>
      <c r="CU188" t="s">
        <v>907</v>
      </c>
      <c r="CV188" t="s">
        <v>812</v>
      </c>
      <c r="CW188" t="s">
        <v>2984</v>
      </c>
      <c r="CX188" t="s">
        <v>166</v>
      </c>
      <c r="CY188" t="s">
        <v>167</v>
      </c>
      <c r="CZ188" t="s">
        <v>2985</v>
      </c>
      <c r="DA188">
        <v>3</v>
      </c>
      <c r="DB188" s="10">
        <v>31300</v>
      </c>
      <c r="DC188" t="s">
        <v>169</v>
      </c>
      <c r="DD188" t="s">
        <v>907</v>
      </c>
      <c r="DE188">
        <v>3</v>
      </c>
      <c r="DF188">
        <v>20</v>
      </c>
      <c r="DG188" t="s">
        <v>84</v>
      </c>
      <c r="DH188" t="s">
        <v>95</v>
      </c>
      <c r="DI188" t="s">
        <v>907</v>
      </c>
      <c r="DJ188" t="s">
        <v>907</v>
      </c>
      <c r="DK188" t="s">
        <v>907</v>
      </c>
      <c r="DL188" t="s">
        <v>907</v>
      </c>
      <c r="DM188" t="s">
        <v>125</v>
      </c>
      <c r="DN188" t="s">
        <v>2971</v>
      </c>
      <c r="DO188" t="s">
        <v>933</v>
      </c>
      <c r="DP188">
        <v>200</v>
      </c>
      <c r="DQ188" t="s">
        <v>202</v>
      </c>
      <c r="DR188" t="s">
        <v>907</v>
      </c>
      <c r="DS188" t="s">
        <v>852</v>
      </c>
      <c r="DT188" t="s">
        <v>2205</v>
      </c>
      <c r="DU188" t="s">
        <v>84</v>
      </c>
      <c r="DV188" t="s">
        <v>864</v>
      </c>
      <c r="DW188" t="s">
        <v>132</v>
      </c>
      <c r="DX188" t="s">
        <v>95</v>
      </c>
      <c r="FQ188">
        <v>567707547</v>
      </c>
      <c r="FR188" t="s">
        <v>2986</v>
      </c>
      <c r="FS188" s="1">
        <v>45926.813622685193</v>
      </c>
      <c r="FV188" t="s">
        <v>134</v>
      </c>
      <c r="FW188" t="s">
        <v>135</v>
      </c>
      <c r="FX188" t="s">
        <v>136</v>
      </c>
      <c r="FZ188">
        <v>423</v>
      </c>
    </row>
    <row r="189" spans="1:182" hidden="1" x14ac:dyDescent="0.3">
      <c r="A189" s="1">
        <v>45925.555535474537</v>
      </c>
      <c r="B189" s="1">
        <v>45925.582037245367</v>
      </c>
      <c r="D189" t="s">
        <v>84</v>
      </c>
      <c r="E189" t="s">
        <v>1878</v>
      </c>
      <c r="F189" t="s">
        <v>1928</v>
      </c>
      <c r="G189" t="s">
        <v>176</v>
      </c>
      <c r="H189" t="s">
        <v>4122</v>
      </c>
      <c r="I189" t="s">
        <v>1929</v>
      </c>
      <c r="J189" t="s">
        <v>1930</v>
      </c>
      <c r="K189" t="s">
        <v>90</v>
      </c>
      <c r="L189" t="s">
        <v>1931</v>
      </c>
      <c r="M189" t="s">
        <v>1932</v>
      </c>
      <c r="N189" t="s">
        <v>1933</v>
      </c>
      <c r="O189">
        <v>-15.1646383</v>
      </c>
      <c r="P189">
        <v>22.997853299999999</v>
      </c>
      <c r="Q189">
        <v>1036</v>
      </c>
      <c r="R189">
        <v>4.8</v>
      </c>
      <c r="S189" t="s">
        <v>84</v>
      </c>
      <c r="T189" t="s">
        <v>182</v>
      </c>
      <c r="U189">
        <v>9</v>
      </c>
      <c r="V189" t="s">
        <v>212</v>
      </c>
      <c r="W189" t="s">
        <v>1934</v>
      </c>
      <c r="X189">
        <v>10</v>
      </c>
      <c r="Y189">
        <v>3</v>
      </c>
      <c r="Z189">
        <v>2.5</v>
      </c>
      <c r="AA189" t="s">
        <v>96</v>
      </c>
      <c r="AB189" t="s">
        <v>97</v>
      </c>
      <c r="AC189" t="s">
        <v>98</v>
      </c>
      <c r="AD189" t="s">
        <v>280</v>
      </c>
      <c r="AE189" t="s">
        <v>100</v>
      </c>
      <c r="AF189" t="s">
        <v>907</v>
      </c>
      <c r="AG189">
        <v>208</v>
      </c>
      <c r="AH189" t="s">
        <v>521</v>
      </c>
      <c r="AI189" t="s">
        <v>907</v>
      </c>
      <c r="AJ189" s="5">
        <v>1666</v>
      </c>
      <c r="AK189" t="s">
        <v>148</v>
      </c>
      <c r="AL189" t="s">
        <v>907</v>
      </c>
      <c r="AM189" t="s">
        <v>253</v>
      </c>
      <c r="AN189" t="s">
        <v>907</v>
      </c>
      <c r="AO189" t="s">
        <v>1935</v>
      </c>
      <c r="AP189" t="s">
        <v>1936</v>
      </c>
      <c r="AQ189" t="s">
        <v>1937</v>
      </c>
      <c r="AR189" t="s">
        <v>84</v>
      </c>
      <c r="AS189">
        <v>0</v>
      </c>
      <c r="AT189">
        <v>58</v>
      </c>
      <c r="AU189">
        <v>0</v>
      </c>
      <c r="AV189">
        <v>0</v>
      </c>
      <c r="AW189">
        <v>20</v>
      </c>
      <c r="AX189">
        <v>0</v>
      </c>
      <c r="AY189">
        <v>0</v>
      </c>
      <c r="AZ189" t="s">
        <v>153</v>
      </c>
      <c r="BA189" t="s">
        <v>452</v>
      </c>
      <c r="BB189" t="s">
        <v>154</v>
      </c>
      <c r="BC189" t="s">
        <v>907</v>
      </c>
      <c r="BD189" t="s">
        <v>107</v>
      </c>
      <c r="BE189" t="s">
        <v>258</v>
      </c>
      <c r="BF189" t="s">
        <v>3967</v>
      </c>
      <c r="BG189" t="s">
        <v>526</v>
      </c>
      <c r="BH189">
        <v>80</v>
      </c>
      <c r="BL189">
        <v>30</v>
      </c>
      <c r="BN189">
        <v>6</v>
      </c>
      <c r="BP189">
        <v>9</v>
      </c>
      <c r="BR189">
        <v>15</v>
      </c>
      <c r="BT189">
        <v>10</v>
      </c>
      <c r="BV189">
        <v>0</v>
      </c>
      <c r="BX189">
        <v>25</v>
      </c>
      <c r="BY189" t="s">
        <v>189</v>
      </c>
      <c r="BZ189">
        <v>3</v>
      </c>
      <c r="CA189">
        <v>42</v>
      </c>
      <c r="CB189" t="s">
        <v>84</v>
      </c>
      <c r="CC189" t="s">
        <v>84</v>
      </c>
      <c r="CD189" t="s">
        <v>334</v>
      </c>
      <c r="CE189" t="s">
        <v>4250</v>
      </c>
      <c r="CF189" t="s">
        <v>1938</v>
      </c>
      <c r="CG189" t="s">
        <v>907</v>
      </c>
      <c r="CH189">
        <v>5</v>
      </c>
      <c r="CI189" t="s">
        <v>84</v>
      </c>
      <c r="CJ189" t="s">
        <v>586</v>
      </c>
      <c r="CK189" t="s">
        <v>289</v>
      </c>
      <c r="CL189" t="s">
        <v>456</v>
      </c>
      <c r="CM189" t="s">
        <v>193</v>
      </c>
      <c r="CN189" t="s">
        <v>3874</v>
      </c>
      <c r="CO189" t="s">
        <v>95</v>
      </c>
      <c r="CP189" t="s">
        <v>907</v>
      </c>
      <c r="CQ189" t="s">
        <v>116</v>
      </c>
      <c r="CR189" t="s">
        <v>84</v>
      </c>
      <c r="CS189" t="s">
        <v>117</v>
      </c>
      <c r="CT189" t="s">
        <v>163</v>
      </c>
      <c r="CU189" t="s">
        <v>793</v>
      </c>
      <c r="CV189" t="s">
        <v>119</v>
      </c>
      <c r="CW189" t="s">
        <v>483</v>
      </c>
      <c r="CX189" t="s">
        <v>166</v>
      </c>
      <c r="CY189" t="s">
        <v>167</v>
      </c>
      <c r="CZ189" t="s">
        <v>945</v>
      </c>
      <c r="DA189">
        <v>4</v>
      </c>
      <c r="DB189" s="10">
        <v>35000</v>
      </c>
      <c r="DC189" t="s">
        <v>169</v>
      </c>
      <c r="DD189" t="s">
        <v>907</v>
      </c>
      <c r="DE189">
        <v>1</v>
      </c>
      <c r="DF189">
        <v>21</v>
      </c>
      <c r="DG189" t="s">
        <v>95</v>
      </c>
      <c r="DH189" t="s">
        <v>95</v>
      </c>
      <c r="DI189" t="s">
        <v>907</v>
      </c>
      <c r="DJ189" t="s">
        <v>907</v>
      </c>
      <c r="DK189" t="s">
        <v>907</v>
      </c>
      <c r="DL189" t="s">
        <v>907</v>
      </c>
      <c r="DM189" t="s">
        <v>291</v>
      </c>
      <c r="DN189" t="s">
        <v>907</v>
      </c>
      <c r="DO189" t="s">
        <v>907</v>
      </c>
      <c r="DP189">
        <v>3</v>
      </c>
      <c r="DQ189" t="s">
        <v>128</v>
      </c>
      <c r="DR189" t="s">
        <v>907</v>
      </c>
      <c r="DS189" t="s">
        <v>270</v>
      </c>
      <c r="DT189" t="s">
        <v>1939</v>
      </c>
      <c r="DU189" t="s">
        <v>84</v>
      </c>
      <c r="DV189" t="s">
        <v>532</v>
      </c>
      <c r="DW189" t="s">
        <v>1876</v>
      </c>
      <c r="DX189" t="s">
        <v>95</v>
      </c>
      <c r="FQ189">
        <v>566859627</v>
      </c>
      <c r="FR189" t="s">
        <v>1940</v>
      </c>
      <c r="FS189" s="1">
        <v>45925.727002314823</v>
      </c>
      <c r="FV189" t="s">
        <v>134</v>
      </c>
      <c r="FW189" t="s">
        <v>135</v>
      </c>
      <c r="FX189" t="s">
        <v>136</v>
      </c>
      <c r="FZ189">
        <v>290</v>
      </c>
    </row>
    <row r="190" spans="1:182" hidden="1" x14ac:dyDescent="0.3">
      <c r="A190" s="1">
        <v>45925.623616620367</v>
      </c>
      <c r="B190" s="1">
        <v>45925.643787118053</v>
      </c>
      <c r="D190" t="s">
        <v>84</v>
      </c>
      <c r="E190" t="s">
        <v>1878</v>
      </c>
      <c r="F190" t="s">
        <v>1970</v>
      </c>
      <c r="G190" t="s">
        <v>176</v>
      </c>
      <c r="H190" t="s">
        <v>4122</v>
      </c>
      <c r="I190" t="s">
        <v>1971</v>
      </c>
      <c r="J190" t="s">
        <v>1972</v>
      </c>
      <c r="K190" t="s">
        <v>90</v>
      </c>
      <c r="L190" t="s">
        <v>1973</v>
      </c>
      <c r="M190" t="s">
        <v>1883</v>
      </c>
      <c r="N190" t="s">
        <v>1974</v>
      </c>
      <c r="O190">
        <v>-15.164726099999999</v>
      </c>
      <c r="P190">
        <v>22.9977847</v>
      </c>
      <c r="Q190">
        <v>1032.2</v>
      </c>
      <c r="R190">
        <v>4.72</v>
      </c>
      <c r="S190" t="s">
        <v>84</v>
      </c>
      <c r="T190" t="s">
        <v>182</v>
      </c>
      <c r="U190">
        <v>11</v>
      </c>
      <c r="V190" t="s">
        <v>95</v>
      </c>
      <c r="W190" t="s">
        <v>907</v>
      </c>
      <c r="X190">
        <v>60</v>
      </c>
      <c r="Y190">
        <v>4</v>
      </c>
      <c r="Z190">
        <v>4</v>
      </c>
      <c r="AA190" t="s">
        <v>96</v>
      </c>
      <c r="AB190" t="s">
        <v>97</v>
      </c>
      <c r="AC190" t="s">
        <v>98</v>
      </c>
      <c r="AD190" t="s">
        <v>280</v>
      </c>
      <c r="AE190" t="s">
        <v>304</v>
      </c>
      <c r="AF190" t="s">
        <v>907</v>
      </c>
      <c r="AG190">
        <v>2916</v>
      </c>
      <c r="AH190" t="s">
        <v>101</v>
      </c>
      <c r="AI190" t="s">
        <v>907</v>
      </c>
      <c r="AJ190" s="5">
        <v>416</v>
      </c>
      <c r="AK190" t="s">
        <v>148</v>
      </c>
      <c r="AL190" t="s">
        <v>907</v>
      </c>
      <c r="AM190" t="s">
        <v>4130</v>
      </c>
      <c r="AN190" t="s">
        <v>907</v>
      </c>
      <c r="AQ190" t="s">
        <v>466</v>
      </c>
      <c r="AR190" t="s">
        <v>95</v>
      </c>
      <c r="AS190">
        <v>0</v>
      </c>
      <c r="AT190">
        <v>0</v>
      </c>
      <c r="AU190">
        <v>0</v>
      </c>
      <c r="AV190">
        <v>0</v>
      </c>
      <c r="AW190">
        <v>0</v>
      </c>
      <c r="AX190">
        <v>0</v>
      </c>
      <c r="AY190">
        <v>0</v>
      </c>
      <c r="AZ190" t="s">
        <v>929</v>
      </c>
      <c r="BA190" t="s">
        <v>95</v>
      </c>
      <c r="BB190" t="s">
        <v>308</v>
      </c>
      <c r="BC190" t="s">
        <v>907</v>
      </c>
      <c r="BD190" t="s">
        <v>257</v>
      </c>
      <c r="BE190" t="s">
        <v>258</v>
      </c>
      <c r="BF190" t="s">
        <v>1975</v>
      </c>
      <c r="BG190" t="s">
        <v>235</v>
      </c>
      <c r="BH190">
        <v>69</v>
      </c>
      <c r="BL190">
        <v>25</v>
      </c>
      <c r="BN190">
        <v>1</v>
      </c>
      <c r="BP190">
        <v>10</v>
      </c>
      <c r="BR190">
        <v>10</v>
      </c>
      <c r="BT190">
        <v>8</v>
      </c>
      <c r="BV190">
        <v>0</v>
      </c>
      <c r="BX190">
        <v>15</v>
      </c>
      <c r="BY190" t="s">
        <v>189</v>
      </c>
      <c r="BZ190">
        <v>5</v>
      </c>
      <c r="CA190">
        <v>30</v>
      </c>
      <c r="CB190" t="s">
        <v>84</v>
      </c>
      <c r="CC190" t="s">
        <v>84</v>
      </c>
      <c r="CD190" t="s">
        <v>1976</v>
      </c>
      <c r="CE190" t="s">
        <v>4250</v>
      </c>
      <c r="CF190" t="s">
        <v>3970</v>
      </c>
      <c r="CG190" t="s">
        <v>907</v>
      </c>
      <c r="CH190">
        <v>5</v>
      </c>
      <c r="CI190" t="s">
        <v>84</v>
      </c>
      <c r="CJ190" t="s">
        <v>586</v>
      </c>
      <c r="CK190" t="s">
        <v>289</v>
      </c>
      <c r="CL190" t="s">
        <v>4262</v>
      </c>
      <c r="CM190" t="s">
        <v>193</v>
      </c>
      <c r="CN190" t="s">
        <v>3874</v>
      </c>
      <c r="CO190" t="s">
        <v>95</v>
      </c>
      <c r="CP190" t="s">
        <v>907</v>
      </c>
      <c r="CQ190" t="s">
        <v>116</v>
      </c>
      <c r="CR190" t="s">
        <v>84</v>
      </c>
      <c r="CS190" t="s">
        <v>117</v>
      </c>
      <c r="CT190" t="s">
        <v>163</v>
      </c>
      <c r="CU190" t="s">
        <v>438</v>
      </c>
      <c r="CV190" t="s">
        <v>812</v>
      </c>
      <c r="CW190" t="s">
        <v>907</v>
      </c>
      <c r="CX190" t="s">
        <v>166</v>
      </c>
      <c r="CY190" t="s">
        <v>167</v>
      </c>
      <c r="CZ190" t="s">
        <v>1543</v>
      </c>
      <c r="DA190">
        <v>5</v>
      </c>
      <c r="DB190" s="10">
        <v>35000</v>
      </c>
      <c r="DC190" t="s">
        <v>795</v>
      </c>
      <c r="DD190" t="s">
        <v>907</v>
      </c>
      <c r="DE190">
        <v>1</v>
      </c>
      <c r="DF190">
        <v>21</v>
      </c>
      <c r="DG190" t="s">
        <v>95</v>
      </c>
      <c r="DH190" t="s">
        <v>95</v>
      </c>
      <c r="DI190" t="s">
        <v>907</v>
      </c>
      <c r="DJ190" t="s">
        <v>907</v>
      </c>
      <c r="DK190" t="s">
        <v>907</v>
      </c>
      <c r="DL190" t="s">
        <v>907</v>
      </c>
      <c r="DM190" t="s">
        <v>291</v>
      </c>
      <c r="DN190" t="s">
        <v>907</v>
      </c>
      <c r="DO190" t="s">
        <v>907</v>
      </c>
      <c r="DP190">
        <v>3</v>
      </c>
      <c r="DQ190" t="s">
        <v>128</v>
      </c>
      <c r="DR190" t="s">
        <v>907</v>
      </c>
      <c r="DS190" t="s">
        <v>813</v>
      </c>
      <c r="DT190" t="s">
        <v>1977</v>
      </c>
      <c r="DU190" t="s">
        <v>84</v>
      </c>
      <c r="DV190" t="s">
        <v>1978</v>
      </c>
      <c r="DW190" t="s">
        <v>1979</v>
      </c>
      <c r="DX190" t="s">
        <v>95</v>
      </c>
      <c r="FQ190">
        <v>566859678</v>
      </c>
      <c r="FR190" t="s">
        <v>1980</v>
      </c>
      <c r="FS190" s="1">
        <v>45925.727048611108</v>
      </c>
      <c r="FV190" t="s">
        <v>134</v>
      </c>
      <c r="FW190" t="s">
        <v>135</v>
      </c>
      <c r="FX190" t="s">
        <v>136</v>
      </c>
      <c r="FZ190">
        <v>294</v>
      </c>
    </row>
    <row r="191" spans="1:182" x14ac:dyDescent="0.3">
      <c r="A191" s="1">
        <v>45929.431575486109</v>
      </c>
      <c r="B191" s="1">
        <v>45929.478292395826</v>
      </c>
      <c r="D191" t="s">
        <v>84</v>
      </c>
      <c r="E191" t="s">
        <v>1397</v>
      </c>
      <c r="F191" t="s">
        <v>3319</v>
      </c>
      <c r="G191" t="s">
        <v>176</v>
      </c>
      <c r="H191" t="s">
        <v>4121</v>
      </c>
      <c r="I191" t="s">
        <v>3260</v>
      </c>
      <c r="J191" t="s">
        <v>3320</v>
      </c>
      <c r="K191" t="s">
        <v>90</v>
      </c>
      <c r="L191" t="s">
        <v>4074</v>
      </c>
      <c r="M191" t="s">
        <v>3290</v>
      </c>
      <c r="N191" t="s">
        <v>3321</v>
      </c>
      <c r="O191">
        <v>-15.3824021</v>
      </c>
      <c r="P191">
        <v>23.014537300000001</v>
      </c>
      <c r="Q191">
        <v>1037.908447265625</v>
      </c>
      <c r="R191">
        <v>4.7409999999999997</v>
      </c>
      <c r="S191" t="s">
        <v>84</v>
      </c>
      <c r="T191" t="s">
        <v>94</v>
      </c>
      <c r="U191">
        <v>6</v>
      </c>
      <c r="V191" t="s">
        <v>95</v>
      </c>
      <c r="W191" t="s">
        <v>907</v>
      </c>
      <c r="X191">
        <v>3</v>
      </c>
      <c r="Y191">
        <v>0.3</v>
      </c>
      <c r="Z191">
        <v>2</v>
      </c>
      <c r="AA191" t="s">
        <v>251</v>
      </c>
      <c r="AB191" t="s">
        <v>97</v>
      </c>
      <c r="AC191" t="s">
        <v>98</v>
      </c>
      <c r="AD191" t="s">
        <v>252</v>
      </c>
      <c r="AE191" t="s">
        <v>304</v>
      </c>
      <c r="AF191" t="s">
        <v>907</v>
      </c>
      <c r="AG191">
        <v>2000</v>
      </c>
      <c r="AH191" t="s">
        <v>966</v>
      </c>
      <c r="AI191" t="s">
        <v>907</v>
      </c>
      <c r="AJ191" s="5">
        <v>4000</v>
      </c>
      <c r="AK191" t="s">
        <v>102</v>
      </c>
      <c r="AL191" t="s">
        <v>907</v>
      </c>
      <c r="AM191" t="s">
        <v>466</v>
      </c>
      <c r="AN191" t="s">
        <v>907</v>
      </c>
      <c r="AO191" t="s">
        <v>3322</v>
      </c>
      <c r="AP191" t="s">
        <v>3323</v>
      </c>
      <c r="AQ191" t="s">
        <v>3324</v>
      </c>
      <c r="AR191" t="s">
        <v>95</v>
      </c>
      <c r="AS191">
        <v>5</v>
      </c>
      <c r="AT191">
        <v>0</v>
      </c>
      <c r="AU191">
        <v>0</v>
      </c>
      <c r="AV191">
        <v>10</v>
      </c>
      <c r="AW191">
        <v>0</v>
      </c>
      <c r="AX191">
        <v>0</v>
      </c>
      <c r="AY191">
        <v>0</v>
      </c>
      <c r="AZ191" t="s">
        <v>1003</v>
      </c>
      <c r="BA191" t="s">
        <v>452</v>
      </c>
      <c r="BB191" t="s">
        <v>154</v>
      </c>
      <c r="BC191" t="s">
        <v>907</v>
      </c>
      <c r="BD191" t="s">
        <v>107</v>
      </c>
      <c r="BE191" t="s">
        <v>258</v>
      </c>
      <c r="BF191" t="s">
        <v>2115</v>
      </c>
      <c r="BG191" t="s">
        <v>2033</v>
      </c>
      <c r="BH191">
        <v>45</v>
      </c>
      <c r="BL191">
        <v>10</v>
      </c>
      <c r="BN191">
        <v>5</v>
      </c>
      <c r="BP191">
        <v>2</v>
      </c>
      <c r="BR191">
        <v>8</v>
      </c>
      <c r="BT191">
        <v>4</v>
      </c>
      <c r="BV191">
        <v>10</v>
      </c>
      <c r="BX191">
        <v>6</v>
      </c>
      <c r="BY191" t="s">
        <v>110</v>
      </c>
      <c r="BZ191" t="s">
        <v>907</v>
      </c>
      <c r="CA191" t="s">
        <v>907</v>
      </c>
      <c r="CB191" t="s">
        <v>84</v>
      </c>
      <c r="CC191" t="s">
        <v>84</v>
      </c>
      <c r="CD191" t="s">
        <v>778</v>
      </c>
      <c r="CE191" t="s">
        <v>4251</v>
      </c>
      <c r="CF191" t="s">
        <v>4075</v>
      </c>
      <c r="CG191" t="s">
        <v>907</v>
      </c>
      <c r="CH191">
        <v>5</v>
      </c>
      <c r="CI191" t="s">
        <v>95</v>
      </c>
      <c r="CJ191" t="s">
        <v>907</v>
      </c>
      <c r="CK191" t="s">
        <v>289</v>
      </c>
      <c r="CL191" t="s">
        <v>3325</v>
      </c>
      <c r="CM191" t="s">
        <v>193</v>
      </c>
      <c r="CN191" t="s">
        <v>3874</v>
      </c>
      <c r="CO191" t="s">
        <v>95</v>
      </c>
      <c r="CP191" t="s">
        <v>907</v>
      </c>
      <c r="CQ191" t="s">
        <v>116</v>
      </c>
      <c r="CR191" t="s">
        <v>84</v>
      </c>
      <c r="CS191" t="s">
        <v>117</v>
      </c>
      <c r="CT191" t="s">
        <v>118</v>
      </c>
      <c r="CU191" t="s">
        <v>3869</v>
      </c>
      <c r="CV191" t="s">
        <v>812</v>
      </c>
      <c r="CW191" t="s">
        <v>483</v>
      </c>
      <c r="CX191" t="s">
        <v>166</v>
      </c>
      <c r="CY191" t="s">
        <v>167</v>
      </c>
      <c r="CZ191" t="s">
        <v>2650</v>
      </c>
      <c r="DA191">
        <v>5</v>
      </c>
      <c r="DB191" s="10">
        <v>35000</v>
      </c>
      <c r="DC191" t="s">
        <v>169</v>
      </c>
      <c r="DD191" t="s">
        <v>907</v>
      </c>
      <c r="DE191">
        <v>4</v>
      </c>
      <c r="DF191">
        <v>20</v>
      </c>
      <c r="DG191" t="s">
        <v>95</v>
      </c>
      <c r="DH191" t="s">
        <v>95</v>
      </c>
      <c r="DI191" t="s">
        <v>907</v>
      </c>
      <c r="DJ191" t="s">
        <v>907</v>
      </c>
      <c r="DK191" t="s">
        <v>907</v>
      </c>
      <c r="DL191" t="s">
        <v>907</v>
      </c>
      <c r="DM191" t="s">
        <v>291</v>
      </c>
      <c r="DN191" t="s">
        <v>907</v>
      </c>
      <c r="DO191" t="s">
        <v>907</v>
      </c>
      <c r="DP191">
        <v>5</v>
      </c>
      <c r="DQ191" t="s">
        <v>441</v>
      </c>
      <c r="DR191" t="s">
        <v>907</v>
      </c>
      <c r="DS191" t="s">
        <v>3326</v>
      </c>
      <c r="DT191" t="s">
        <v>1288</v>
      </c>
      <c r="DU191" t="s">
        <v>84</v>
      </c>
      <c r="DV191" t="s">
        <v>796</v>
      </c>
      <c r="DW191" t="s">
        <v>533</v>
      </c>
      <c r="DX191" t="s">
        <v>95</v>
      </c>
      <c r="FQ191">
        <v>569747840</v>
      </c>
      <c r="FR191" t="s">
        <v>3327</v>
      </c>
      <c r="FS191" s="1">
        <v>45930.203472222223</v>
      </c>
      <c r="FV191" t="s">
        <v>134</v>
      </c>
      <c r="FW191" t="s">
        <v>135</v>
      </c>
      <c r="FX191" t="s">
        <v>136</v>
      </c>
      <c r="FZ191">
        <v>531</v>
      </c>
    </row>
    <row r="192" spans="1:182" hidden="1" x14ac:dyDescent="0.3">
      <c r="A192" s="1">
        <v>45925.437216273152</v>
      </c>
      <c r="B192" s="1">
        <v>45925.452773935183</v>
      </c>
      <c r="D192" t="s">
        <v>84</v>
      </c>
      <c r="E192" t="s">
        <v>297</v>
      </c>
      <c r="F192" t="s">
        <v>2595</v>
      </c>
      <c r="G192" t="s">
        <v>176</v>
      </c>
      <c r="H192" t="s">
        <v>4122</v>
      </c>
      <c r="I192" t="s">
        <v>2596</v>
      </c>
      <c r="J192" t="s">
        <v>2597</v>
      </c>
      <c r="K192" t="s">
        <v>90</v>
      </c>
      <c r="L192" t="s">
        <v>2491</v>
      </c>
      <c r="M192" t="s">
        <v>1871</v>
      </c>
      <c r="N192" t="s">
        <v>2598</v>
      </c>
      <c r="O192">
        <v>-15.1974871</v>
      </c>
      <c r="P192">
        <v>22.973610699999998</v>
      </c>
      <c r="Q192">
        <v>1017.875</v>
      </c>
      <c r="R192">
        <v>4.9720000000000004</v>
      </c>
      <c r="S192" t="s">
        <v>84</v>
      </c>
      <c r="T192" t="s">
        <v>94</v>
      </c>
      <c r="U192">
        <v>8</v>
      </c>
      <c r="V192" t="s">
        <v>95</v>
      </c>
      <c r="W192" t="s">
        <v>907</v>
      </c>
      <c r="X192">
        <v>10</v>
      </c>
      <c r="Y192">
        <v>0.21</v>
      </c>
      <c r="Z192">
        <v>0.21</v>
      </c>
      <c r="AA192" t="s">
        <v>4179</v>
      </c>
      <c r="AB192" t="s">
        <v>97</v>
      </c>
      <c r="AC192" t="s">
        <v>98</v>
      </c>
      <c r="AD192" t="s">
        <v>280</v>
      </c>
      <c r="AE192" t="s">
        <v>100</v>
      </c>
      <c r="AF192" t="s">
        <v>907</v>
      </c>
      <c r="AG192">
        <v>50000</v>
      </c>
      <c r="AH192" t="s">
        <v>3873</v>
      </c>
      <c r="AI192" t="s">
        <v>907</v>
      </c>
      <c r="AJ192" t="s">
        <v>907</v>
      </c>
      <c r="AK192" t="s">
        <v>102</v>
      </c>
      <c r="AL192" t="s">
        <v>907</v>
      </c>
      <c r="AM192" t="s">
        <v>253</v>
      </c>
      <c r="AN192" t="s">
        <v>907</v>
      </c>
      <c r="AO192" t="s">
        <v>267</v>
      </c>
      <c r="AP192" t="s">
        <v>267</v>
      </c>
      <c r="AQ192" t="s">
        <v>253</v>
      </c>
      <c r="AR192" t="s">
        <v>84</v>
      </c>
      <c r="AS192">
        <v>0</v>
      </c>
      <c r="AT192">
        <v>0</v>
      </c>
      <c r="AU192">
        <v>0</v>
      </c>
      <c r="AV192">
        <v>0</v>
      </c>
      <c r="AW192">
        <v>0</v>
      </c>
      <c r="AX192">
        <v>0</v>
      </c>
      <c r="AY192">
        <v>0</v>
      </c>
      <c r="AZ192" t="s">
        <v>284</v>
      </c>
      <c r="BA192" t="s">
        <v>95</v>
      </c>
      <c r="BB192" t="s">
        <v>154</v>
      </c>
      <c r="BC192" t="s">
        <v>907</v>
      </c>
      <c r="BD192" t="s">
        <v>107</v>
      </c>
      <c r="BE192" t="s">
        <v>258</v>
      </c>
      <c r="BF192" t="s">
        <v>4010</v>
      </c>
      <c r="BG192" t="s">
        <v>235</v>
      </c>
      <c r="BH192">
        <v>45</v>
      </c>
      <c r="BL192">
        <v>28</v>
      </c>
      <c r="BN192">
        <v>2</v>
      </c>
      <c r="BP192">
        <v>1</v>
      </c>
      <c r="BR192">
        <v>1</v>
      </c>
      <c r="BT192">
        <v>4</v>
      </c>
      <c r="BV192">
        <v>1</v>
      </c>
      <c r="BX192">
        <v>8</v>
      </c>
      <c r="BY192" t="s">
        <v>189</v>
      </c>
      <c r="BZ192">
        <v>3</v>
      </c>
      <c r="CA192">
        <v>2</v>
      </c>
      <c r="CB192" t="s">
        <v>84</v>
      </c>
      <c r="CC192" t="s">
        <v>84</v>
      </c>
      <c r="CD192" t="s">
        <v>2599</v>
      </c>
      <c r="CE192" t="s">
        <v>4251</v>
      </c>
      <c r="CF192" t="s">
        <v>2600</v>
      </c>
      <c r="CG192" t="s">
        <v>907</v>
      </c>
      <c r="CH192">
        <v>5</v>
      </c>
      <c r="CI192" t="s">
        <v>84</v>
      </c>
      <c r="CJ192" t="s">
        <v>336</v>
      </c>
      <c r="CK192" t="s">
        <v>289</v>
      </c>
      <c r="CL192" t="s">
        <v>2483</v>
      </c>
      <c r="CM192" t="s">
        <v>193</v>
      </c>
      <c r="CN192" t="s">
        <v>421</v>
      </c>
      <c r="CO192" t="s">
        <v>95</v>
      </c>
      <c r="CP192" t="s">
        <v>907</v>
      </c>
      <c r="CQ192" t="s">
        <v>116</v>
      </c>
      <c r="CR192" t="s">
        <v>84</v>
      </c>
      <c r="CS192" t="s">
        <v>117</v>
      </c>
      <c r="CT192" t="s">
        <v>264</v>
      </c>
      <c r="CU192" t="s">
        <v>322</v>
      </c>
      <c r="CV192" t="s">
        <v>812</v>
      </c>
      <c r="CW192" t="s">
        <v>2464</v>
      </c>
      <c r="CX192" t="s">
        <v>166</v>
      </c>
      <c r="CY192" t="s">
        <v>167</v>
      </c>
      <c r="CZ192" t="s">
        <v>2601</v>
      </c>
      <c r="DA192">
        <v>5</v>
      </c>
      <c r="DB192" s="10">
        <v>35000</v>
      </c>
      <c r="DC192" t="s">
        <v>169</v>
      </c>
      <c r="DD192" t="s">
        <v>907</v>
      </c>
      <c r="DE192">
        <v>2</v>
      </c>
      <c r="DF192">
        <v>16</v>
      </c>
      <c r="DG192" t="s">
        <v>95</v>
      </c>
      <c r="DH192" t="s">
        <v>95</v>
      </c>
      <c r="DI192" t="s">
        <v>907</v>
      </c>
      <c r="DJ192" t="s">
        <v>907</v>
      </c>
      <c r="DK192" t="s">
        <v>907</v>
      </c>
      <c r="DL192" t="s">
        <v>907</v>
      </c>
      <c r="DM192" t="s">
        <v>291</v>
      </c>
      <c r="DN192" t="s">
        <v>907</v>
      </c>
      <c r="DO192" t="s">
        <v>907</v>
      </c>
      <c r="DP192">
        <v>40</v>
      </c>
      <c r="DQ192" t="s">
        <v>441</v>
      </c>
      <c r="DR192" t="s">
        <v>907</v>
      </c>
      <c r="DS192" t="s">
        <v>2485</v>
      </c>
      <c r="DT192" t="s">
        <v>2486</v>
      </c>
      <c r="DU192" t="s">
        <v>95</v>
      </c>
      <c r="DV192" t="s">
        <v>907</v>
      </c>
      <c r="DW192" t="s">
        <v>907</v>
      </c>
      <c r="DX192" t="s">
        <v>907</v>
      </c>
      <c r="FQ192">
        <v>567124704</v>
      </c>
      <c r="FR192" t="s">
        <v>2602</v>
      </c>
      <c r="FS192" s="1">
        <v>45926.220208333332</v>
      </c>
      <c r="FV192" t="s">
        <v>134</v>
      </c>
      <c r="FW192" t="s">
        <v>135</v>
      </c>
      <c r="FX192" t="s">
        <v>136</v>
      </c>
      <c r="FZ192">
        <v>383</v>
      </c>
    </row>
    <row r="193" spans="1:182" x14ac:dyDescent="0.3">
      <c r="A193" s="1">
        <v>45925.398040613429</v>
      </c>
      <c r="B193" s="1">
        <v>45925.416763622678</v>
      </c>
      <c r="D193" t="s">
        <v>84</v>
      </c>
      <c r="E193" t="s">
        <v>297</v>
      </c>
      <c r="F193" t="s">
        <v>2455</v>
      </c>
      <c r="G193" t="s">
        <v>176</v>
      </c>
      <c r="H193" t="s">
        <v>4122</v>
      </c>
      <c r="I193" t="s">
        <v>2456</v>
      </c>
      <c r="J193" t="s">
        <v>2457</v>
      </c>
      <c r="K193" t="s">
        <v>90</v>
      </c>
      <c r="L193" t="s">
        <v>2458</v>
      </c>
      <c r="M193" t="s">
        <v>1883</v>
      </c>
      <c r="N193" t="s">
        <v>2459</v>
      </c>
      <c r="O193">
        <v>-15.197563300000001</v>
      </c>
      <c r="P193">
        <v>22.973408299999999</v>
      </c>
      <c r="Q193">
        <v>1011.1</v>
      </c>
      <c r="R193">
        <v>4.4329999999999998</v>
      </c>
      <c r="S193" t="s">
        <v>84</v>
      </c>
      <c r="T193" t="s">
        <v>94</v>
      </c>
      <c r="U193">
        <v>7</v>
      </c>
      <c r="V193" t="s">
        <v>212</v>
      </c>
      <c r="W193" t="s">
        <v>2460</v>
      </c>
      <c r="X193">
        <v>45</v>
      </c>
      <c r="Y193">
        <v>2.5</v>
      </c>
      <c r="Z193">
        <v>2.5</v>
      </c>
      <c r="AA193" t="s">
        <v>504</v>
      </c>
      <c r="AB193" t="s">
        <v>351</v>
      </c>
      <c r="AC193" t="s">
        <v>98</v>
      </c>
      <c r="AD193" t="s">
        <v>280</v>
      </c>
      <c r="AE193" t="s">
        <v>101</v>
      </c>
      <c r="AF193" t="s">
        <v>907</v>
      </c>
      <c r="AG193" s="2">
        <v>10000</v>
      </c>
      <c r="AH193" t="s">
        <v>214</v>
      </c>
      <c r="AI193" t="s">
        <v>907</v>
      </c>
      <c r="AJ193" s="5">
        <v>7000</v>
      </c>
      <c r="AK193" t="s">
        <v>102</v>
      </c>
      <c r="AL193" t="s">
        <v>907</v>
      </c>
      <c r="AM193" t="s">
        <v>4130</v>
      </c>
      <c r="AN193" t="s">
        <v>907</v>
      </c>
      <c r="AQ193" t="s">
        <v>149</v>
      </c>
      <c r="AR193" t="s">
        <v>95</v>
      </c>
      <c r="AS193">
        <v>0</v>
      </c>
      <c r="AT193">
        <v>0</v>
      </c>
      <c r="AU193">
        <v>0</v>
      </c>
      <c r="AV193">
        <v>0</v>
      </c>
      <c r="AW193">
        <v>0</v>
      </c>
      <c r="AX193">
        <v>0</v>
      </c>
      <c r="AY193">
        <v>0</v>
      </c>
      <c r="AZ193" t="s">
        <v>284</v>
      </c>
      <c r="BA193" t="s">
        <v>95</v>
      </c>
      <c r="BB193" t="s">
        <v>308</v>
      </c>
      <c r="BC193" t="s">
        <v>907</v>
      </c>
      <c r="BD193" t="s">
        <v>107</v>
      </c>
      <c r="BE193" t="s">
        <v>258</v>
      </c>
      <c r="BF193" t="s">
        <v>3997</v>
      </c>
      <c r="BG193" t="s">
        <v>235</v>
      </c>
      <c r="BH193">
        <v>85</v>
      </c>
      <c r="BL193">
        <v>59</v>
      </c>
      <c r="BN193">
        <v>2</v>
      </c>
      <c r="BP193">
        <v>3</v>
      </c>
      <c r="BR193">
        <v>2</v>
      </c>
      <c r="BT193">
        <v>3</v>
      </c>
      <c r="BV193">
        <v>2</v>
      </c>
      <c r="BX193">
        <v>14</v>
      </c>
      <c r="BY193" t="s">
        <v>189</v>
      </c>
      <c r="BZ193">
        <v>5</v>
      </c>
      <c r="CA193">
        <v>12</v>
      </c>
      <c r="CB193" t="s">
        <v>84</v>
      </c>
      <c r="CC193" t="s">
        <v>84</v>
      </c>
      <c r="CD193" t="s">
        <v>2461</v>
      </c>
      <c r="CE193" t="s">
        <v>4251</v>
      </c>
      <c r="CF193" t="s">
        <v>2462</v>
      </c>
      <c r="CG193" t="s">
        <v>907</v>
      </c>
      <c r="CH193">
        <v>4</v>
      </c>
      <c r="CI193" t="s">
        <v>84</v>
      </c>
      <c r="CJ193" t="s">
        <v>586</v>
      </c>
      <c r="CK193" t="s">
        <v>113</v>
      </c>
      <c r="CL193" t="s">
        <v>1176</v>
      </c>
      <c r="CM193" t="s">
        <v>193</v>
      </c>
      <c r="CN193" t="s">
        <v>3874</v>
      </c>
      <c r="CO193" t="s">
        <v>95</v>
      </c>
      <c r="CP193" t="s">
        <v>907</v>
      </c>
      <c r="CQ193" t="s">
        <v>116</v>
      </c>
      <c r="CR193" t="s">
        <v>84</v>
      </c>
      <c r="CS193" t="s">
        <v>117</v>
      </c>
      <c r="CT193" t="s">
        <v>264</v>
      </c>
      <c r="CU193" t="s">
        <v>322</v>
      </c>
      <c r="CV193" t="s">
        <v>812</v>
      </c>
      <c r="CW193" t="s">
        <v>2463</v>
      </c>
      <c r="CX193" t="s">
        <v>166</v>
      </c>
      <c r="CY193" t="s">
        <v>167</v>
      </c>
      <c r="CZ193" t="s">
        <v>2464</v>
      </c>
      <c r="DA193">
        <v>6</v>
      </c>
      <c r="DB193" s="10">
        <v>26000</v>
      </c>
      <c r="DC193" t="s">
        <v>123</v>
      </c>
      <c r="DD193" t="s">
        <v>2465</v>
      </c>
      <c r="DE193">
        <v>2</v>
      </c>
      <c r="DF193">
        <v>15</v>
      </c>
      <c r="DG193" t="s">
        <v>95</v>
      </c>
      <c r="DH193" t="s">
        <v>95</v>
      </c>
      <c r="DI193" t="s">
        <v>907</v>
      </c>
      <c r="DJ193" t="s">
        <v>907</v>
      </c>
      <c r="DK193" t="s">
        <v>907</v>
      </c>
      <c r="DL193" t="s">
        <v>907</v>
      </c>
      <c r="DM193" t="s">
        <v>291</v>
      </c>
      <c r="DN193" t="s">
        <v>907</v>
      </c>
      <c r="DO193" t="s">
        <v>907</v>
      </c>
      <c r="DP193">
        <v>60</v>
      </c>
      <c r="DQ193" t="s">
        <v>441</v>
      </c>
      <c r="DR193" t="s">
        <v>907</v>
      </c>
      <c r="DS193" t="s">
        <v>2466</v>
      </c>
      <c r="DT193" t="s">
        <v>1017</v>
      </c>
      <c r="DU193" t="s">
        <v>95</v>
      </c>
      <c r="DV193" t="s">
        <v>907</v>
      </c>
      <c r="DW193" t="s">
        <v>907</v>
      </c>
      <c r="DX193" t="s">
        <v>907</v>
      </c>
      <c r="FQ193">
        <v>566956894</v>
      </c>
      <c r="FR193" t="s">
        <v>2467</v>
      </c>
      <c r="FS193" s="1">
        <v>45925.844687500001</v>
      </c>
      <c r="FV193" t="s">
        <v>134</v>
      </c>
      <c r="FW193" t="s">
        <v>135</v>
      </c>
      <c r="FX193" t="s">
        <v>136</v>
      </c>
      <c r="FZ193">
        <v>355</v>
      </c>
    </row>
    <row r="194" spans="1:182" hidden="1" x14ac:dyDescent="0.3">
      <c r="A194" s="1">
        <v>45925.509211793978</v>
      </c>
      <c r="B194" s="1">
        <v>45925.523761574077</v>
      </c>
      <c r="D194" t="s">
        <v>84</v>
      </c>
      <c r="E194" t="s">
        <v>3878</v>
      </c>
      <c r="F194" t="s">
        <v>1802</v>
      </c>
      <c r="G194" t="s">
        <v>176</v>
      </c>
      <c r="H194" t="s">
        <v>4122</v>
      </c>
      <c r="I194" t="s">
        <v>1803</v>
      </c>
      <c r="J194" t="s">
        <v>1804</v>
      </c>
      <c r="K194" t="s">
        <v>90</v>
      </c>
      <c r="L194" t="s">
        <v>1805</v>
      </c>
      <c r="M194" t="s">
        <v>1731</v>
      </c>
      <c r="N194" t="s">
        <v>1806</v>
      </c>
      <c r="O194">
        <v>-15.2209267</v>
      </c>
      <c r="P194">
        <v>22.998588300000002</v>
      </c>
      <c r="Q194">
        <v>981.4</v>
      </c>
      <c r="R194">
        <v>4.9160000000000004</v>
      </c>
      <c r="S194" t="s">
        <v>84</v>
      </c>
      <c r="T194" t="s">
        <v>94</v>
      </c>
      <c r="U194">
        <v>6</v>
      </c>
      <c r="V194" t="s">
        <v>95</v>
      </c>
      <c r="W194" t="s">
        <v>907</v>
      </c>
      <c r="X194">
        <v>5</v>
      </c>
      <c r="Y194">
        <v>1</v>
      </c>
      <c r="Z194">
        <v>1</v>
      </c>
      <c r="AA194" t="s">
        <v>504</v>
      </c>
      <c r="AB194" t="s">
        <v>351</v>
      </c>
      <c r="AC194" t="s">
        <v>98</v>
      </c>
      <c r="AD194" t="s">
        <v>252</v>
      </c>
      <c r="AE194" t="s">
        <v>101</v>
      </c>
      <c r="AF194" t="s">
        <v>907</v>
      </c>
      <c r="AG194">
        <v>10000</v>
      </c>
      <c r="AH194" t="s">
        <v>1807</v>
      </c>
      <c r="AI194" t="s">
        <v>907</v>
      </c>
      <c r="AJ194" s="5">
        <v>80000</v>
      </c>
      <c r="AK194" t="s">
        <v>148</v>
      </c>
      <c r="AL194" t="s">
        <v>907</v>
      </c>
      <c r="AM194" t="s">
        <v>1808</v>
      </c>
      <c r="AN194" t="s">
        <v>907</v>
      </c>
      <c r="AO194" t="s">
        <v>1809</v>
      </c>
      <c r="AP194" t="s">
        <v>1144</v>
      </c>
      <c r="AQ194" t="s">
        <v>1810</v>
      </c>
      <c r="AR194" t="s">
        <v>84</v>
      </c>
      <c r="AS194">
        <v>0</v>
      </c>
      <c r="AT194">
        <v>0</v>
      </c>
      <c r="AU194">
        <v>0</v>
      </c>
      <c r="AV194">
        <v>0</v>
      </c>
      <c r="AW194">
        <v>0</v>
      </c>
      <c r="AX194">
        <v>0</v>
      </c>
      <c r="AY194">
        <v>0</v>
      </c>
      <c r="AZ194" t="s">
        <v>1003</v>
      </c>
      <c r="BA194" t="s">
        <v>95</v>
      </c>
      <c r="BB194" t="s">
        <v>154</v>
      </c>
      <c r="BC194" t="s">
        <v>907</v>
      </c>
      <c r="BD194" t="s">
        <v>107</v>
      </c>
      <c r="BE194" t="s">
        <v>810</v>
      </c>
      <c r="BF194" t="s">
        <v>1811</v>
      </c>
      <c r="BG194" t="s">
        <v>156</v>
      </c>
      <c r="BH194">
        <v>40</v>
      </c>
      <c r="BL194">
        <v>20</v>
      </c>
      <c r="BN194">
        <v>2</v>
      </c>
      <c r="BP194">
        <v>9</v>
      </c>
      <c r="BR194">
        <v>2</v>
      </c>
      <c r="BT194">
        <v>2</v>
      </c>
      <c r="BV194">
        <v>2</v>
      </c>
      <c r="BX194">
        <v>9</v>
      </c>
      <c r="BY194" t="s">
        <v>110</v>
      </c>
      <c r="BZ194" t="s">
        <v>907</v>
      </c>
      <c r="CA194" t="s">
        <v>907</v>
      </c>
      <c r="CB194" t="s">
        <v>84</v>
      </c>
      <c r="CC194" t="s">
        <v>95</v>
      </c>
      <c r="CD194" t="s">
        <v>1167</v>
      </c>
      <c r="CE194" t="s">
        <v>4252</v>
      </c>
      <c r="CF194" t="s">
        <v>1577</v>
      </c>
      <c r="CG194" t="s">
        <v>907</v>
      </c>
      <c r="CH194">
        <v>5</v>
      </c>
      <c r="CI194" t="s">
        <v>84</v>
      </c>
      <c r="CJ194" t="s">
        <v>586</v>
      </c>
      <c r="CK194" t="s">
        <v>1005</v>
      </c>
      <c r="CL194" t="s">
        <v>1196</v>
      </c>
      <c r="CM194" t="s">
        <v>162</v>
      </c>
      <c r="CN194" t="s">
        <v>3903</v>
      </c>
      <c r="CO194" t="s">
        <v>95</v>
      </c>
      <c r="CP194" t="s">
        <v>907</v>
      </c>
      <c r="CQ194" t="s">
        <v>116</v>
      </c>
      <c r="CR194" t="s">
        <v>95</v>
      </c>
      <c r="CS194" t="s">
        <v>907</v>
      </c>
      <c r="CT194" t="s">
        <v>907</v>
      </c>
      <c r="CU194" t="s">
        <v>907</v>
      </c>
      <c r="CV194" t="s">
        <v>812</v>
      </c>
      <c r="CW194" t="s">
        <v>1185</v>
      </c>
      <c r="CX194" t="s">
        <v>166</v>
      </c>
      <c r="CY194" t="s">
        <v>167</v>
      </c>
      <c r="CZ194" t="s">
        <v>382</v>
      </c>
      <c r="DA194">
        <v>6</v>
      </c>
      <c r="DB194" s="10">
        <v>38000</v>
      </c>
      <c r="DC194" t="s">
        <v>169</v>
      </c>
      <c r="DD194" t="s">
        <v>907</v>
      </c>
      <c r="DE194">
        <v>3</v>
      </c>
      <c r="DF194">
        <v>11</v>
      </c>
      <c r="DG194" t="s">
        <v>95</v>
      </c>
      <c r="DH194" t="s">
        <v>95</v>
      </c>
      <c r="DI194" t="s">
        <v>907</v>
      </c>
      <c r="DJ194" t="s">
        <v>907</v>
      </c>
      <c r="DK194" t="s">
        <v>907</v>
      </c>
      <c r="DL194" t="s">
        <v>907</v>
      </c>
      <c r="DM194" t="s">
        <v>291</v>
      </c>
      <c r="DN194" t="s">
        <v>907</v>
      </c>
      <c r="DO194" t="s">
        <v>907</v>
      </c>
      <c r="DP194">
        <v>2</v>
      </c>
      <c r="DQ194" t="s">
        <v>441</v>
      </c>
      <c r="DR194" t="s">
        <v>907</v>
      </c>
      <c r="DS194" t="s">
        <v>172</v>
      </c>
      <c r="DT194" t="s">
        <v>863</v>
      </c>
      <c r="DU194" t="s">
        <v>95</v>
      </c>
      <c r="DV194" t="s">
        <v>907</v>
      </c>
      <c r="DW194" t="s">
        <v>907</v>
      </c>
      <c r="DX194" t="s">
        <v>907</v>
      </c>
      <c r="FQ194">
        <v>566789980</v>
      </c>
      <c r="FR194" t="s">
        <v>1812</v>
      </c>
      <c r="FS194" s="1">
        <v>45925.665358796286</v>
      </c>
      <c r="FV194" t="s">
        <v>134</v>
      </c>
      <c r="FW194" t="s">
        <v>135</v>
      </c>
      <c r="FX194" t="s">
        <v>136</v>
      </c>
      <c r="FZ194">
        <v>277</v>
      </c>
    </row>
    <row r="195" spans="1:182" hidden="1" x14ac:dyDescent="0.3">
      <c r="A195" s="1">
        <v>45926.414526759261</v>
      </c>
      <c r="B195" s="1">
        <v>45926.425061134258</v>
      </c>
      <c r="D195" t="s">
        <v>84</v>
      </c>
      <c r="E195" t="s">
        <v>3878</v>
      </c>
      <c r="F195" t="s">
        <v>2864</v>
      </c>
      <c r="G195" t="s">
        <v>176</v>
      </c>
      <c r="H195" t="s">
        <v>4122</v>
      </c>
      <c r="I195" t="s">
        <v>2865</v>
      </c>
      <c r="J195" t="s">
        <v>2866</v>
      </c>
      <c r="K195" t="s">
        <v>90</v>
      </c>
      <c r="L195" t="s">
        <v>2867</v>
      </c>
      <c r="M195" t="s">
        <v>2868</v>
      </c>
      <c r="N195" t="s">
        <v>2869</v>
      </c>
      <c r="O195">
        <v>-15.214388</v>
      </c>
      <c r="P195">
        <v>22.935071900000001</v>
      </c>
      <c r="Q195">
        <v>1003.4</v>
      </c>
      <c r="R195">
        <v>4.883</v>
      </c>
      <c r="S195" t="s">
        <v>84</v>
      </c>
      <c r="T195" t="s">
        <v>94</v>
      </c>
      <c r="U195">
        <v>11</v>
      </c>
      <c r="V195" t="s">
        <v>95</v>
      </c>
      <c r="W195" t="s">
        <v>907</v>
      </c>
      <c r="X195">
        <v>20</v>
      </c>
      <c r="Y195">
        <v>2</v>
      </c>
      <c r="Z195">
        <v>2</v>
      </c>
      <c r="AA195" t="s">
        <v>96</v>
      </c>
      <c r="AB195" t="s">
        <v>351</v>
      </c>
      <c r="AC195" t="s">
        <v>98</v>
      </c>
      <c r="AD195" t="s">
        <v>280</v>
      </c>
      <c r="AE195" t="s">
        <v>304</v>
      </c>
      <c r="AF195" t="s">
        <v>907</v>
      </c>
      <c r="AG195">
        <v>10000</v>
      </c>
      <c r="AH195" t="s">
        <v>3873</v>
      </c>
      <c r="AI195" t="s">
        <v>907</v>
      </c>
      <c r="AJ195" t="s">
        <v>907</v>
      </c>
      <c r="AK195" t="s">
        <v>102</v>
      </c>
      <c r="AL195" t="s">
        <v>907</v>
      </c>
      <c r="AM195" t="s">
        <v>4130</v>
      </c>
      <c r="AN195" t="s">
        <v>907</v>
      </c>
      <c r="AQ195" t="s">
        <v>451</v>
      </c>
      <c r="AR195" t="s">
        <v>95</v>
      </c>
      <c r="AS195">
        <v>0</v>
      </c>
      <c r="AT195">
        <v>0</v>
      </c>
      <c r="AU195">
        <v>0</v>
      </c>
      <c r="AV195">
        <v>0</v>
      </c>
      <c r="AW195">
        <v>0</v>
      </c>
      <c r="AX195">
        <v>0</v>
      </c>
      <c r="AY195">
        <v>0</v>
      </c>
      <c r="AZ195" t="s">
        <v>284</v>
      </c>
      <c r="BA195" t="s">
        <v>95</v>
      </c>
      <c r="BB195" t="s">
        <v>154</v>
      </c>
      <c r="BC195" t="s">
        <v>907</v>
      </c>
      <c r="BD195" t="s">
        <v>107</v>
      </c>
      <c r="BE195" t="s">
        <v>810</v>
      </c>
      <c r="BF195" t="s">
        <v>2870</v>
      </c>
      <c r="BG195" t="s">
        <v>235</v>
      </c>
      <c r="BH195">
        <v>50</v>
      </c>
      <c r="BL195">
        <v>35</v>
      </c>
      <c r="BN195">
        <v>1</v>
      </c>
      <c r="BP195">
        <v>0</v>
      </c>
      <c r="BR195">
        <v>0</v>
      </c>
      <c r="BT195">
        <v>4</v>
      </c>
      <c r="BV195">
        <v>0</v>
      </c>
      <c r="BX195">
        <v>10</v>
      </c>
      <c r="BY195" t="s">
        <v>189</v>
      </c>
      <c r="BZ195">
        <v>3</v>
      </c>
      <c r="CA195">
        <v>22</v>
      </c>
      <c r="CB195" t="s">
        <v>84</v>
      </c>
      <c r="CC195" t="s">
        <v>84</v>
      </c>
      <c r="CD195" t="s">
        <v>1167</v>
      </c>
      <c r="CE195" t="s">
        <v>4251</v>
      </c>
      <c r="CF195" t="s">
        <v>1577</v>
      </c>
      <c r="CG195" t="s">
        <v>907</v>
      </c>
      <c r="CH195">
        <v>6</v>
      </c>
      <c r="CI195" t="s">
        <v>84</v>
      </c>
      <c r="CJ195" t="s">
        <v>336</v>
      </c>
      <c r="CK195" t="s">
        <v>113</v>
      </c>
      <c r="CL195" t="s">
        <v>1196</v>
      </c>
      <c r="CM195" t="s">
        <v>193</v>
      </c>
      <c r="CN195" t="s">
        <v>3874</v>
      </c>
      <c r="CO195" t="s">
        <v>95</v>
      </c>
      <c r="CP195" t="s">
        <v>907</v>
      </c>
      <c r="CQ195" t="s">
        <v>116</v>
      </c>
      <c r="CR195" t="s">
        <v>95</v>
      </c>
      <c r="CS195" t="s">
        <v>907</v>
      </c>
      <c r="CT195" t="s">
        <v>907</v>
      </c>
      <c r="CU195" t="s">
        <v>907</v>
      </c>
      <c r="CV195" t="s">
        <v>812</v>
      </c>
      <c r="CW195" t="s">
        <v>907</v>
      </c>
      <c r="CX195" t="s">
        <v>166</v>
      </c>
      <c r="CY195" t="s">
        <v>167</v>
      </c>
      <c r="CZ195" t="s">
        <v>1129</v>
      </c>
      <c r="DA195">
        <v>5</v>
      </c>
      <c r="DB195" s="10">
        <v>40000</v>
      </c>
      <c r="DC195" t="s">
        <v>169</v>
      </c>
      <c r="DD195" t="s">
        <v>907</v>
      </c>
      <c r="DE195">
        <v>3</v>
      </c>
      <c r="DF195">
        <v>25</v>
      </c>
      <c r="DG195" t="s">
        <v>95</v>
      </c>
      <c r="DH195" t="s">
        <v>95</v>
      </c>
      <c r="DI195" t="s">
        <v>907</v>
      </c>
      <c r="DJ195" t="s">
        <v>907</v>
      </c>
      <c r="DK195" t="s">
        <v>907</v>
      </c>
      <c r="DL195" t="s">
        <v>907</v>
      </c>
      <c r="DM195" t="s">
        <v>291</v>
      </c>
      <c r="DN195" t="s">
        <v>907</v>
      </c>
      <c r="DO195" t="s">
        <v>907</v>
      </c>
      <c r="DP195">
        <v>3</v>
      </c>
      <c r="DQ195" t="s">
        <v>441</v>
      </c>
      <c r="DR195" t="s">
        <v>907</v>
      </c>
      <c r="DS195" t="s">
        <v>368</v>
      </c>
      <c r="DT195" t="s">
        <v>2431</v>
      </c>
      <c r="DU195" t="s">
        <v>95</v>
      </c>
      <c r="DV195" t="s">
        <v>907</v>
      </c>
      <c r="DW195" t="s">
        <v>907</v>
      </c>
      <c r="DX195" t="s">
        <v>907</v>
      </c>
      <c r="FQ195">
        <v>567443250</v>
      </c>
      <c r="FR195" t="s">
        <v>2871</v>
      </c>
      <c r="FS195" s="1">
        <v>45926.568136574067</v>
      </c>
      <c r="FV195" t="s">
        <v>134</v>
      </c>
      <c r="FW195" t="s">
        <v>135</v>
      </c>
      <c r="FX195" t="s">
        <v>136</v>
      </c>
      <c r="FZ195">
        <v>410</v>
      </c>
    </row>
    <row r="196" spans="1:182" hidden="1" x14ac:dyDescent="0.3">
      <c r="A196" s="1">
        <v>45926.503595995368</v>
      </c>
      <c r="B196" s="1">
        <v>45926.633944756948</v>
      </c>
      <c r="D196" t="s">
        <v>84</v>
      </c>
      <c r="E196" t="s">
        <v>85</v>
      </c>
      <c r="F196" t="s">
        <v>2776</v>
      </c>
      <c r="G196" t="s">
        <v>176</v>
      </c>
      <c r="H196" t="s">
        <v>4122</v>
      </c>
      <c r="I196" t="s">
        <v>2777</v>
      </c>
      <c r="J196" t="s">
        <v>2778</v>
      </c>
      <c r="K196" t="s">
        <v>90</v>
      </c>
      <c r="L196" t="s">
        <v>2779</v>
      </c>
      <c r="M196" t="s">
        <v>1883</v>
      </c>
      <c r="N196" t="s">
        <v>2780</v>
      </c>
      <c r="O196">
        <v>-15.214404999999999</v>
      </c>
      <c r="P196">
        <v>22.935044600000001</v>
      </c>
      <c r="Q196">
        <v>1039.1279296875</v>
      </c>
      <c r="R196">
        <v>4.5069999999999997</v>
      </c>
      <c r="S196" t="s">
        <v>84</v>
      </c>
      <c r="T196" t="s">
        <v>182</v>
      </c>
      <c r="U196">
        <v>8</v>
      </c>
      <c r="V196" t="s">
        <v>95</v>
      </c>
      <c r="W196" t="s">
        <v>907</v>
      </c>
      <c r="X196">
        <v>30</v>
      </c>
      <c r="Y196">
        <v>6</v>
      </c>
      <c r="Z196">
        <v>2</v>
      </c>
      <c r="AA196" t="s">
        <v>96</v>
      </c>
      <c r="AB196" t="s">
        <v>97</v>
      </c>
      <c r="AC196" t="s">
        <v>98</v>
      </c>
      <c r="AD196" t="s">
        <v>99</v>
      </c>
      <c r="AE196" t="s">
        <v>100</v>
      </c>
      <c r="AF196" t="s">
        <v>907</v>
      </c>
      <c r="AG196">
        <v>0</v>
      </c>
      <c r="AH196" t="s">
        <v>100</v>
      </c>
      <c r="AI196" t="s">
        <v>907</v>
      </c>
      <c r="AJ196" s="5">
        <v>0</v>
      </c>
      <c r="AK196" t="s">
        <v>102</v>
      </c>
      <c r="AL196" t="s">
        <v>907</v>
      </c>
      <c r="AM196" t="s">
        <v>149</v>
      </c>
      <c r="AN196" t="s">
        <v>907</v>
      </c>
      <c r="AO196" t="s">
        <v>2781</v>
      </c>
      <c r="AP196">
        <v>0</v>
      </c>
      <c r="AQ196" t="s">
        <v>149</v>
      </c>
      <c r="AR196" t="s">
        <v>95</v>
      </c>
      <c r="AS196">
        <v>20</v>
      </c>
      <c r="AT196">
        <v>2</v>
      </c>
      <c r="AU196">
        <v>0</v>
      </c>
      <c r="AV196">
        <v>0</v>
      </c>
      <c r="AW196">
        <v>0</v>
      </c>
      <c r="AX196">
        <v>0</v>
      </c>
      <c r="AY196">
        <v>0</v>
      </c>
      <c r="AZ196" t="s">
        <v>929</v>
      </c>
      <c r="BA196" t="s">
        <v>95</v>
      </c>
      <c r="BB196" t="s">
        <v>3866</v>
      </c>
      <c r="BC196" t="s">
        <v>907</v>
      </c>
      <c r="BD196" t="s">
        <v>107</v>
      </c>
      <c r="BE196" t="s">
        <v>108</v>
      </c>
      <c r="BF196" t="s">
        <v>309</v>
      </c>
      <c r="BG196" t="s">
        <v>235</v>
      </c>
      <c r="BH196">
        <v>75</v>
      </c>
      <c r="BY196" t="s">
        <v>189</v>
      </c>
      <c r="BZ196">
        <v>4</v>
      </c>
      <c r="CA196">
        <v>36</v>
      </c>
      <c r="CB196" t="s">
        <v>84</v>
      </c>
      <c r="CC196" t="s">
        <v>84</v>
      </c>
      <c r="CD196" t="s">
        <v>545</v>
      </c>
      <c r="CE196" t="s">
        <v>4250</v>
      </c>
      <c r="CF196" t="s">
        <v>4024</v>
      </c>
      <c r="CG196" t="s">
        <v>907</v>
      </c>
      <c r="CH196">
        <v>6</v>
      </c>
      <c r="CI196" t="s">
        <v>84</v>
      </c>
      <c r="CJ196" t="s">
        <v>262</v>
      </c>
      <c r="CK196" t="s">
        <v>289</v>
      </c>
      <c r="CL196" t="s">
        <v>4262</v>
      </c>
      <c r="CM196" t="s">
        <v>115</v>
      </c>
      <c r="CN196" t="s">
        <v>3886</v>
      </c>
      <c r="CO196" t="s">
        <v>95</v>
      </c>
      <c r="CP196" t="s">
        <v>907</v>
      </c>
      <c r="CQ196" t="s">
        <v>116</v>
      </c>
      <c r="CR196" t="s">
        <v>84</v>
      </c>
      <c r="CS196" t="s">
        <v>117</v>
      </c>
      <c r="CT196" t="s">
        <v>264</v>
      </c>
      <c r="CU196" t="s">
        <v>3869</v>
      </c>
      <c r="CV196" t="s">
        <v>812</v>
      </c>
      <c r="CW196" t="s">
        <v>907</v>
      </c>
      <c r="CX196" t="s">
        <v>166</v>
      </c>
      <c r="CY196" t="s">
        <v>549</v>
      </c>
      <c r="CZ196" t="s">
        <v>240</v>
      </c>
      <c r="DA196">
        <v>0</v>
      </c>
      <c r="DB196" s="10">
        <v>0</v>
      </c>
      <c r="DC196" t="s">
        <v>169</v>
      </c>
      <c r="DD196" t="s">
        <v>907</v>
      </c>
      <c r="DE196">
        <v>10</v>
      </c>
      <c r="DF196">
        <v>25</v>
      </c>
      <c r="DG196" t="s">
        <v>95</v>
      </c>
      <c r="DH196" t="s">
        <v>95</v>
      </c>
      <c r="DI196" t="s">
        <v>907</v>
      </c>
      <c r="DJ196" t="s">
        <v>907</v>
      </c>
      <c r="DK196" t="s">
        <v>907</v>
      </c>
      <c r="DL196" t="s">
        <v>907</v>
      </c>
      <c r="DM196" t="s">
        <v>125</v>
      </c>
      <c r="DN196" t="s">
        <v>170</v>
      </c>
      <c r="DO196" t="s">
        <v>2331</v>
      </c>
      <c r="DP196">
        <v>5</v>
      </c>
      <c r="DQ196" t="s">
        <v>128</v>
      </c>
      <c r="DR196" t="s">
        <v>907</v>
      </c>
      <c r="DS196" t="s">
        <v>383</v>
      </c>
      <c r="DT196" t="s">
        <v>612</v>
      </c>
      <c r="DU196" t="s">
        <v>95</v>
      </c>
      <c r="DV196" t="s">
        <v>907</v>
      </c>
      <c r="DW196" t="s">
        <v>907</v>
      </c>
      <c r="DX196" t="s">
        <v>907</v>
      </c>
      <c r="FQ196">
        <v>567424876</v>
      </c>
      <c r="FR196" t="s">
        <v>2782</v>
      </c>
      <c r="FS196" s="1">
        <v>45926.550983796304</v>
      </c>
      <c r="FV196" t="s">
        <v>134</v>
      </c>
      <c r="FW196" t="s">
        <v>135</v>
      </c>
      <c r="FX196" t="s">
        <v>136</v>
      </c>
      <c r="FZ196">
        <v>401</v>
      </c>
    </row>
    <row r="197" spans="1:182" hidden="1" x14ac:dyDescent="0.3">
      <c r="A197" s="1">
        <v>45929.552784687497</v>
      </c>
      <c r="B197" s="1">
        <v>45930.322204629629</v>
      </c>
      <c r="D197" t="s">
        <v>84</v>
      </c>
      <c r="E197" t="s">
        <v>85</v>
      </c>
      <c r="F197" t="s">
        <v>3391</v>
      </c>
      <c r="G197" t="s">
        <v>176</v>
      </c>
      <c r="H197" t="s">
        <v>4121</v>
      </c>
      <c r="I197" t="s">
        <v>3392</v>
      </c>
      <c r="J197">
        <v>0</v>
      </c>
      <c r="K197" t="s">
        <v>90</v>
      </c>
      <c r="L197" t="s">
        <v>3393</v>
      </c>
      <c r="M197" t="s">
        <v>141</v>
      </c>
      <c r="N197" t="s">
        <v>3394</v>
      </c>
      <c r="O197">
        <v>-15.3215243</v>
      </c>
      <c r="P197">
        <v>23.074467599999998</v>
      </c>
      <c r="Q197">
        <v>1023.622680664062</v>
      </c>
      <c r="R197">
        <v>3.8660000000000001</v>
      </c>
      <c r="S197" t="s">
        <v>84</v>
      </c>
      <c r="T197" t="s">
        <v>182</v>
      </c>
      <c r="U197">
        <v>6</v>
      </c>
      <c r="V197" t="s">
        <v>95</v>
      </c>
      <c r="W197" t="s">
        <v>907</v>
      </c>
      <c r="X197">
        <v>7</v>
      </c>
      <c r="Y197">
        <v>70</v>
      </c>
      <c r="Z197">
        <v>0</v>
      </c>
      <c r="AA197" t="s">
        <v>96</v>
      </c>
      <c r="AB197" t="s">
        <v>97</v>
      </c>
      <c r="AC197" t="s">
        <v>98</v>
      </c>
      <c r="AD197" t="s">
        <v>99</v>
      </c>
      <c r="AE197" t="s">
        <v>100</v>
      </c>
      <c r="AF197" t="s">
        <v>907</v>
      </c>
      <c r="AG197">
        <v>0</v>
      </c>
      <c r="AH197" t="s">
        <v>147</v>
      </c>
      <c r="AI197" t="s">
        <v>907</v>
      </c>
      <c r="AJ197" s="5">
        <v>0</v>
      </c>
      <c r="AK197" t="s">
        <v>102</v>
      </c>
      <c r="AL197" t="s">
        <v>907</v>
      </c>
      <c r="AM197" t="s">
        <v>149</v>
      </c>
      <c r="AN197" t="s">
        <v>907</v>
      </c>
      <c r="AO197">
        <v>0</v>
      </c>
      <c r="AP197">
        <v>0</v>
      </c>
      <c r="AQ197" t="s">
        <v>907</v>
      </c>
      <c r="AR197" t="s">
        <v>95</v>
      </c>
      <c r="AS197">
        <v>0</v>
      </c>
      <c r="AT197">
        <v>0</v>
      </c>
      <c r="AU197">
        <v>0</v>
      </c>
      <c r="AV197">
        <v>0</v>
      </c>
      <c r="AW197">
        <v>0</v>
      </c>
      <c r="AX197">
        <v>0</v>
      </c>
      <c r="AY197">
        <v>0</v>
      </c>
      <c r="AZ197" t="s">
        <v>1003</v>
      </c>
      <c r="BA197" t="s">
        <v>95</v>
      </c>
      <c r="BB197" t="s">
        <v>3866</v>
      </c>
      <c r="BC197" t="s">
        <v>907</v>
      </c>
      <c r="BD197" t="s">
        <v>107</v>
      </c>
      <c r="BE197" t="s">
        <v>108</v>
      </c>
      <c r="BF197" t="s">
        <v>309</v>
      </c>
      <c r="BG197" t="s">
        <v>235</v>
      </c>
      <c r="BH197">
        <v>296</v>
      </c>
      <c r="BY197" t="s">
        <v>110</v>
      </c>
      <c r="BZ197" t="s">
        <v>907</v>
      </c>
      <c r="CA197" t="s">
        <v>907</v>
      </c>
      <c r="CB197" t="s">
        <v>84</v>
      </c>
      <c r="CC197" t="s">
        <v>84</v>
      </c>
      <c r="CD197" t="s">
        <v>545</v>
      </c>
      <c r="CE197" t="s">
        <v>4249</v>
      </c>
      <c r="CF197" t="s">
        <v>4083</v>
      </c>
      <c r="CG197" t="s">
        <v>907</v>
      </c>
      <c r="CH197">
        <v>6</v>
      </c>
      <c r="CI197" t="s">
        <v>84</v>
      </c>
      <c r="CJ197" t="s">
        <v>586</v>
      </c>
      <c r="CK197" t="s">
        <v>289</v>
      </c>
      <c r="CL197" t="s">
        <v>4262</v>
      </c>
      <c r="CM197" t="s">
        <v>115</v>
      </c>
      <c r="CN197" t="s">
        <v>3868</v>
      </c>
      <c r="CO197" t="s">
        <v>95</v>
      </c>
      <c r="CP197" t="s">
        <v>907</v>
      </c>
      <c r="CQ197" t="s">
        <v>116</v>
      </c>
      <c r="CR197" t="s">
        <v>84</v>
      </c>
      <c r="CS197" t="s">
        <v>117</v>
      </c>
      <c r="CT197" t="s">
        <v>163</v>
      </c>
      <c r="CU197" t="s">
        <v>3869</v>
      </c>
      <c r="CV197" t="s">
        <v>119</v>
      </c>
      <c r="CW197" t="s">
        <v>240</v>
      </c>
      <c r="CX197" t="s">
        <v>166</v>
      </c>
      <c r="CY197" t="s">
        <v>549</v>
      </c>
      <c r="CZ197" t="s">
        <v>3395</v>
      </c>
      <c r="DA197">
        <v>0</v>
      </c>
      <c r="DB197" s="10">
        <v>0</v>
      </c>
      <c r="DC197" t="s">
        <v>169</v>
      </c>
      <c r="DD197" t="s">
        <v>907</v>
      </c>
      <c r="DE197">
        <v>14</v>
      </c>
      <c r="DF197">
        <v>7</v>
      </c>
      <c r="DG197" t="s">
        <v>95</v>
      </c>
      <c r="DH197" t="s">
        <v>95</v>
      </c>
      <c r="DI197" t="s">
        <v>907</v>
      </c>
      <c r="DJ197" t="s">
        <v>907</v>
      </c>
      <c r="DK197" t="s">
        <v>907</v>
      </c>
      <c r="DL197" t="s">
        <v>907</v>
      </c>
      <c r="DM197" t="s">
        <v>291</v>
      </c>
      <c r="DN197" t="s">
        <v>907</v>
      </c>
      <c r="DO197" t="s">
        <v>907</v>
      </c>
      <c r="DP197">
        <v>4</v>
      </c>
      <c r="DQ197" t="s">
        <v>128</v>
      </c>
      <c r="DR197" t="s">
        <v>907</v>
      </c>
      <c r="DS197" t="s">
        <v>442</v>
      </c>
      <c r="DT197" t="s">
        <v>2738</v>
      </c>
      <c r="DU197" t="s">
        <v>95</v>
      </c>
      <c r="DV197" t="s">
        <v>907</v>
      </c>
      <c r="DW197" t="s">
        <v>907</v>
      </c>
      <c r="DX197" t="s">
        <v>907</v>
      </c>
      <c r="FQ197">
        <v>569766451</v>
      </c>
      <c r="FR197" t="s">
        <v>3396</v>
      </c>
      <c r="FS197" s="1">
        <v>45930.23914351852</v>
      </c>
      <c r="FV197" t="s">
        <v>134</v>
      </c>
      <c r="FW197" t="s">
        <v>135</v>
      </c>
      <c r="FX197" t="s">
        <v>136</v>
      </c>
      <c r="FZ197">
        <v>540</v>
      </c>
    </row>
    <row r="198" spans="1:182" hidden="1" x14ac:dyDescent="0.3">
      <c r="A198" s="1">
        <v>45929.430785462973</v>
      </c>
      <c r="B198" s="1">
        <v>45930.322201319454</v>
      </c>
      <c r="D198" t="s">
        <v>84</v>
      </c>
      <c r="E198" t="s">
        <v>85</v>
      </c>
      <c r="F198" t="s">
        <v>3374</v>
      </c>
      <c r="G198" t="s">
        <v>87</v>
      </c>
      <c r="H198" t="s">
        <v>4122</v>
      </c>
      <c r="I198" t="s">
        <v>3375</v>
      </c>
      <c r="J198" t="s">
        <v>3376</v>
      </c>
      <c r="K198" t="s">
        <v>90</v>
      </c>
      <c r="L198" t="s">
        <v>3377</v>
      </c>
      <c r="M198" t="s">
        <v>671</v>
      </c>
      <c r="N198" t="s">
        <v>3378</v>
      </c>
      <c r="O198">
        <v>-15.253125499999999</v>
      </c>
      <c r="P198" t="s">
        <v>362</v>
      </c>
      <c r="Q198">
        <v>1025.88671875</v>
      </c>
      <c r="R198">
        <v>4.6689999999999996</v>
      </c>
      <c r="S198" t="s">
        <v>84</v>
      </c>
      <c r="T198" t="s">
        <v>362</v>
      </c>
      <c r="U198">
        <v>3</v>
      </c>
      <c r="V198" t="s">
        <v>95</v>
      </c>
      <c r="W198" t="s">
        <v>907</v>
      </c>
      <c r="X198">
        <v>25</v>
      </c>
      <c r="Y198">
        <v>40</v>
      </c>
      <c r="Z198">
        <v>1</v>
      </c>
      <c r="AA198" t="s">
        <v>96</v>
      </c>
      <c r="AB198" t="s">
        <v>351</v>
      </c>
      <c r="AC198" t="s">
        <v>98</v>
      </c>
      <c r="AD198" t="s">
        <v>99</v>
      </c>
      <c r="AE198" t="s">
        <v>100</v>
      </c>
      <c r="AF198" t="s">
        <v>907</v>
      </c>
      <c r="AG198">
        <v>0</v>
      </c>
      <c r="AH198" t="s">
        <v>147</v>
      </c>
      <c r="AI198" t="s">
        <v>907</v>
      </c>
      <c r="AJ198" s="5">
        <v>0</v>
      </c>
      <c r="AK198" t="s">
        <v>102</v>
      </c>
      <c r="AL198" t="s">
        <v>907</v>
      </c>
      <c r="AM198" t="s">
        <v>3379</v>
      </c>
      <c r="AN198" t="s">
        <v>907</v>
      </c>
      <c r="AO198" t="s">
        <v>3380</v>
      </c>
      <c r="AP198">
        <v>0</v>
      </c>
      <c r="AQ198" t="s">
        <v>149</v>
      </c>
      <c r="AR198" t="s">
        <v>95</v>
      </c>
      <c r="AS198">
        <v>5</v>
      </c>
      <c r="AT198">
        <v>4</v>
      </c>
      <c r="AU198">
        <v>0</v>
      </c>
      <c r="AV198">
        <v>0</v>
      </c>
      <c r="AW198">
        <v>0</v>
      </c>
      <c r="AX198">
        <v>0</v>
      </c>
      <c r="AY198">
        <v>0</v>
      </c>
      <c r="AZ198" t="s">
        <v>1003</v>
      </c>
      <c r="BA198" t="s">
        <v>95</v>
      </c>
      <c r="BB198" t="s">
        <v>154</v>
      </c>
      <c r="BC198" t="s">
        <v>907</v>
      </c>
      <c r="BD198" t="s">
        <v>107</v>
      </c>
      <c r="BE198" t="s">
        <v>108</v>
      </c>
      <c r="BF198" t="s">
        <v>321</v>
      </c>
      <c r="BG198" t="s">
        <v>235</v>
      </c>
      <c r="BH198">
        <v>27</v>
      </c>
      <c r="BY198" t="s">
        <v>189</v>
      </c>
      <c r="BZ198">
        <v>2</v>
      </c>
      <c r="CA198">
        <v>14</v>
      </c>
      <c r="CB198" t="s">
        <v>84</v>
      </c>
      <c r="CC198" t="s">
        <v>84</v>
      </c>
      <c r="CD198" t="s">
        <v>545</v>
      </c>
      <c r="CE198" t="s">
        <v>4250</v>
      </c>
      <c r="CF198" t="s">
        <v>4081</v>
      </c>
      <c r="CG198" t="s">
        <v>907</v>
      </c>
      <c r="CH198">
        <v>6</v>
      </c>
      <c r="CI198" t="s">
        <v>84</v>
      </c>
      <c r="CJ198" t="s">
        <v>262</v>
      </c>
      <c r="CK198" t="s">
        <v>289</v>
      </c>
      <c r="CL198" t="s">
        <v>4262</v>
      </c>
      <c r="CM198" t="s">
        <v>193</v>
      </c>
      <c r="CN198" t="s">
        <v>3903</v>
      </c>
      <c r="CO198" t="s">
        <v>95</v>
      </c>
      <c r="CP198" t="s">
        <v>907</v>
      </c>
      <c r="CQ198" t="s">
        <v>2102</v>
      </c>
      <c r="CR198" t="s">
        <v>84</v>
      </c>
      <c r="CS198" t="s">
        <v>117</v>
      </c>
      <c r="CT198" t="s">
        <v>163</v>
      </c>
      <c r="CU198" t="s">
        <v>3869</v>
      </c>
      <c r="CV198" t="s">
        <v>119</v>
      </c>
      <c r="CW198" t="s">
        <v>265</v>
      </c>
      <c r="CX198" t="s">
        <v>166</v>
      </c>
      <c r="CY198" t="s">
        <v>549</v>
      </c>
      <c r="CZ198" t="s">
        <v>2452</v>
      </c>
      <c r="DA198">
        <v>0</v>
      </c>
      <c r="DB198" s="10">
        <v>0</v>
      </c>
      <c r="DC198" t="s">
        <v>169</v>
      </c>
      <c r="DD198" t="s">
        <v>907</v>
      </c>
      <c r="DE198">
        <v>3</v>
      </c>
      <c r="DF198">
        <v>10</v>
      </c>
      <c r="DG198" t="s">
        <v>95</v>
      </c>
      <c r="DH198" t="s">
        <v>95</v>
      </c>
      <c r="DI198" t="s">
        <v>907</v>
      </c>
      <c r="DJ198" t="s">
        <v>907</v>
      </c>
      <c r="DK198" t="s">
        <v>907</v>
      </c>
      <c r="DL198" t="s">
        <v>907</v>
      </c>
      <c r="DM198" t="s">
        <v>291</v>
      </c>
      <c r="DN198" t="s">
        <v>907</v>
      </c>
      <c r="DO198" t="s">
        <v>907</v>
      </c>
      <c r="DP198">
        <v>5</v>
      </c>
      <c r="DQ198" t="s">
        <v>128</v>
      </c>
      <c r="DR198" t="s">
        <v>907</v>
      </c>
      <c r="DS198" t="s">
        <v>716</v>
      </c>
      <c r="DT198" t="s">
        <v>552</v>
      </c>
      <c r="DU198" t="s">
        <v>95</v>
      </c>
      <c r="DV198" t="s">
        <v>907</v>
      </c>
      <c r="DW198" t="s">
        <v>907</v>
      </c>
      <c r="DX198" t="s">
        <v>907</v>
      </c>
      <c r="FQ198">
        <v>569766398</v>
      </c>
      <c r="FR198" t="s">
        <v>3381</v>
      </c>
      <c r="FS198" s="1">
        <v>45930.239062499997</v>
      </c>
      <c r="FV198" t="s">
        <v>134</v>
      </c>
      <c r="FW198" t="s">
        <v>135</v>
      </c>
      <c r="FX198" t="s">
        <v>136</v>
      </c>
      <c r="FZ198">
        <v>538</v>
      </c>
    </row>
    <row r="199" spans="1:182" hidden="1" x14ac:dyDescent="0.3">
      <c r="A199" s="1">
        <v>45924.521923414351</v>
      </c>
      <c r="B199" s="1">
        <v>45924.534290925927</v>
      </c>
      <c r="D199" t="s">
        <v>84</v>
      </c>
      <c r="E199" t="s">
        <v>535</v>
      </c>
      <c r="F199" t="s">
        <v>719</v>
      </c>
      <c r="G199" t="s">
        <v>87</v>
      </c>
      <c r="H199" t="s">
        <v>4122</v>
      </c>
      <c r="I199" t="s">
        <v>720</v>
      </c>
      <c r="J199" t="s">
        <v>721</v>
      </c>
      <c r="K199" t="s">
        <v>90</v>
      </c>
      <c r="L199" t="s">
        <v>722</v>
      </c>
      <c r="M199" t="s">
        <v>540</v>
      </c>
      <c r="N199" t="s">
        <v>723</v>
      </c>
      <c r="O199">
        <v>-15.3456753</v>
      </c>
      <c r="P199">
        <v>23.1288637</v>
      </c>
      <c r="Q199">
        <v>1023.012451171875</v>
      </c>
      <c r="R199">
        <v>4.3010000000000002</v>
      </c>
      <c r="S199" t="s">
        <v>84</v>
      </c>
      <c r="T199" t="s">
        <v>362</v>
      </c>
      <c r="U199">
        <v>6</v>
      </c>
      <c r="V199" t="s">
        <v>724</v>
      </c>
      <c r="W199" t="s">
        <v>725</v>
      </c>
      <c r="X199">
        <v>30</v>
      </c>
      <c r="Y199">
        <v>39</v>
      </c>
      <c r="Z199">
        <v>7</v>
      </c>
      <c r="AA199" t="s">
        <v>96</v>
      </c>
      <c r="AB199" t="s">
        <v>97</v>
      </c>
      <c r="AC199" t="s">
        <v>98</v>
      </c>
      <c r="AD199" t="s">
        <v>99</v>
      </c>
      <c r="AE199" t="s">
        <v>100</v>
      </c>
      <c r="AF199" t="s">
        <v>907</v>
      </c>
      <c r="AG199">
        <v>0</v>
      </c>
      <c r="AH199" t="s">
        <v>214</v>
      </c>
      <c r="AI199" t="s">
        <v>907</v>
      </c>
      <c r="AJ199" s="5">
        <v>0</v>
      </c>
      <c r="AK199" t="s">
        <v>148</v>
      </c>
      <c r="AL199" t="s">
        <v>907</v>
      </c>
      <c r="AM199" t="s">
        <v>185</v>
      </c>
      <c r="AN199" t="s">
        <v>907</v>
      </c>
      <c r="AO199">
        <v>0</v>
      </c>
      <c r="AP199" t="s">
        <v>726</v>
      </c>
      <c r="AQ199" t="s">
        <v>149</v>
      </c>
      <c r="AR199" t="s">
        <v>95</v>
      </c>
      <c r="AS199">
        <v>0</v>
      </c>
      <c r="AT199">
        <v>0</v>
      </c>
      <c r="AU199">
        <v>0</v>
      </c>
      <c r="AV199">
        <v>90</v>
      </c>
      <c r="AW199">
        <v>90</v>
      </c>
      <c r="AX199">
        <v>0</v>
      </c>
      <c r="AY199">
        <v>0</v>
      </c>
      <c r="AZ199" t="s">
        <v>106</v>
      </c>
      <c r="BA199" t="s">
        <v>95</v>
      </c>
      <c r="BB199" t="s">
        <v>154</v>
      </c>
      <c r="BC199" t="s">
        <v>907</v>
      </c>
      <c r="BD199" t="s">
        <v>107</v>
      </c>
      <c r="BE199" t="s">
        <v>108</v>
      </c>
      <c r="BF199" t="s">
        <v>309</v>
      </c>
      <c r="BG199" t="s">
        <v>235</v>
      </c>
      <c r="BH199">
        <v>60</v>
      </c>
      <c r="BY199" t="s">
        <v>110</v>
      </c>
      <c r="BZ199" t="s">
        <v>907</v>
      </c>
      <c r="CA199" t="s">
        <v>907</v>
      </c>
      <c r="CB199" t="s">
        <v>84</v>
      </c>
      <c r="CC199" t="s">
        <v>84</v>
      </c>
      <c r="CD199" t="s">
        <v>237</v>
      </c>
      <c r="CE199" t="s">
        <v>4250</v>
      </c>
      <c r="CF199" t="s">
        <v>727</v>
      </c>
      <c r="CG199" t="s">
        <v>907</v>
      </c>
      <c r="CH199">
        <v>6</v>
      </c>
      <c r="CI199" t="s">
        <v>84</v>
      </c>
      <c r="CJ199" t="s">
        <v>546</v>
      </c>
      <c r="CK199" t="s">
        <v>113</v>
      </c>
      <c r="CL199" t="s">
        <v>4262</v>
      </c>
      <c r="CM199" t="s">
        <v>115</v>
      </c>
      <c r="CN199" t="s">
        <v>3886</v>
      </c>
      <c r="CO199" t="s">
        <v>95</v>
      </c>
      <c r="CP199" t="s">
        <v>907</v>
      </c>
      <c r="CQ199" t="s">
        <v>116</v>
      </c>
      <c r="CR199" t="s">
        <v>84</v>
      </c>
      <c r="CS199" t="s">
        <v>117</v>
      </c>
      <c r="CT199" t="s">
        <v>264</v>
      </c>
      <c r="CU199" t="s">
        <v>3869</v>
      </c>
      <c r="CV199" t="s">
        <v>119</v>
      </c>
      <c r="CW199" t="s">
        <v>195</v>
      </c>
      <c r="CX199" t="s">
        <v>166</v>
      </c>
      <c r="CY199" t="s">
        <v>549</v>
      </c>
      <c r="CZ199" t="s">
        <v>728</v>
      </c>
      <c r="DA199">
        <v>0</v>
      </c>
      <c r="DB199" s="10">
        <v>0</v>
      </c>
      <c r="DC199" t="s">
        <v>169</v>
      </c>
      <c r="DD199" t="s">
        <v>907</v>
      </c>
      <c r="DE199">
        <v>5</v>
      </c>
      <c r="DF199">
        <v>15</v>
      </c>
      <c r="DG199" t="s">
        <v>95</v>
      </c>
      <c r="DH199" t="s">
        <v>95</v>
      </c>
      <c r="DI199" t="s">
        <v>907</v>
      </c>
      <c r="DJ199" t="s">
        <v>907</v>
      </c>
      <c r="DK199" t="s">
        <v>907</v>
      </c>
      <c r="DL199" t="s">
        <v>907</v>
      </c>
      <c r="DM199" t="s">
        <v>125</v>
      </c>
      <c r="DN199" t="s">
        <v>242</v>
      </c>
      <c r="DO199" t="s">
        <v>664</v>
      </c>
      <c r="DP199">
        <v>5</v>
      </c>
      <c r="DQ199" t="s">
        <v>128</v>
      </c>
      <c r="DR199" t="s">
        <v>907</v>
      </c>
      <c r="DS199" t="s">
        <v>203</v>
      </c>
      <c r="DT199" t="s">
        <v>729</v>
      </c>
      <c r="DU199" t="s">
        <v>84</v>
      </c>
      <c r="DV199" t="s">
        <v>225</v>
      </c>
      <c r="DW199" t="s">
        <v>533</v>
      </c>
      <c r="DX199" t="s">
        <v>95</v>
      </c>
      <c r="FQ199">
        <v>565909055</v>
      </c>
      <c r="FR199" t="s">
        <v>730</v>
      </c>
      <c r="FS199" s="1">
        <v>45924.644884259258</v>
      </c>
      <c r="FV199" t="s">
        <v>134</v>
      </c>
      <c r="FW199" t="s">
        <v>135</v>
      </c>
      <c r="FX199" t="s">
        <v>136</v>
      </c>
      <c r="FZ199">
        <v>162</v>
      </c>
    </row>
    <row r="200" spans="1:182" hidden="1" x14ac:dyDescent="0.3">
      <c r="A200" s="1">
        <v>45929.451637928243</v>
      </c>
      <c r="B200" s="1">
        <v>45930.322202974538</v>
      </c>
      <c r="D200" t="s">
        <v>84</v>
      </c>
      <c r="E200" t="s">
        <v>85</v>
      </c>
      <c r="F200" t="s">
        <v>3382</v>
      </c>
      <c r="G200" t="s">
        <v>176</v>
      </c>
      <c r="H200" t="s">
        <v>4121</v>
      </c>
      <c r="I200" t="s">
        <v>3383</v>
      </c>
      <c r="J200" t="s">
        <v>3384</v>
      </c>
      <c r="K200" t="s">
        <v>90</v>
      </c>
      <c r="L200" t="s">
        <v>3385</v>
      </c>
      <c r="M200" t="s">
        <v>1085</v>
      </c>
      <c r="N200" t="s">
        <v>3386</v>
      </c>
      <c r="O200">
        <v>-15.2531781</v>
      </c>
      <c r="P200">
        <v>23.059977700000001</v>
      </c>
      <c r="Q200">
        <v>1025.741821289062</v>
      </c>
      <c r="R200">
        <v>4.843</v>
      </c>
      <c r="S200" t="s">
        <v>84</v>
      </c>
      <c r="T200" t="s">
        <v>182</v>
      </c>
      <c r="U200">
        <v>4</v>
      </c>
      <c r="V200" t="s">
        <v>95</v>
      </c>
      <c r="W200" t="s">
        <v>907</v>
      </c>
      <c r="X200">
        <v>16</v>
      </c>
      <c r="Y200">
        <v>40</v>
      </c>
      <c r="Z200">
        <v>1</v>
      </c>
      <c r="AA200" t="s">
        <v>96</v>
      </c>
      <c r="AB200" t="s">
        <v>97</v>
      </c>
      <c r="AC200" t="s">
        <v>98</v>
      </c>
      <c r="AD200" t="s">
        <v>99</v>
      </c>
      <c r="AE200" t="s">
        <v>100</v>
      </c>
      <c r="AF200" t="s">
        <v>907</v>
      </c>
      <c r="AG200">
        <v>0</v>
      </c>
      <c r="AH200" t="s">
        <v>100</v>
      </c>
      <c r="AI200" t="s">
        <v>907</v>
      </c>
      <c r="AJ200" s="5">
        <v>0</v>
      </c>
      <c r="AK200" t="s">
        <v>3387</v>
      </c>
      <c r="AL200" t="s">
        <v>907</v>
      </c>
      <c r="AM200" t="s">
        <v>1514</v>
      </c>
      <c r="AN200" t="s">
        <v>907</v>
      </c>
      <c r="AQ200" t="s">
        <v>907</v>
      </c>
      <c r="AR200" t="s">
        <v>907</v>
      </c>
      <c r="AS200">
        <v>0</v>
      </c>
      <c r="AT200">
        <v>0</v>
      </c>
      <c r="AU200">
        <v>0</v>
      </c>
      <c r="AV200">
        <v>0</v>
      </c>
      <c r="AW200">
        <v>0</v>
      </c>
      <c r="AX200">
        <v>0</v>
      </c>
      <c r="AY200">
        <v>0</v>
      </c>
      <c r="AZ200" t="s">
        <v>106</v>
      </c>
      <c r="BA200" t="s">
        <v>907</v>
      </c>
      <c r="BB200" t="s">
        <v>3866</v>
      </c>
      <c r="BC200" t="s">
        <v>907</v>
      </c>
      <c r="BD200" t="s">
        <v>107</v>
      </c>
      <c r="BE200" t="s">
        <v>907</v>
      </c>
      <c r="BF200" t="s">
        <v>2023</v>
      </c>
      <c r="BG200" t="s">
        <v>235</v>
      </c>
      <c r="BH200">
        <v>55</v>
      </c>
      <c r="BY200" t="s">
        <v>189</v>
      </c>
      <c r="BZ200">
        <v>7</v>
      </c>
      <c r="CA200">
        <v>22</v>
      </c>
      <c r="CB200" t="s">
        <v>84</v>
      </c>
      <c r="CC200" t="s">
        <v>84</v>
      </c>
      <c r="CD200" t="s">
        <v>2773</v>
      </c>
      <c r="CE200" t="s">
        <v>4250</v>
      </c>
      <c r="CF200" t="s">
        <v>4082</v>
      </c>
      <c r="CG200" t="s">
        <v>907</v>
      </c>
      <c r="CH200">
        <v>6</v>
      </c>
      <c r="CI200" t="s">
        <v>84</v>
      </c>
      <c r="CJ200" t="s">
        <v>262</v>
      </c>
      <c r="CK200" t="s">
        <v>289</v>
      </c>
      <c r="CL200" t="s">
        <v>4262</v>
      </c>
      <c r="CM200" t="s">
        <v>115</v>
      </c>
      <c r="CN200" t="s">
        <v>3993</v>
      </c>
      <c r="CO200" t="s">
        <v>95</v>
      </c>
      <c r="CP200" t="s">
        <v>907</v>
      </c>
      <c r="CQ200" t="s">
        <v>116</v>
      </c>
      <c r="CR200" t="s">
        <v>84</v>
      </c>
      <c r="CS200" t="s">
        <v>117</v>
      </c>
      <c r="CT200" t="s">
        <v>163</v>
      </c>
      <c r="CU200" t="s">
        <v>3869</v>
      </c>
      <c r="CV200" t="s">
        <v>290</v>
      </c>
      <c r="CW200" t="s">
        <v>907</v>
      </c>
      <c r="CX200" t="s">
        <v>907</v>
      </c>
      <c r="CY200" t="s">
        <v>907</v>
      </c>
      <c r="CZ200" t="s">
        <v>907</v>
      </c>
      <c r="DA200" t="s">
        <v>907</v>
      </c>
      <c r="DB200" t="s">
        <v>907</v>
      </c>
      <c r="DC200" t="s">
        <v>907</v>
      </c>
      <c r="DD200" t="s">
        <v>907</v>
      </c>
      <c r="DE200" t="s">
        <v>907</v>
      </c>
      <c r="DF200" t="s">
        <v>907</v>
      </c>
      <c r="DG200" t="s">
        <v>95</v>
      </c>
      <c r="DH200" t="s">
        <v>95</v>
      </c>
      <c r="DI200" t="s">
        <v>907</v>
      </c>
      <c r="DJ200" t="s">
        <v>907</v>
      </c>
      <c r="DK200" t="s">
        <v>907</v>
      </c>
      <c r="DL200" t="s">
        <v>907</v>
      </c>
      <c r="DM200" t="s">
        <v>291</v>
      </c>
      <c r="DN200" t="s">
        <v>907</v>
      </c>
      <c r="DO200" t="s">
        <v>907</v>
      </c>
      <c r="DP200">
        <v>6</v>
      </c>
      <c r="DQ200" t="s">
        <v>128</v>
      </c>
      <c r="DR200" t="s">
        <v>907</v>
      </c>
      <c r="DS200" t="s">
        <v>3388</v>
      </c>
      <c r="DT200" t="s">
        <v>552</v>
      </c>
      <c r="DU200" t="s">
        <v>84</v>
      </c>
      <c r="DV200" t="s">
        <v>225</v>
      </c>
      <c r="DW200" t="s">
        <v>3389</v>
      </c>
      <c r="DX200" t="s">
        <v>95</v>
      </c>
      <c r="FQ200">
        <v>569766440</v>
      </c>
      <c r="FR200" t="s">
        <v>3390</v>
      </c>
      <c r="FS200" s="1">
        <v>45930.239131944443</v>
      </c>
      <c r="FV200" t="s">
        <v>134</v>
      </c>
      <c r="FW200" t="s">
        <v>135</v>
      </c>
      <c r="FX200" t="s">
        <v>136</v>
      </c>
      <c r="FZ200">
        <v>539</v>
      </c>
    </row>
    <row r="201" spans="1:182" hidden="1" x14ac:dyDescent="0.3">
      <c r="A201" s="1">
        <v>45925.537453055556</v>
      </c>
      <c r="B201" s="1">
        <v>45925.554724930553</v>
      </c>
      <c r="D201" t="s">
        <v>84</v>
      </c>
      <c r="E201" t="s">
        <v>497</v>
      </c>
      <c r="F201" t="s">
        <v>2026</v>
      </c>
      <c r="G201" t="s">
        <v>176</v>
      </c>
      <c r="H201" t="s">
        <v>4122</v>
      </c>
      <c r="I201" t="s">
        <v>1917</v>
      </c>
      <c r="J201" t="s">
        <v>2027</v>
      </c>
      <c r="K201" t="s">
        <v>90</v>
      </c>
      <c r="L201" t="s">
        <v>2028</v>
      </c>
      <c r="M201" t="s">
        <v>2029</v>
      </c>
      <c r="N201" t="s">
        <v>2030</v>
      </c>
      <c r="O201">
        <v>-15.164646299999999</v>
      </c>
      <c r="P201">
        <v>22.9977391</v>
      </c>
      <c r="Q201">
        <v>1030.607788085938</v>
      </c>
      <c r="R201">
        <v>4.9580000000000002</v>
      </c>
      <c r="S201" t="s">
        <v>84</v>
      </c>
      <c r="T201" t="s">
        <v>182</v>
      </c>
      <c r="U201">
        <v>3</v>
      </c>
      <c r="V201" t="s">
        <v>95</v>
      </c>
      <c r="W201" t="s">
        <v>907</v>
      </c>
      <c r="X201">
        <v>15</v>
      </c>
      <c r="Y201">
        <v>8</v>
      </c>
      <c r="Z201">
        <v>8</v>
      </c>
      <c r="AA201" t="s">
        <v>96</v>
      </c>
      <c r="AB201" t="s">
        <v>351</v>
      </c>
      <c r="AC201" t="s">
        <v>98</v>
      </c>
      <c r="AD201" t="s">
        <v>280</v>
      </c>
      <c r="AE201" t="s">
        <v>101</v>
      </c>
      <c r="AF201" t="s">
        <v>907</v>
      </c>
      <c r="AG201">
        <v>1500</v>
      </c>
      <c r="AH201" t="s">
        <v>304</v>
      </c>
      <c r="AI201" t="s">
        <v>907</v>
      </c>
      <c r="AJ201" s="5">
        <v>750</v>
      </c>
      <c r="AK201" t="s">
        <v>148</v>
      </c>
      <c r="AL201" t="s">
        <v>907</v>
      </c>
      <c r="AM201" t="s">
        <v>466</v>
      </c>
      <c r="AN201" t="s">
        <v>907</v>
      </c>
      <c r="AO201" t="s">
        <v>2031</v>
      </c>
      <c r="AP201" t="s">
        <v>2032</v>
      </c>
      <c r="AQ201" t="s">
        <v>909</v>
      </c>
      <c r="AR201" t="s">
        <v>95</v>
      </c>
      <c r="AS201">
        <v>18</v>
      </c>
      <c r="AT201">
        <v>0</v>
      </c>
      <c r="AU201">
        <v>0</v>
      </c>
      <c r="AV201">
        <v>30</v>
      </c>
      <c r="AW201">
        <v>0</v>
      </c>
      <c r="AX201">
        <v>0</v>
      </c>
      <c r="AY201">
        <v>0</v>
      </c>
      <c r="AZ201" t="s">
        <v>929</v>
      </c>
      <c r="BA201" t="s">
        <v>95</v>
      </c>
      <c r="BB201" t="s">
        <v>154</v>
      </c>
      <c r="BC201" t="s">
        <v>907</v>
      </c>
      <c r="BD201" t="s">
        <v>107</v>
      </c>
      <c r="BE201" t="s">
        <v>258</v>
      </c>
      <c r="BF201" t="s">
        <v>2011</v>
      </c>
      <c r="BG201" t="s">
        <v>2033</v>
      </c>
      <c r="BH201">
        <v>67</v>
      </c>
      <c r="BL201">
        <v>32</v>
      </c>
      <c r="BN201">
        <v>2</v>
      </c>
      <c r="BR201">
        <v>20</v>
      </c>
      <c r="BT201">
        <v>4</v>
      </c>
      <c r="BX201">
        <v>9</v>
      </c>
      <c r="BY201" t="s">
        <v>189</v>
      </c>
      <c r="BZ201">
        <v>9</v>
      </c>
      <c r="CA201">
        <v>10</v>
      </c>
      <c r="CB201" t="s">
        <v>84</v>
      </c>
      <c r="CC201" t="s">
        <v>84</v>
      </c>
      <c r="CD201" t="s">
        <v>2034</v>
      </c>
      <c r="CE201" t="s">
        <v>4250</v>
      </c>
      <c r="CF201" t="s">
        <v>2035</v>
      </c>
      <c r="CG201" t="s">
        <v>907</v>
      </c>
      <c r="CH201">
        <v>6</v>
      </c>
      <c r="CI201" t="s">
        <v>95</v>
      </c>
      <c r="CJ201" t="s">
        <v>907</v>
      </c>
      <c r="CK201" t="s">
        <v>289</v>
      </c>
      <c r="CL201" t="s">
        <v>2036</v>
      </c>
      <c r="CM201" t="s">
        <v>193</v>
      </c>
      <c r="CN201" t="s">
        <v>421</v>
      </c>
      <c r="CO201" t="s">
        <v>95</v>
      </c>
      <c r="CP201" t="s">
        <v>907</v>
      </c>
      <c r="CQ201" t="s">
        <v>116</v>
      </c>
      <c r="CR201" t="s">
        <v>84</v>
      </c>
      <c r="CS201" t="s">
        <v>117</v>
      </c>
      <c r="CT201" t="s">
        <v>118</v>
      </c>
      <c r="CU201" t="s">
        <v>438</v>
      </c>
      <c r="CV201" t="s">
        <v>812</v>
      </c>
      <c r="CW201" t="s">
        <v>1270</v>
      </c>
      <c r="CX201" t="s">
        <v>166</v>
      </c>
      <c r="CY201" t="s">
        <v>121</v>
      </c>
      <c r="CZ201" t="s">
        <v>2037</v>
      </c>
      <c r="DA201">
        <v>2</v>
      </c>
      <c r="DB201" s="10">
        <v>10000</v>
      </c>
      <c r="DC201" t="s">
        <v>169</v>
      </c>
      <c r="DD201" t="s">
        <v>907</v>
      </c>
      <c r="DE201">
        <v>1</v>
      </c>
      <c r="DF201">
        <v>25</v>
      </c>
      <c r="DG201" t="s">
        <v>95</v>
      </c>
      <c r="DH201" t="s">
        <v>95</v>
      </c>
      <c r="DI201" t="s">
        <v>907</v>
      </c>
      <c r="DJ201" t="s">
        <v>907</v>
      </c>
      <c r="DK201" t="s">
        <v>907</v>
      </c>
      <c r="DL201" t="s">
        <v>907</v>
      </c>
      <c r="DM201" t="s">
        <v>291</v>
      </c>
      <c r="DN201" t="s">
        <v>907</v>
      </c>
      <c r="DO201" t="s">
        <v>907</v>
      </c>
      <c r="DP201">
        <v>2</v>
      </c>
      <c r="DQ201" t="s">
        <v>128</v>
      </c>
      <c r="DR201" t="s">
        <v>907</v>
      </c>
      <c r="DS201" t="s">
        <v>442</v>
      </c>
      <c r="DT201" t="s">
        <v>224</v>
      </c>
      <c r="DU201" t="s">
        <v>84</v>
      </c>
      <c r="DV201" t="s">
        <v>294</v>
      </c>
      <c r="DW201" t="s">
        <v>2038</v>
      </c>
      <c r="DX201" t="s">
        <v>95</v>
      </c>
      <c r="FQ201">
        <v>566860791</v>
      </c>
      <c r="FR201" t="s">
        <v>2039</v>
      </c>
      <c r="FS201" s="1">
        <v>45925.728252314817</v>
      </c>
      <c r="FV201" t="s">
        <v>134</v>
      </c>
      <c r="FW201" t="s">
        <v>135</v>
      </c>
      <c r="FX201" t="s">
        <v>136</v>
      </c>
      <c r="FZ201">
        <v>299</v>
      </c>
    </row>
    <row r="202" spans="1:182" hidden="1" x14ac:dyDescent="0.3">
      <c r="A202" s="1">
        <v>45926.462754074077</v>
      </c>
      <c r="B202" s="1">
        <v>45926.633941689812</v>
      </c>
      <c r="D202" t="s">
        <v>84</v>
      </c>
      <c r="E202" t="s">
        <v>85</v>
      </c>
      <c r="F202" t="s">
        <v>2768</v>
      </c>
      <c r="G202" t="s">
        <v>176</v>
      </c>
      <c r="H202" t="s">
        <v>4122</v>
      </c>
      <c r="I202" t="s">
        <v>2769</v>
      </c>
      <c r="J202" t="s">
        <v>2770</v>
      </c>
      <c r="K202" t="s">
        <v>90</v>
      </c>
      <c r="L202" t="s">
        <v>2752</v>
      </c>
      <c r="M202" t="s">
        <v>2763</v>
      </c>
      <c r="N202" t="s">
        <v>2771</v>
      </c>
      <c r="O202">
        <v>-15.230335500000001</v>
      </c>
      <c r="P202">
        <v>22.925610899999999</v>
      </c>
      <c r="Q202">
        <v>1026.789794921875</v>
      </c>
      <c r="R202">
        <v>4.8220000000000001</v>
      </c>
      <c r="S202" t="s">
        <v>84</v>
      </c>
      <c r="T202" t="s">
        <v>182</v>
      </c>
      <c r="U202">
        <v>7</v>
      </c>
      <c r="V202" t="s">
        <v>95</v>
      </c>
      <c r="W202" t="s">
        <v>907</v>
      </c>
      <c r="X202">
        <v>35</v>
      </c>
      <c r="Y202">
        <v>50</v>
      </c>
      <c r="Z202">
        <v>1.5</v>
      </c>
      <c r="AA202" t="s">
        <v>96</v>
      </c>
      <c r="AB202" t="s">
        <v>97</v>
      </c>
      <c r="AC202" t="s">
        <v>98</v>
      </c>
      <c r="AD202" t="s">
        <v>99</v>
      </c>
      <c r="AE202" t="s">
        <v>304</v>
      </c>
      <c r="AF202" t="s">
        <v>907</v>
      </c>
      <c r="AG202">
        <v>0</v>
      </c>
      <c r="AH202" t="s">
        <v>147</v>
      </c>
      <c r="AI202" t="s">
        <v>907</v>
      </c>
      <c r="AJ202" s="5">
        <v>0</v>
      </c>
      <c r="AK202" t="s">
        <v>102</v>
      </c>
      <c r="AL202" t="s">
        <v>907</v>
      </c>
      <c r="AM202" t="s">
        <v>466</v>
      </c>
      <c r="AN202" t="s">
        <v>907</v>
      </c>
      <c r="AO202">
        <v>0</v>
      </c>
      <c r="AP202" t="s">
        <v>2772</v>
      </c>
      <c r="AQ202" t="s">
        <v>466</v>
      </c>
      <c r="AR202" t="s">
        <v>95</v>
      </c>
      <c r="AS202">
        <v>0</v>
      </c>
      <c r="AT202">
        <v>0</v>
      </c>
      <c r="AU202">
        <v>0</v>
      </c>
      <c r="AV202">
        <v>6</v>
      </c>
      <c r="AW202">
        <v>0</v>
      </c>
      <c r="AX202">
        <v>0</v>
      </c>
      <c r="AY202">
        <v>0</v>
      </c>
      <c r="AZ202" t="s">
        <v>1003</v>
      </c>
      <c r="BA202" t="s">
        <v>95</v>
      </c>
      <c r="BB202" t="s">
        <v>3866</v>
      </c>
      <c r="BC202" t="s">
        <v>907</v>
      </c>
      <c r="BD202" t="s">
        <v>107</v>
      </c>
      <c r="BE202" t="s">
        <v>108</v>
      </c>
      <c r="BF202" t="s">
        <v>309</v>
      </c>
      <c r="BG202" t="s">
        <v>235</v>
      </c>
      <c r="BH202">
        <v>30</v>
      </c>
      <c r="BL202">
        <v>24</v>
      </c>
      <c r="BN202">
        <v>4</v>
      </c>
      <c r="BP202">
        <v>8</v>
      </c>
      <c r="BY202" t="s">
        <v>110</v>
      </c>
      <c r="BZ202" t="s">
        <v>907</v>
      </c>
      <c r="CA202" t="s">
        <v>907</v>
      </c>
      <c r="CB202" t="s">
        <v>84</v>
      </c>
      <c r="CC202" t="s">
        <v>84</v>
      </c>
      <c r="CD202" t="s">
        <v>2773</v>
      </c>
      <c r="CE202" t="s">
        <v>4250</v>
      </c>
      <c r="CF202" t="s">
        <v>2774</v>
      </c>
      <c r="CG202" t="s">
        <v>907</v>
      </c>
      <c r="CH202">
        <v>6</v>
      </c>
      <c r="CI202" t="s">
        <v>95</v>
      </c>
      <c r="CJ202" t="s">
        <v>907</v>
      </c>
      <c r="CK202" t="s">
        <v>289</v>
      </c>
      <c r="CL202" t="s">
        <v>4262</v>
      </c>
      <c r="CM202" t="s">
        <v>115</v>
      </c>
      <c r="CN202" t="s">
        <v>3995</v>
      </c>
      <c r="CO202" t="s">
        <v>95</v>
      </c>
      <c r="CP202" t="s">
        <v>907</v>
      </c>
      <c r="CQ202" t="s">
        <v>116</v>
      </c>
      <c r="CR202" t="s">
        <v>84</v>
      </c>
      <c r="CS202" t="s">
        <v>117</v>
      </c>
      <c r="CT202" t="s">
        <v>264</v>
      </c>
      <c r="CU202" t="s">
        <v>3869</v>
      </c>
      <c r="CV202" t="s">
        <v>812</v>
      </c>
      <c r="CW202" t="s">
        <v>907</v>
      </c>
      <c r="CX202" t="s">
        <v>166</v>
      </c>
      <c r="CY202" t="s">
        <v>549</v>
      </c>
      <c r="CZ202" t="s">
        <v>559</v>
      </c>
      <c r="DA202">
        <v>1</v>
      </c>
      <c r="DB202" s="10">
        <v>4500</v>
      </c>
      <c r="DC202" t="s">
        <v>169</v>
      </c>
      <c r="DD202" t="s">
        <v>907</v>
      </c>
      <c r="DE202">
        <v>5</v>
      </c>
      <c r="DF202">
        <v>25</v>
      </c>
      <c r="DG202" t="s">
        <v>95</v>
      </c>
      <c r="DH202" t="s">
        <v>95</v>
      </c>
      <c r="DI202" t="s">
        <v>907</v>
      </c>
      <c r="DJ202" t="s">
        <v>907</v>
      </c>
      <c r="DK202" t="s">
        <v>907</v>
      </c>
      <c r="DL202" t="s">
        <v>907</v>
      </c>
      <c r="DM202" t="s">
        <v>125</v>
      </c>
      <c r="DN202" t="s">
        <v>170</v>
      </c>
      <c r="DO202" t="s">
        <v>2331</v>
      </c>
      <c r="DP202">
        <v>2</v>
      </c>
      <c r="DQ202" t="s">
        <v>128</v>
      </c>
      <c r="DR202" t="s">
        <v>907</v>
      </c>
      <c r="DS202" t="s">
        <v>2746</v>
      </c>
      <c r="DT202" t="s">
        <v>2738</v>
      </c>
      <c r="DU202" t="s">
        <v>95</v>
      </c>
      <c r="DV202" t="s">
        <v>907</v>
      </c>
      <c r="DW202" t="s">
        <v>907</v>
      </c>
      <c r="DX202" t="s">
        <v>907</v>
      </c>
      <c r="FQ202">
        <v>567424856</v>
      </c>
      <c r="FR202" t="s">
        <v>2775</v>
      </c>
      <c r="FS202" s="1">
        <v>45926.55097222222</v>
      </c>
      <c r="FV202" t="s">
        <v>134</v>
      </c>
      <c r="FW202" t="s">
        <v>135</v>
      </c>
      <c r="FX202" t="s">
        <v>136</v>
      </c>
      <c r="FZ202">
        <v>400</v>
      </c>
    </row>
    <row r="203" spans="1:182" hidden="1" x14ac:dyDescent="0.3">
      <c r="A203" s="1">
        <v>45924.593502037038</v>
      </c>
      <c r="B203" s="1">
        <v>45924.600936226852</v>
      </c>
      <c r="D203" t="s">
        <v>84</v>
      </c>
      <c r="E203" t="s">
        <v>535</v>
      </c>
      <c r="F203" t="s">
        <v>554</v>
      </c>
      <c r="G203" t="s">
        <v>176</v>
      </c>
      <c r="H203" t="s">
        <v>4122</v>
      </c>
      <c r="I203" t="s">
        <v>555</v>
      </c>
      <c r="J203" t="s">
        <v>556</v>
      </c>
      <c r="K203" t="s">
        <v>90</v>
      </c>
      <c r="L203" t="s">
        <v>539</v>
      </c>
      <c r="M203" t="s">
        <v>540</v>
      </c>
      <c r="N203" t="s">
        <v>557</v>
      </c>
      <c r="O203">
        <v>-15.3457255</v>
      </c>
      <c r="P203">
        <v>23.128883399999999</v>
      </c>
      <c r="Q203">
        <v>1035.931640625</v>
      </c>
      <c r="R203">
        <v>3.79</v>
      </c>
      <c r="S203" t="s">
        <v>84</v>
      </c>
      <c r="T203" t="s">
        <v>182</v>
      </c>
      <c r="U203">
        <v>8</v>
      </c>
      <c r="V203" t="s">
        <v>95</v>
      </c>
      <c r="W203" t="s">
        <v>907</v>
      </c>
      <c r="X203">
        <v>20</v>
      </c>
      <c r="Y203">
        <v>30</v>
      </c>
      <c r="Z203">
        <v>3</v>
      </c>
      <c r="AA203" t="s">
        <v>96</v>
      </c>
      <c r="AB203" t="s">
        <v>351</v>
      </c>
      <c r="AC203" t="s">
        <v>98</v>
      </c>
      <c r="AD203" t="s">
        <v>99</v>
      </c>
      <c r="AE203" t="s">
        <v>100</v>
      </c>
      <c r="AF203" t="s">
        <v>907</v>
      </c>
      <c r="AG203">
        <v>0</v>
      </c>
      <c r="AH203" t="s">
        <v>100</v>
      </c>
      <c r="AI203" t="s">
        <v>907</v>
      </c>
      <c r="AJ203" s="5">
        <v>0</v>
      </c>
      <c r="AK203" t="s">
        <v>102</v>
      </c>
      <c r="AL203" t="s">
        <v>907</v>
      </c>
      <c r="AM203" t="s">
        <v>149</v>
      </c>
      <c r="AN203" t="s">
        <v>907</v>
      </c>
      <c r="AO203" t="s">
        <v>558</v>
      </c>
      <c r="AP203">
        <v>0</v>
      </c>
      <c r="AQ203" t="s">
        <v>149</v>
      </c>
      <c r="AR203" t="s">
        <v>95</v>
      </c>
      <c r="AS203">
        <v>0</v>
      </c>
      <c r="AT203">
        <v>45</v>
      </c>
      <c r="AU203">
        <v>0</v>
      </c>
      <c r="AV203">
        <v>0</v>
      </c>
      <c r="AW203">
        <v>0</v>
      </c>
      <c r="AX203">
        <v>0</v>
      </c>
      <c r="AY203">
        <v>0</v>
      </c>
      <c r="AZ203" t="s">
        <v>284</v>
      </c>
      <c r="BA203" t="s">
        <v>95</v>
      </c>
      <c r="BB203" t="s">
        <v>154</v>
      </c>
      <c r="BC203" t="s">
        <v>907</v>
      </c>
      <c r="BD203" t="s">
        <v>107</v>
      </c>
      <c r="BE203" t="s">
        <v>108</v>
      </c>
      <c r="BF203" t="s">
        <v>544</v>
      </c>
      <c r="BG203" t="s">
        <v>235</v>
      </c>
      <c r="BH203">
        <v>25</v>
      </c>
      <c r="BY203" t="s">
        <v>110</v>
      </c>
      <c r="BZ203" t="s">
        <v>907</v>
      </c>
      <c r="CA203" t="s">
        <v>907</v>
      </c>
      <c r="CB203" t="s">
        <v>84</v>
      </c>
      <c r="CC203" t="s">
        <v>84</v>
      </c>
      <c r="CD203" t="s">
        <v>237</v>
      </c>
      <c r="CE203" t="s">
        <v>4249</v>
      </c>
      <c r="CF203" t="s">
        <v>3884</v>
      </c>
      <c r="CG203" t="s">
        <v>907</v>
      </c>
      <c r="CH203">
        <v>6</v>
      </c>
      <c r="CI203" t="s">
        <v>95</v>
      </c>
      <c r="CJ203" t="s">
        <v>907</v>
      </c>
      <c r="CK203" t="s">
        <v>289</v>
      </c>
      <c r="CL203" t="s">
        <v>4262</v>
      </c>
      <c r="CM203" t="s">
        <v>115</v>
      </c>
      <c r="CN203" t="s">
        <v>3883</v>
      </c>
      <c r="CO203" t="s">
        <v>95</v>
      </c>
      <c r="CP203" t="s">
        <v>907</v>
      </c>
      <c r="CQ203" t="s">
        <v>116</v>
      </c>
      <c r="CR203" t="s">
        <v>84</v>
      </c>
      <c r="CS203" t="s">
        <v>117</v>
      </c>
      <c r="CT203" t="s">
        <v>163</v>
      </c>
      <c r="CU203" t="s">
        <v>3869</v>
      </c>
      <c r="CV203" t="s">
        <v>119</v>
      </c>
      <c r="CW203" t="s">
        <v>168</v>
      </c>
      <c r="CX203" t="s">
        <v>166</v>
      </c>
      <c r="CY203" t="s">
        <v>549</v>
      </c>
      <c r="CZ203" t="s">
        <v>559</v>
      </c>
      <c r="DA203">
        <v>6</v>
      </c>
      <c r="DB203" s="10">
        <v>6000</v>
      </c>
      <c r="DC203" t="s">
        <v>169</v>
      </c>
      <c r="DD203" t="s">
        <v>907</v>
      </c>
      <c r="DE203">
        <v>10</v>
      </c>
      <c r="DF203">
        <v>5</v>
      </c>
      <c r="DG203" t="s">
        <v>95</v>
      </c>
      <c r="DH203" t="s">
        <v>95</v>
      </c>
      <c r="DI203" t="s">
        <v>907</v>
      </c>
      <c r="DJ203" t="s">
        <v>907</v>
      </c>
      <c r="DK203" t="s">
        <v>907</v>
      </c>
      <c r="DL203" t="s">
        <v>907</v>
      </c>
      <c r="DM203" t="s">
        <v>125</v>
      </c>
      <c r="DN203" t="s">
        <v>170</v>
      </c>
      <c r="DO203" t="s">
        <v>560</v>
      </c>
      <c r="DP203">
        <v>5</v>
      </c>
      <c r="DQ203" t="s">
        <v>128</v>
      </c>
      <c r="DR203" t="s">
        <v>907</v>
      </c>
      <c r="DS203" t="s">
        <v>551</v>
      </c>
      <c r="DT203" t="s">
        <v>552</v>
      </c>
      <c r="DU203" t="s">
        <v>84</v>
      </c>
      <c r="DV203" t="s">
        <v>561</v>
      </c>
      <c r="DW203" t="s">
        <v>533</v>
      </c>
      <c r="DX203" t="s">
        <v>95</v>
      </c>
      <c r="FQ203">
        <v>565908859</v>
      </c>
      <c r="FR203" t="s">
        <v>562</v>
      </c>
      <c r="FS203" s="1">
        <v>45924.64471064815</v>
      </c>
      <c r="FV203" t="s">
        <v>134</v>
      </c>
      <c r="FW203" t="s">
        <v>135</v>
      </c>
      <c r="FX203" t="s">
        <v>136</v>
      </c>
      <c r="FZ203">
        <v>147</v>
      </c>
    </row>
    <row r="204" spans="1:182" x14ac:dyDescent="0.3">
      <c r="A204" s="1">
        <v>45926.405096979157</v>
      </c>
      <c r="B204" s="1">
        <v>45926.439434375003</v>
      </c>
      <c r="D204" t="s">
        <v>84</v>
      </c>
      <c r="E204" t="s">
        <v>297</v>
      </c>
      <c r="F204" t="s">
        <v>3077</v>
      </c>
      <c r="G204" t="s">
        <v>176</v>
      </c>
      <c r="H204" t="s">
        <v>4122</v>
      </c>
      <c r="I204" t="s">
        <v>3078</v>
      </c>
      <c r="J204" t="s">
        <v>3079</v>
      </c>
      <c r="K204" t="s">
        <v>90</v>
      </c>
      <c r="L204" t="s">
        <v>3080</v>
      </c>
      <c r="M204" t="s">
        <v>1871</v>
      </c>
      <c r="N204" t="s">
        <v>3081</v>
      </c>
      <c r="O204">
        <v>-15.247530899999999</v>
      </c>
      <c r="P204">
        <v>22.961463800000001</v>
      </c>
      <c r="Q204">
        <v>1029.326293945312</v>
      </c>
      <c r="R204">
        <v>4.4870000000000001</v>
      </c>
      <c r="S204" t="s">
        <v>84</v>
      </c>
      <c r="T204" t="s">
        <v>94</v>
      </c>
      <c r="U204">
        <v>5</v>
      </c>
      <c r="V204" t="s">
        <v>95</v>
      </c>
      <c r="W204" t="s">
        <v>907</v>
      </c>
      <c r="X204">
        <v>30</v>
      </c>
      <c r="Y204">
        <v>4</v>
      </c>
      <c r="Z204">
        <v>2</v>
      </c>
      <c r="AA204" t="s">
        <v>96</v>
      </c>
      <c r="AB204" t="s">
        <v>351</v>
      </c>
      <c r="AC204" t="s">
        <v>98</v>
      </c>
      <c r="AD204" t="s">
        <v>145</v>
      </c>
      <c r="AE204" t="s">
        <v>304</v>
      </c>
      <c r="AF204" t="s">
        <v>907</v>
      </c>
      <c r="AG204">
        <v>5000</v>
      </c>
      <c r="AH204" t="s">
        <v>100</v>
      </c>
      <c r="AI204" t="s">
        <v>907</v>
      </c>
      <c r="AJ204" s="5">
        <v>7000</v>
      </c>
      <c r="AK204" t="s">
        <v>102</v>
      </c>
      <c r="AL204" t="s">
        <v>907</v>
      </c>
      <c r="AM204" t="s">
        <v>2818</v>
      </c>
      <c r="AN204" t="s">
        <v>907</v>
      </c>
      <c r="AO204" t="s">
        <v>267</v>
      </c>
      <c r="AP204" t="s">
        <v>267</v>
      </c>
      <c r="AQ204" t="s">
        <v>956</v>
      </c>
      <c r="AR204" t="s">
        <v>95</v>
      </c>
      <c r="AS204">
        <v>0</v>
      </c>
      <c r="AT204">
        <v>0</v>
      </c>
      <c r="AU204">
        <v>0</v>
      </c>
      <c r="AV204">
        <v>0</v>
      </c>
      <c r="AW204">
        <v>0</v>
      </c>
      <c r="AX204">
        <v>0</v>
      </c>
      <c r="AY204">
        <v>0</v>
      </c>
      <c r="AZ204" t="s">
        <v>284</v>
      </c>
      <c r="BA204" t="s">
        <v>95</v>
      </c>
      <c r="BB204" t="s">
        <v>154</v>
      </c>
      <c r="BC204" t="s">
        <v>907</v>
      </c>
      <c r="BD204" t="s">
        <v>107</v>
      </c>
      <c r="BE204" t="s">
        <v>363</v>
      </c>
      <c r="BF204" t="s">
        <v>3082</v>
      </c>
      <c r="BG204" t="s">
        <v>235</v>
      </c>
      <c r="BH204">
        <v>80</v>
      </c>
      <c r="BL204">
        <v>50</v>
      </c>
      <c r="BN204">
        <v>2</v>
      </c>
      <c r="BP204">
        <v>2</v>
      </c>
      <c r="BR204">
        <v>5</v>
      </c>
      <c r="BT204">
        <v>8</v>
      </c>
      <c r="BV204">
        <v>10</v>
      </c>
      <c r="BX204">
        <v>5</v>
      </c>
      <c r="BY204" t="s">
        <v>189</v>
      </c>
      <c r="BZ204">
        <v>40</v>
      </c>
      <c r="CA204">
        <v>4</v>
      </c>
      <c r="CB204" t="s">
        <v>84</v>
      </c>
      <c r="CC204" t="s">
        <v>84</v>
      </c>
      <c r="CD204" t="s">
        <v>3083</v>
      </c>
      <c r="CE204" t="s">
        <v>4251</v>
      </c>
      <c r="CF204" t="s">
        <v>3084</v>
      </c>
      <c r="CG204" t="s">
        <v>907</v>
      </c>
      <c r="CH204">
        <v>6</v>
      </c>
      <c r="CI204" t="s">
        <v>84</v>
      </c>
      <c r="CJ204" t="s">
        <v>262</v>
      </c>
      <c r="CK204" t="s">
        <v>289</v>
      </c>
      <c r="CL204" t="s">
        <v>619</v>
      </c>
      <c r="CM204" t="s">
        <v>193</v>
      </c>
      <c r="CN204" t="s">
        <v>3874</v>
      </c>
      <c r="CO204" t="s">
        <v>95</v>
      </c>
      <c r="CP204" t="s">
        <v>907</v>
      </c>
      <c r="CQ204" t="s">
        <v>116</v>
      </c>
      <c r="CR204" t="s">
        <v>84</v>
      </c>
      <c r="CS204" t="s">
        <v>117</v>
      </c>
      <c r="CT204" t="s">
        <v>264</v>
      </c>
      <c r="CU204" t="s">
        <v>3869</v>
      </c>
      <c r="CV204" t="s">
        <v>119</v>
      </c>
      <c r="CW204" t="s">
        <v>530</v>
      </c>
      <c r="CX204" t="s">
        <v>166</v>
      </c>
      <c r="CY204" t="s">
        <v>167</v>
      </c>
      <c r="CZ204" t="s">
        <v>3085</v>
      </c>
      <c r="DA204">
        <v>2</v>
      </c>
      <c r="DB204" s="10">
        <v>10000</v>
      </c>
      <c r="DC204" t="s">
        <v>123</v>
      </c>
      <c r="DD204" t="s">
        <v>3042</v>
      </c>
      <c r="DE204">
        <v>1</v>
      </c>
      <c r="DF204">
        <v>15</v>
      </c>
      <c r="DG204" t="s">
        <v>95</v>
      </c>
      <c r="DH204" t="s">
        <v>95</v>
      </c>
      <c r="DI204" t="s">
        <v>907</v>
      </c>
      <c r="DJ204" t="s">
        <v>907</v>
      </c>
      <c r="DK204" t="s">
        <v>907</v>
      </c>
      <c r="DL204" t="s">
        <v>907</v>
      </c>
      <c r="DM204" t="s">
        <v>291</v>
      </c>
      <c r="DN204" t="s">
        <v>907</v>
      </c>
      <c r="DO204" t="s">
        <v>907</v>
      </c>
      <c r="DP204">
        <v>27</v>
      </c>
      <c r="DQ204" t="s">
        <v>441</v>
      </c>
      <c r="DR204" t="s">
        <v>907</v>
      </c>
      <c r="DS204" t="s">
        <v>3045</v>
      </c>
      <c r="DT204" t="s">
        <v>2562</v>
      </c>
      <c r="DU204" t="s">
        <v>95</v>
      </c>
      <c r="DV204" t="s">
        <v>907</v>
      </c>
      <c r="DW204" t="s">
        <v>907</v>
      </c>
      <c r="DX204" t="s">
        <v>907</v>
      </c>
      <c r="FQ204">
        <v>567958272</v>
      </c>
      <c r="FR204" t="s">
        <v>3086</v>
      </c>
      <c r="FS204" s="1">
        <v>45927.345196759263</v>
      </c>
      <c r="FV204" t="s">
        <v>134</v>
      </c>
      <c r="FW204" t="s">
        <v>135</v>
      </c>
      <c r="FX204" t="s">
        <v>136</v>
      </c>
      <c r="FZ204">
        <v>446</v>
      </c>
    </row>
    <row r="205" spans="1:182" x14ac:dyDescent="0.3">
      <c r="A205" s="1">
        <v>45924.569579976851</v>
      </c>
      <c r="B205" s="1">
        <v>45924.612889629629</v>
      </c>
      <c r="D205" t="s">
        <v>84</v>
      </c>
      <c r="E205" t="s">
        <v>1397</v>
      </c>
      <c r="F205" t="s">
        <v>1398</v>
      </c>
      <c r="G205" t="s">
        <v>176</v>
      </c>
      <c r="H205" t="s">
        <v>4122</v>
      </c>
      <c r="I205" t="s">
        <v>1399</v>
      </c>
      <c r="J205" t="s">
        <v>1400</v>
      </c>
      <c r="K205" t="s">
        <v>90</v>
      </c>
      <c r="L205" t="s">
        <v>1323</v>
      </c>
      <c r="M205" t="s">
        <v>1401</v>
      </c>
      <c r="N205" t="s">
        <v>1402</v>
      </c>
      <c r="O205">
        <v>-15.338586100000001</v>
      </c>
      <c r="P205">
        <v>23.033417499999999</v>
      </c>
      <c r="Q205">
        <v>1019.981689453125</v>
      </c>
      <c r="R205">
        <v>4.7380000000000004</v>
      </c>
      <c r="S205" t="s">
        <v>84</v>
      </c>
      <c r="T205" t="s">
        <v>94</v>
      </c>
      <c r="U205">
        <v>13</v>
      </c>
      <c r="V205" t="s">
        <v>1403</v>
      </c>
      <c r="W205" t="s">
        <v>1404</v>
      </c>
      <c r="X205">
        <v>16</v>
      </c>
      <c r="Y205">
        <v>2500</v>
      </c>
      <c r="Z205">
        <v>6.5</v>
      </c>
      <c r="AA205" t="s">
        <v>251</v>
      </c>
      <c r="AB205" t="s">
        <v>351</v>
      </c>
      <c r="AC205" t="s">
        <v>98</v>
      </c>
      <c r="AD205" t="s">
        <v>99</v>
      </c>
      <c r="AE205" t="s">
        <v>101</v>
      </c>
      <c r="AF205" t="s">
        <v>907</v>
      </c>
      <c r="AG205">
        <v>1000</v>
      </c>
      <c r="AH205" t="s">
        <v>304</v>
      </c>
      <c r="AI205" t="s">
        <v>907</v>
      </c>
      <c r="AJ205" s="5">
        <v>500</v>
      </c>
      <c r="AK205" t="s">
        <v>102</v>
      </c>
      <c r="AL205" t="s">
        <v>907</v>
      </c>
      <c r="AM205" t="s">
        <v>909</v>
      </c>
      <c r="AN205" t="s">
        <v>907</v>
      </c>
      <c r="AO205" t="s">
        <v>1327</v>
      </c>
      <c r="AP205" t="s">
        <v>1405</v>
      </c>
      <c r="AQ205" t="s">
        <v>909</v>
      </c>
      <c r="AR205" t="s">
        <v>95</v>
      </c>
      <c r="AS205">
        <v>0</v>
      </c>
      <c r="AT205">
        <v>0</v>
      </c>
      <c r="AU205">
        <v>0</v>
      </c>
      <c r="AV205">
        <v>20</v>
      </c>
      <c r="AW205">
        <v>12</v>
      </c>
      <c r="AX205">
        <v>0</v>
      </c>
      <c r="AY205">
        <v>0</v>
      </c>
      <c r="AZ205" t="s">
        <v>1003</v>
      </c>
      <c r="BA205" t="s">
        <v>452</v>
      </c>
      <c r="BB205" t="s">
        <v>154</v>
      </c>
      <c r="BC205" t="s">
        <v>907</v>
      </c>
      <c r="BD205" t="s">
        <v>107</v>
      </c>
      <c r="BE205" t="s">
        <v>470</v>
      </c>
      <c r="BF205" t="s">
        <v>3925</v>
      </c>
      <c r="BG205" t="s">
        <v>790</v>
      </c>
      <c r="BH205">
        <v>34</v>
      </c>
      <c r="BL205">
        <v>12</v>
      </c>
      <c r="BN205">
        <v>3</v>
      </c>
      <c r="BP205">
        <v>3</v>
      </c>
      <c r="BR205">
        <v>3</v>
      </c>
      <c r="BT205">
        <v>5</v>
      </c>
      <c r="BV205">
        <v>2</v>
      </c>
      <c r="BX205">
        <v>6</v>
      </c>
      <c r="BY205" t="s">
        <v>189</v>
      </c>
      <c r="BZ205">
        <v>3</v>
      </c>
      <c r="CA205">
        <v>8</v>
      </c>
      <c r="CB205" t="s">
        <v>84</v>
      </c>
      <c r="CC205" t="s">
        <v>84</v>
      </c>
      <c r="CD205" t="s">
        <v>778</v>
      </c>
      <c r="CE205" t="s">
        <v>4250</v>
      </c>
      <c r="CF205" t="s">
        <v>3932</v>
      </c>
      <c r="CG205" t="s">
        <v>907</v>
      </c>
      <c r="CH205">
        <v>6</v>
      </c>
      <c r="CI205" t="s">
        <v>95</v>
      </c>
      <c r="CJ205" t="s">
        <v>907</v>
      </c>
      <c r="CK205" t="s">
        <v>113</v>
      </c>
      <c r="CL205" t="s">
        <v>1406</v>
      </c>
      <c r="CM205" t="s">
        <v>193</v>
      </c>
      <c r="CN205" t="s">
        <v>3903</v>
      </c>
      <c r="CO205" t="s">
        <v>95</v>
      </c>
      <c r="CP205" t="s">
        <v>907</v>
      </c>
      <c r="CQ205" t="s">
        <v>116</v>
      </c>
      <c r="CR205" t="s">
        <v>84</v>
      </c>
      <c r="CS205" t="s">
        <v>117</v>
      </c>
      <c r="CT205" t="s">
        <v>118</v>
      </c>
      <c r="CU205" t="s">
        <v>438</v>
      </c>
      <c r="CV205" t="s">
        <v>812</v>
      </c>
      <c r="CW205" t="s">
        <v>780</v>
      </c>
      <c r="CX205" t="s">
        <v>166</v>
      </c>
      <c r="CY205" t="s">
        <v>167</v>
      </c>
      <c r="CZ205" t="s">
        <v>715</v>
      </c>
      <c r="DA205">
        <v>3</v>
      </c>
      <c r="DB205" s="10">
        <v>13500</v>
      </c>
      <c r="DC205" t="s">
        <v>169</v>
      </c>
      <c r="DD205" t="s">
        <v>907</v>
      </c>
      <c r="DE205">
        <v>3</v>
      </c>
      <c r="DF205">
        <v>12</v>
      </c>
      <c r="DG205" t="s">
        <v>95</v>
      </c>
      <c r="DH205" t="s">
        <v>95</v>
      </c>
      <c r="DI205" t="s">
        <v>907</v>
      </c>
      <c r="DJ205" t="s">
        <v>907</v>
      </c>
      <c r="DK205" t="s">
        <v>907</v>
      </c>
      <c r="DL205" t="s">
        <v>907</v>
      </c>
      <c r="DM205" t="s">
        <v>125</v>
      </c>
      <c r="DN205" t="s">
        <v>200</v>
      </c>
      <c r="DO205" t="s">
        <v>1407</v>
      </c>
      <c r="DP205">
        <v>5</v>
      </c>
      <c r="DQ205" t="s">
        <v>128</v>
      </c>
      <c r="DR205" t="s">
        <v>907</v>
      </c>
      <c r="DS205" t="s">
        <v>898</v>
      </c>
      <c r="DT205" t="s">
        <v>1408</v>
      </c>
      <c r="DU205" t="s">
        <v>84</v>
      </c>
      <c r="DV205" t="s">
        <v>1409</v>
      </c>
      <c r="DW205" t="s">
        <v>1331</v>
      </c>
      <c r="DX205" t="s">
        <v>95</v>
      </c>
      <c r="FQ205">
        <v>566014122</v>
      </c>
      <c r="FR205" t="s">
        <v>1410</v>
      </c>
      <c r="FS205" s="1">
        <v>45924.735486111109</v>
      </c>
      <c r="FV205" t="s">
        <v>134</v>
      </c>
      <c r="FW205" t="s">
        <v>135</v>
      </c>
      <c r="FX205" t="s">
        <v>136</v>
      </c>
      <c r="FZ205">
        <v>219</v>
      </c>
    </row>
    <row r="206" spans="1:182" x14ac:dyDescent="0.3">
      <c r="A206" s="1">
        <v>45924.446431203702</v>
      </c>
      <c r="B206" s="1">
        <v>45924.468687719913</v>
      </c>
      <c r="D206" t="s">
        <v>84</v>
      </c>
      <c r="E206" t="s">
        <v>297</v>
      </c>
      <c r="F206" t="s">
        <v>1439</v>
      </c>
      <c r="G206" t="s">
        <v>176</v>
      </c>
      <c r="H206" t="s">
        <v>4122</v>
      </c>
      <c r="I206" t="s">
        <v>1440</v>
      </c>
      <c r="J206" t="s">
        <v>1441</v>
      </c>
      <c r="K206" t="s">
        <v>90</v>
      </c>
      <c r="L206" t="s">
        <v>1442</v>
      </c>
      <c r="M206" t="s">
        <v>670</v>
      </c>
      <c r="N206" t="s">
        <v>1443</v>
      </c>
      <c r="O206">
        <v>-15.327818300000001</v>
      </c>
      <c r="P206">
        <v>23.039898300000001</v>
      </c>
      <c r="Q206">
        <v>1017.9</v>
      </c>
      <c r="R206">
        <v>4.75</v>
      </c>
      <c r="S206" t="s">
        <v>84</v>
      </c>
      <c r="T206" t="s">
        <v>94</v>
      </c>
      <c r="U206">
        <v>6</v>
      </c>
      <c r="V206" t="s">
        <v>95</v>
      </c>
      <c r="W206" t="s">
        <v>907</v>
      </c>
      <c r="X206">
        <v>12</v>
      </c>
      <c r="Y206">
        <v>200</v>
      </c>
      <c r="Z206">
        <v>2</v>
      </c>
      <c r="AA206" t="s">
        <v>96</v>
      </c>
      <c r="AB206" t="s">
        <v>351</v>
      </c>
      <c r="AC206" t="s">
        <v>98</v>
      </c>
      <c r="AD206" t="s">
        <v>99</v>
      </c>
      <c r="AE206" t="s">
        <v>101</v>
      </c>
      <c r="AF206" t="s">
        <v>907</v>
      </c>
      <c r="AG206">
        <v>10000</v>
      </c>
      <c r="AH206" t="s">
        <v>3873</v>
      </c>
      <c r="AI206" t="s">
        <v>907</v>
      </c>
      <c r="AJ206" t="s">
        <v>907</v>
      </c>
      <c r="AK206" t="s">
        <v>102</v>
      </c>
      <c r="AL206" t="s">
        <v>907</v>
      </c>
      <c r="AM206" t="s">
        <v>4130</v>
      </c>
      <c r="AN206" t="s">
        <v>907</v>
      </c>
      <c r="AQ206" t="s">
        <v>466</v>
      </c>
      <c r="AR206" t="s">
        <v>95</v>
      </c>
      <c r="AS206">
        <v>0</v>
      </c>
      <c r="AT206">
        <v>0</v>
      </c>
      <c r="AU206">
        <v>0</v>
      </c>
      <c r="AV206">
        <v>0</v>
      </c>
      <c r="AW206">
        <v>0</v>
      </c>
      <c r="AX206">
        <v>0</v>
      </c>
      <c r="AY206">
        <v>0</v>
      </c>
      <c r="AZ206" t="s">
        <v>284</v>
      </c>
      <c r="BA206" t="s">
        <v>95</v>
      </c>
      <c r="BB206" t="s">
        <v>154</v>
      </c>
      <c r="BC206" t="s">
        <v>907</v>
      </c>
      <c r="BD206" t="s">
        <v>107</v>
      </c>
      <c r="BE206" t="s">
        <v>258</v>
      </c>
      <c r="BF206" t="s">
        <v>309</v>
      </c>
      <c r="BG206" t="s">
        <v>156</v>
      </c>
      <c r="BH206">
        <v>112</v>
      </c>
      <c r="BL206">
        <v>37</v>
      </c>
      <c r="BN206">
        <v>3</v>
      </c>
      <c r="BP206">
        <v>10</v>
      </c>
      <c r="BR206">
        <v>22</v>
      </c>
      <c r="BT206">
        <v>8</v>
      </c>
      <c r="BV206">
        <v>6</v>
      </c>
      <c r="BX206">
        <v>17</v>
      </c>
      <c r="BY206" t="s">
        <v>110</v>
      </c>
      <c r="BZ206" t="s">
        <v>907</v>
      </c>
      <c r="CA206" t="s">
        <v>907</v>
      </c>
      <c r="CB206" t="s">
        <v>84</v>
      </c>
      <c r="CC206" t="s">
        <v>84</v>
      </c>
      <c r="CD206" t="s">
        <v>1444</v>
      </c>
      <c r="CE206" t="s">
        <v>4250</v>
      </c>
      <c r="CF206" t="s">
        <v>3934</v>
      </c>
      <c r="CG206" t="s">
        <v>907</v>
      </c>
      <c r="CH206">
        <v>5</v>
      </c>
      <c r="CI206" t="s">
        <v>84</v>
      </c>
      <c r="CJ206" t="s">
        <v>262</v>
      </c>
      <c r="CK206" t="s">
        <v>289</v>
      </c>
      <c r="CL206" t="s">
        <v>1176</v>
      </c>
      <c r="CM206" t="s">
        <v>193</v>
      </c>
      <c r="CN206" t="s">
        <v>3868</v>
      </c>
      <c r="CO206" t="s">
        <v>95</v>
      </c>
      <c r="CP206" t="s">
        <v>907</v>
      </c>
      <c r="CQ206" t="s">
        <v>116</v>
      </c>
      <c r="CR206" t="s">
        <v>84</v>
      </c>
      <c r="CS206" t="s">
        <v>117</v>
      </c>
      <c r="CT206" t="s">
        <v>264</v>
      </c>
      <c r="CU206" t="s">
        <v>438</v>
      </c>
      <c r="CV206" t="s">
        <v>290</v>
      </c>
      <c r="CW206" t="s">
        <v>907</v>
      </c>
      <c r="CX206" t="s">
        <v>907</v>
      </c>
      <c r="CY206" t="s">
        <v>907</v>
      </c>
      <c r="CZ206" t="s">
        <v>907</v>
      </c>
      <c r="DA206" t="s">
        <v>907</v>
      </c>
      <c r="DB206" t="s">
        <v>907</v>
      </c>
      <c r="DC206" t="s">
        <v>907</v>
      </c>
      <c r="DD206" t="s">
        <v>907</v>
      </c>
      <c r="DE206" t="s">
        <v>907</v>
      </c>
      <c r="DF206" t="s">
        <v>907</v>
      </c>
      <c r="DG206" t="s">
        <v>95</v>
      </c>
      <c r="DH206" t="s">
        <v>95</v>
      </c>
      <c r="DI206" t="s">
        <v>907</v>
      </c>
      <c r="DJ206" t="s">
        <v>907</v>
      </c>
      <c r="DK206" t="s">
        <v>907</v>
      </c>
      <c r="DL206" t="s">
        <v>907</v>
      </c>
      <c r="DM206" t="s">
        <v>291</v>
      </c>
      <c r="DN206" t="s">
        <v>907</v>
      </c>
      <c r="DO206" t="s">
        <v>907</v>
      </c>
      <c r="DP206">
        <v>15</v>
      </c>
      <c r="DQ206" t="s">
        <v>441</v>
      </c>
      <c r="DR206" t="s">
        <v>907</v>
      </c>
      <c r="DS206" t="s">
        <v>270</v>
      </c>
      <c r="DT206" t="s">
        <v>1445</v>
      </c>
      <c r="DU206" t="s">
        <v>95</v>
      </c>
      <c r="DV206" t="s">
        <v>907</v>
      </c>
      <c r="DW206" t="s">
        <v>907</v>
      </c>
      <c r="DX206" t="s">
        <v>907</v>
      </c>
      <c r="FQ206">
        <v>566102241</v>
      </c>
      <c r="FR206" t="s">
        <v>1446</v>
      </c>
      <c r="FS206" s="1">
        <v>45924.854074074072</v>
      </c>
      <c r="FV206" t="s">
        <v>134</v>
      </c>
      <c r="FW206" t="s">
        <v>135</v>
      </c>
      <c r="FX206" t="s">
        <v>136</v>
      </c>
      <c r="FZ206">
        <v>242</v>
      </c>
    </row>
    <row r="207" spans="1:182" x14ac:dyDescent="0.3">
      <c r="A207" s="1">
        <v>45925.510357696759</v>
      </c>
      <c r="B207" s="1">
        <v>45925.558758645842</v>
      </c>
      <c r="D207" t="s">
        <v>84</v>
      </c>
      <c r="E207" t="s">
        <v>1397</v>
      </c>
      <c r="F207" t="s">
        <v>2150</v>
      </c>
      <c r="G207" t="s">
        <v>176</v>
      </c>
      <c r="H207" t="s">
        <v>4121</v>
      </c>
      <c r="I207" t="s">
        <v>2151</v>
      </c>
      <c r="J207" t="s">
        <v>2152</v>
      </c>
      <c r="K207" t="s">
        <v>90</v>
      </c>
      <c r="L207" t="s">
        <v>2153</v>
      </c>
      <c r="M207" t="s">
        <v>2154</v>
      </c>
      <c r="N207" t="s">
        <v>2155</v>
      </c>
      <c r="O207">
        <v>-15.233462100000001</v>
      </c>
      <c r="P207">
        <v>22.991891200000001</v>
      </c>
      <c r="Q207">
        <v>1037.543212890625</v>
      </c>
      <c r="R207">
        <v>4.976</v>
      </c>
      <c r="S207" t="s">
        <v>84</v>
      </c>
      <c r="T207" t="s">
        <v>94</v>
      </c>
      <c r="U207">
        <v>3</v>
      </c>
      <c r="V207" t="s">
        <v>95</v>
      </c>
      <c r="W207" t="s">
        <v>907</v>
      </c>
      <c r="X207">
        <v>15</v>
      </c>
      <c r="Y207" s="3">
        <v>6</v>
      </c>
      <c r="Z207">
        <v>1</v>
      </c>
      <c r="AA207" t="s">
        <v>251</v>
      </c>
      <c r="AB207" t="s">
        <v>351</v>
      </c>
      <c r="AC207" t="s">
        <v>98</v>
      </c>
      <c r="AD207" t="s">
        <v>252</v>
      </c>
      <c r="AE207" t="s">
        <v>123</v>
      </c>
      <c r="AF207" t="s">
        <v>1232</v>
      </c>
      <c r="AG207" s="3">
        <v>1500</v>
      </c>
      <c r="AH207" t="s">
        <v>2156</v>
      </c>
      <c r="AI207" t="s">
        <v>907</v>
      </c>
      <c r="AJ207" s="5">
        <v>3000</v>
      </c>
      <c r="AK207" t="s">
        <v>102</v>
      </c>
      <c r="AL207" t="s">
        <v>907</v>
      </c>
      <c r="AM207" t="s">
        <v>2157</v>
      </c>
      <c r="AN207" t="s">
        <v>907</v>
      </c>
      <c r="AO207" t="s">
        <v>2158</v>
      </c>
      <c r="AP207" t="s">
        <v>2159</v>
      </c>
      <c r="AQ207" t="s">
        <v>956</v>
      </c>
      <c r="AR207" t="s">
        <v>84</v>
      </c>
      <c r="AS207">
        <v>6</v>
      </c>
      <c r="AT207">
        <v>0</v>
      </c>
      <c r="AU207">
        <v>0</v>
      </c>
      <c r="AV207">
        <v>8</v>
      </c>
      <c r="AW207">
        <v>0</v>
      </c>
      <c r="AX207">
        <v>0</v>
      </c>
      <c r="AY207">
        <v>0</v>
      </c>
      <c r="AZ207" t="s">
        <v>284</v>
      </c>
      <c r="BA207" t="s">
        <v>452</v>
      </c>
      <c r="BB207" t="s">
        <v>154</v>
      </c>
      <c r="BC207" t="s">
        <v>907</v>
      </c>
      <c r="BD207" t="s">
        <v>107</v>
      </c>
      <c r="BE207" t="s">
        <v>2102</v>
      </c>
      <c r="BF207" t="s">
        <v>2160</v>
      </c>
      <c r="BG207" t="s">
        <v>109</v>
      </c>
      <c r="BH207">
        <v>78</v>
      </c>
      <c r="BL207">
        <v>34</v>
      </c>
      <c r="BN207">
        <v>2</v>
      </c>
      <c r="BP207">
        <v>15</v>
      </c>
      <c r="BR207">
        <v>6</v>
      </c>
      <c r="BT207">
        <v>5</v>
      </c>
      <c r="BV207">
        <v>5</v>
      </c>
      <c r="BX207">
        <v>11</v>
      </c>
      <c r="BY207" t="s">
        <v>189</v>
      </c>
      <c r="BZ207">
        <v>5</v>
      </c>
      <c r="CA207">
        <v>7</v>
      </c>
      <c r="CB207" t="s">
        <v>84</v>
      </c>
      <c r="CC207" t="s">
        <v>84</v>
      </c>
      <c r="CD207" t="s">
        <v>778</v>
      </c>
      <c r="CE207" t="s">
        <v>4251</v>
      </c>
      <c r="CF207" t="s">
        <v>2161</v>
      </c>
      <c r="CG207" t="s">
        <v>907</v>
      </c>
      <c r="CH207">
        <v>6</v>
      </c>
      <c r="CI207" t="s">
        <v>84</v>
      </c>
      <c r="CJ207" t="s">
        <v>262</v>
      </c>
      <c r="CK207" t="s">
        <v>289</v>
      </c>
      <c r="CL207" t="s">
        <v>367</v>
      </c>
      <c r="CM207" t="s">
        <v>193</v>
      </c>
      <c r="CN207" t="s">
        <v>421</v>
      </c>
      <c r="CO207" t="s">
        <v>95</v>
      </c>
      <c r="CP207" t="s">
        <v>907</v>
      </c>
      <c r="CQ207" t="s">
        <v>116</v>
      </c>
      <c r="CR207" t="s">
        <v>84</v>
      </c>
      <c r="CS207" t="s">
        <v>117</v>
      </c>
      <c r="CT207" t="s">
        <v>118</v>
      </c>
      <c r="CU207" t="s">
        <v>3869</v>
      </c>
      <c r="CV207" t="s">
        <v>812</v>
      </c>
      <c r="CW207" t="s">
        <v>559</v>
      </c>
      <c r="CX207" t="s">
        <v>166</v>
      </c>
      <c r="CY207" t="s">
        <v>167</v>
      </c>
      <c r="CZ207" t="s">
        <v>530</v>
      </c>
      <c r="DA207">
        <v>3</v>
      </c>
      <c r="DB207" s="10">
        <v>16000</v>
      </c>
      <c r="DC207" t="s">
        <v>169</v>
      </c>
      <c r="DD207" t="s">
        <v>907</v>
      </c>
      <c r="DE207">
        <v>3</v>
      </c>
      <c r="DF207">
        <v>12</v>
      </c>
      <c r="DG207" t="s">
        <v>95</v>
      </c>
      <c r="DH207" t="s">
        <v>95</v>
      </c>
      <c r="DI207" t="s">
        <v>907</v>
      </c>
      <c r="DJ207" t="s">
        <v>907</v>
      </c>
      <c r="DK207" t="s">
        <v>907</v>
      </c>
      <c r="DL207" t="s">
        <v>907</v>
      </c>
      <c r="DM207" t="s">
        <v>291</v>
      </c>
      <c r="DN207" t="s">
        <v>907</v>
      </c>
      <c r="DO207" t="s">
        <v>907</v>
      </c>
      <c r="DP207">
        <v>1</v>
      </c>
      <c r="DQ207" t="s">
        <v>441</v>
      </c>
      <c r="DR207" t="s">
        <v>907</v>
      </c>
      <c r="DS207" t="s">
        <v>917</v>
      </c>
      <c r="DT207" t="s">
        <v>2162</v>
      </c>
      <c r="DU207" t="s">
        <v>84</v>
      </c>
      <c r="DV207" t="s">
        <v>294</v>
      </c>
      <c r="DW207" t="s">
        <v>423</v>
      </c>
      <c r="DX207" t="s">
        <v>95</v>
      </c>
      <c r="FQ207">
        <v>566874415</v>
      </c>
      <c r="FR207" t="s">
        <v>2163</v>
      </c>
      <c r="FS207" s="1">
        <v>45925.742662037039</v>
      </c>
      <c r="FV207" t="s">
        <v>134</v>
      </c>
      <c r="FW207" t="s">
        <v>135</v>
      </c>
      <c r="FX207" t="s">
        <v>136</v>
      </c>
      <c r="FZ207">
        <v>309</v>
      </c>
    </row>
    <row r="208" spans="1:182" hidden="1" x14ac:dyDescent="0.3">
      <c r="A208" s="1">
        <v>45925.516874942128</v>
      </c>
      <c r="B208" s="1">
        <v>45925.537011192129</v>
      </c>
      <c r="D208" t="s">
        <v>84</v>
      </c>
      <c r="E208" t="s">
        <v>1878</v>
      </c>
      <c r="F208" t="s">
        <v>1904</v>
      </c>
      <c r="G208" t="s">
        <v>176</v>
      </c>
      <c r="H208" t="s">
        <v>4122</v>
      </c>
      <c r="I208" t="s">
        <v>1905</v>
      </c>
      <c r="J208" t="s">
        <v>1906</v>
      </c>
      <c r="K208" t="s">
        <v>90</v>
      </c>
      <c r="L208" t="s">
        <v>1907</v>
      </c>
      <c r="M208" t="s">
        <v>1908</v>
      </c>
      <c r="N208" t="s">
        <v>1909</v>
      </c>
      <c r="O208">
        <v>-15.164645800000001</v>
      </c>
      <c r="P208">
        <v>22.997745900000002</v>
      </c>
      <c r="Q208">
        <v>1017</v>
      </c>
      <c r="R208">
        <v>4.5659999999999998</v>
      </c>
      <c r="S208" t="s">
        <v>84</v>
      </c>
      <c r="T208" t="s">
        <v>182</v>
      </c>
      <c r="U208">
        <v>9</v>
      </c>
      <c r="V208" t="s">
        <v>212</v>
      </c>
      <c r="W208" t="s">
        <v>1910</v>
      </c>
      <c r="X208">
        <v>18</v>
      </c>
      <c r="Y208">
        <v>4</v>
      </c>
      <c r="Z208">
        <v>3</v>
      </c>
      <c r="AA208" t="s">
        <v>96</v>
      </c>
      <c r="AB208" t="s">
        <v>97</v>
      </c>
      <c r="AC208" t="s">
        <v>98</v>
      </c>
      <c r="AD208" t="s">
        <v>280</v>
      </c>
      <c r="AE208" t="s">
        <v>100</v>
      </c>
      <c r="AF208" t="s">
        <v>907</v>
      </c>
      <c r="AG208">
        <v>875</v>
      </c>
      <c r="AH208" t="s">
        <v>304</v>
      </c>
      <c r="AI208" t="s">
        <v>907</v>
      </c>
      <c r="AJ208" s="5">
        <v>584</v>
      </c>
      <c r="AK208" t="s">
        <v>102</v>
      </c>
      <c r="AL208" t="s">
        <v>907</v>
      </c>
      <c r="AM208" t="s">
        <v>253</v>
      </c>
      <c r="AN208" t="s">
        <v>907</v>
      </c>
      <c r="AO208" t="s">
        <v>1911</v>
      </c>
      <c r="AP208" t="s">
        <v>1912</v>
      </c>
      <c r="AQ208" t="s">
        <v>466</v>
      </c>
      <c r="AR208" t="s">
        <v>95</v>
      </c>
      <c r="AS208">
        <v>15</v>
      </c>
      <c r="AT208">
        <v>0</v>
      </c>
      <c r="AU208">
        <v>0</v>
      </c>
      <c r="AV208">
        <v>0</v>
      </c>
      <c r="AW208">
        <v>15</v>
      </c>
      <c r="AX208">
        <v>0</v>
      </c>
      <c r="AY208">
        <v>0</v>
      </c>
      <c r="AZ208" t="s">
        <v>929</v>
      </c>
      <c r="BA208" t="s">
        <v>95</v>
      </c>
      <c r="BB208" t="s">
        <v>154</v>
      </c>
      <c r="BC208" t="s">
        <v>907</v>
      </c>
      <c r="BD208" t="s">
        <v>107</v>
      </c>
      <c r="BE208" t="s">
        <v>258</v>
      </c>
      <c r="BF208" t="s">
        <v>3964</v>
      </c>
      <c r="BG208" t="s">
        <v>790</v>
      </c>
      <c r="BH208">
        <v>200</v>
      </c>
      <c r="BL208">
        <v>79</v>
      </c>
      <c r="BN208">
        <v>6</v>
      </c>
      <c r="BP208">
        <v>36</v>
      </c>
      <c r="BR208">
        <v>25</v>
      </c>
      <c r="BT208">
        <v>15</v>
      </c>
      <c r="BV208">
        <v>15</v>
      </c>
      <c r="BX208">
        <v>25</v>
      </c>
      <c r="BY208" t="s">
        <v>189</v>
      </c>
      <c r="BZ208">
        <v>4</v>
      </c>
      <c r="CA208">
        <v>9</v>
      </c>
      <c r="CB208" t="s">
        <v>84</v>
      </c>
      <c r="CC208" t="s">
        <v>84</v>
      </c>
      <c r="CD208" t="s">
        <v>1901</v>
      </c>
      <c r="CE208" t="s">
        <v>4249</v>
      </c>
      <c r="CF208" t="s">
        <v>1913</v>
      </c>
      <c r="CG208" t="s">
        <v>907</v>
      </c>
      <c r="CH208">
        <v>6</v>
      </c>
      <c r="CI208" t="s">
        <v>84</v>
      </c>
      <c r="CJ208" t="s">
        <v>336</v>
      </c>
      <c r="CK208" t="s">
        <v>289</v>
      </c>
      <c r="CL208" t="s">
        <v>456</v>
      </c>
      <c r="CM208" t="s">
        <v>115</v>
      </c>
      <c r="CN208" t="s">
        <v>3874</v>
      </c>
      <c r="CO208" t="s">
        <v>95</v>
      </c>
      <c r="CP208" t="s">
        <v>907</v>
      </c>
      <c r="CQ208" t="s">
        <v>116</v>
      </c>
      <c r="CR208" t="s">
        <v>84</v>
      </c>
      <c r="CS208" t="s">
        <v>117</v>
      </c>
      <c r="CT208" t="s">
        <v>163</v>
      </c>
      <c r="CU208" t="s">
        <v>438</v>
      </c>
      <c r="CV208" t="s">
        <v>812</v>
      </c>
      <c r="CW208" t="s">
        <v>495</v>
      </c>
      <c r="CX208" t="s">
        <v>166</v>
      </c>
      <c r="CY208" t="s">
        <v>167</v>
      </c>
      <c r="CZ208" t="s">
        <v>715</v>
      </c>
      <c r="DA208">
        <v>4</v>
      </c>
      <c r="DB208" s="10">
        <v>16250</v>
      </c>
      <c r="DC208" t="s">
        <v>795</v>
      </c>
      <c r="DD208" t="s">
        <v>907</v>
      </c>
      <c r="DE208">
        <v>1</v>
      </c>
      <c r="DF208">
        <v>21</v>
      </c>
      <c r="DG208" t="s">
        <v>84</v>
      </c>
      <c r="DH208" t="s">
        <v>95</v>
      </c>
      <c r="DI208" t="s">
        <v>907</v>
      </c>
      <c r="DJ208" t="s">
        <v>907</v>
      </c>
      <c r="DK208" t="s">
        <v>907</v>
      </c>
      <c r="DL208" t="s">
        <v>907</v>
      </c>
      <c r="DM208" t="s">
        <v>291</v>
      </c>
      <c r="DN208" t="s">
        <v>907</v>
      </c>
      <c r="DO208" t="s">
        <v>907</v>
      </c>
      <c r="DP208">
        <v>3</v>
      </c>
      <c r="DQ208" t="s">
        <v>202</v>
      </c>
      <c r="DR208" t="s">
        <v>907</v>
      </c>
      <c r="DS208" t="s">
        <v>270</v>
      </c>
      <c r="DT208" t="s">
        <v>1914</v>
      </c>
      <c r="DU208" t="s">
        <v>95</v>
      </c>
      <c r="DV208" t="s">
        <v>907</v>
      </c>
      <c r="DW208" t="s">
        <v>907</v>
      </c>
      <c r="DX208" t="s">
        <v>907</v>
      </c>
      <c r="FQ208">
        <v>566859540</v>
      </c>
      <c r="FR208" t="s">
        <v>1915</v>
      </c>
      <c r="FS208" s="1">
        <v>45925.726898148147</v>
      </c>
      <c r="FV208" t="s">
        <v>134</v>
      </c>
      <c r="FW208" t="s">
        <v>135</v>
      </c>
      <c r="FX208" t="s">
        <v>136</v>
      </c>
      <c r="FZ208">
        <v>288</v>
      </c>
    </row>
    <row r="209" spans="1:182" x14ac:dyDescent="0.3">
      <c r="A209" s="1">
        <v>45924.607551504632</v>
      </c>
      <c r="B209" s="1">
        <v>45924.773280046298</v>
      </c>
      <c r="D209" t="s">
        <v>84</v>
      </c>
      <c r="E209" t="s">
        <v>3876</v>
      </c>
      <c r="F209" t="s">
        <v>1170</v>
      </c>
      <c r="G209" t="s">
        <v>176</v>
      </c>
      <c r="H209" t="s">
        <v>4121</v>
      </c>
      <c r="I209" t="s">
        <v>1171</v>
      </c>
      <c r="J209" t="s">
        <v>1172</v>
      </c>
      <c r="K209" t="s">
        <v>90</v>
      </c>
      <c r="L209" t="s">
        <v>1173</v>
      </c>
      <c r="M209" t="s">
        <v>671</v>
      </c>
      <c r="S209" t="s">
        <v>84</v>
      </c>
      <c r="T209" t="s">
        <v>94</v>
      </c>
      <c r="U209">
        <v>6</v>
      </c>
      <c r="V209" t="s">
        <v>95</v>
      </c>
      <c r="W209" t="s">
        <v>907</v>
      </c>
      <c r="X209">
        <v>9</v>
      </c>
      <c r="Y209">
        <v>3</v>
      </c>
      <c r="Z209">
        <v>1</v>
      </c>
      <c r="AA209" t="s">
        <v>504</v>
      </c>
      <c r="AB209" t="s">
        <v>97</v>
      </c>
      <c r="AC209" t="s">
        <v>144</v>
      </c>
      <c r="AD209" t="s">
        <v>99</v>
      </c>
      <c r="AE209" t="s">
        <v>304</v>
      </c>
      <c r="AF209" t="s">
        <v>907</v>
      </c>
      <c r="AG209">
        <v>7000</v>
      </c>
      <c r="AH209" t="s">
        <v>966</v>
      </c>
      <c r="AI209" t="s">
        <v>907</v>
      </c>
      <c r="AJ209" s="5">
        <v>5000</v>
      </c>
      <c r="AK209" t="s">
        <v>304</v>
      </c>
      <c r="AL209" t="s">
        <v>907</v>
      </c>
      <c r="AM209" t="s">
        <v>907</v>
      </c>
      <c r="AN209" t="s">
        <v>907</v>
      </c>
      <c r="AQ209" t="s">
        <v>907</v>
      </c>
      <c r="AR209" t="s">
        <v>907</v>
      </c>
      <c r="AS209">
        <v>0</v>
      </c>
      <c r="AT209">
        <v>0</v>
      </c>
      <c r="AU209">
        <v>0</v>
      </c>
      <c r="AV209">
        <v>0</v>
      </c>
      <c r="AW209">
        <v>0</v>
      </c>
      <c r="AX209">
        <v>0</v>
      </c>
      <c r="AY209">
        <v>0</v>
      </c>
      <c r="AZ209" t="s">
        <v>106</v>
      </c>
      <c r="BA209" t="s">
        <v>907</v>
      </c>
      <c r="BB209" t="s">
        <v>154</v>
      </c>
      <c r="BC209" t="s">
        <v>907</v>
      </c>
      <c r="BD209" t="s">
        <v>907</v>
      </c>
      <c r="BE209" t="s">
        <v>907</v>
      </c>
      <c r="BF209" t="s">
        <v>907</v>
      </c>
      <c r="BG209" t="s">
        <v>156</v>
      </c>
      <c r="BH209">
        <v>27</v>
      </c>
      <c r="BL209">
        <v>17</v>
      </c>
      <c r="BN209">
        <v>2</v>
      </c>
      <c r="BP209">
        <v>0</v>
      </c>
      <c r="BR209">
        <v>0</v>
      </c>
      <c r="BT209">
        <v>2</v>
      </c>
      <c r="BV209">
        <v>0</v>
      </c>
      <c r="BX209">
        <v>6</v>
      </c>
      <c r="BY209" t="s">
        <v>189</v>
      </c>
      <c r="BZ209">
        <v>2</v>
      </c>
      <c r="CA209">
        <v>12</v>
      </c>
      <c r="CB209" t="s">
        <v>84</v>
      </c>
      <c r="CC209" t="s">
        <v>84</v>
      </c>
      <c r="CD209" t="s">
        <v>1174</v>
      </c>
      <c r="CE209" t="s">
        <v>4250</v>
      </c>
      <c r="CF209" t="s">
        <v>1175</v>
      </c>
      <c r="CG209" t="s">
        <v>907</v>
      </c>
      <c r="CH209">
        <v>6</v>
      </c>
      <c r="CI209" t="s">
        <v>84</v>
      </c>
      <c r="CJ209" t="s">
        <v>160</v>
      </c>
      <c r="CK209" t="s">
        <v>113</v>
      </c>
      <c r="CL209" t="s">
        <v>1176</v>
      </c>
      <c r="CM209" t="s">
        <v>162</v>
      </c>
      <c r="CN209" t="s">
        <v>421</v>
      </c>
      <c r="CO209" t="s">
        <v>95</v>
      </c>
      <c r="CP209" t="s">
        <v>907</v>
      </c>
      <c r="CQ209" t="s">
        <v>116</v>
      </c>
      <c r="CR209" t="s">
        <v>95</v>
      </c>
      <c r="CS209" t="s">
        <v>907</v>
      </c>
      <c r="CT209" t="s">
        <v>907</v>
      </c>
      <c r="CU209" t="s">
        <v>907</v>
      </c>
      <c r="CV209" t="s">
        <v>907</v>
      </c>
      <c r="CW209" t="s">
        <v>907</v>
      </c>
      <c r="CX209" t="s">
        <v>166</v>
      </c>
      <c r="CY209" t="s">
        <v>167</v>
      </c>
      <c r="CZ209" t="s">
        <v>382</v>
      </c>
      <c r="DA209">
        <v>3</v>
      </c>
      <c r="DB209" s="10">
        <v>21000</v>
      </c>
      <c r="DC209" t="s">
        <v>169</v>
      </c>
      <c r="DD209" t="s">
        <v>907</v>
      </c>
      <c r="DE209">
        <v>7</v>
      </c>
      <c r="DF209">
        <v>15</v>
      </c>
      <c r="DG209" t="s">
        <v>95</v>
      </c>
      <c r="DH209" t="s">
        <v>95</v>
      </c>
      <c r="DI209" t="s">
        <v>907</v>
      </c>
      <c r="DJ209" t="s">
        <v>907</v>
      </c>
      <c r="DK209" t="s">
        <v>907</v>
      </c>
      <c r="DL209" t="s">
        <v>907</v>
      </c>
      <c r="DM209" t="s">
        <v>291</v>
      </c>
      <c r="DN209" t="s">
        <v>907</v>
      </c>
      <c r="DO209" t="s">
        <v>907</v>
      </c>
      <c r="DP209">
        <v>2</v>
      </c>
      <c r="DQ209" t="s">
        <v>441</v>
      </c>
      <c r="DR209" t="s">
        <v>907</v>
      </c>
      <c r="DS209" t="s">
        <v>882</v>
      </c>
      <c r="DT209" t="s">
        <v>552</v>
      </c>
      <c r="DU209" t="s">
        <v>95</v>
      </c>
      <c r="DV209" t="s">
        <v>907</v>
      </c>
      <c r="DW209" t="s">
        <v>907</v>
      </c>
      <c r="DX209" t="s">
        <v>907</v>
      </c>
      <c r="FQ209">
        <v>565986524</v>
      </c>
      <c r="FR209" t="s">
        <v>1177</v>
      </c>
      <c r="FS209" s="1">
        <v>45924.707743055558</v>
      </c>
      <c r="FV209" t="s">
        <v>134</v>
      </c>
      <c r="FW209" t="s">
        <v>135</v>
      </c>
      <c r="FX209" t="s">
        <v>136</v>
      </c>
      <c r="FZ209">
        <v>202</v>
      </c>
    </row>
    <row r="210" spans="1:182" hidden="1" x14ac:dyDescent="0.3">
      <c r="A210" s="1">
        <v>45925.549194340281</v>
      </c>
      <c r="B210" s="1">
        <v>45925.567906921293</v>
      </c>
      <c r="D210" t="s">
        <v>84</v>
      </c>
      <c r="E210" t="s">
        <v>297</v>
      </c>
      <c r="F210" t="s">
        <v>2654</v>
      </c>
      <c r="G210" t="s">
        <v>176</v>
      </c>
      <c r="H210" t="s">
        <v>4122</v>
      </c>
      <c r="I210" t="s">
        <v>2655</v>
      </c>
      <c r="J210" t="s">
        <v>2656</v>
      </c>
      <c r="K210" t="s">
        <v>90</v>
      </c>
      <c r="L210" t="s">
        <v>2657</v>
      </c>
      <c r="M210" t="s">
        <v>1871</v>
      </c>
      <c r="N210" t="s">
        <v>2658</v>
      </c>
      <c r="O210">
        <v>-15.1975122</v>
      </c>
      <c r="P210">
        <v>22.973604600000002</v>
      </c>
      <c r="Q210">
        <v>1030.591064453125</v>
      </c>
      <c r="R210">
        <v>4.1369999999999996</v>
      </c>
      <c r="S210" t="s">
        <v>84</v>
      </c>
      <c r="T210" t="s">
        <v>94</v>
      </c>
      <c r="U210">
        <v>7</v>
      </c>
      <c r="V210" t="s">
        <v>95</v>
      </c>
      <c r="W210" t="s">
        <v>907</v>
      </c>
      <c r="X210">
        <v>10</v>
      </c>
      <c r="Y210">
        <v>1</v>
      </c>
      <c r="Z210">
        <v>1</v>
      </c>
      <c r="AA210" t="s">
        <v>465</v>
      </c>
      <c r="AB210" t="s">
        <v>97</v>
      </c>
      <c r="AC210" t="s">
        <v>98</v>
      </c>
      <c r="AD210" t="s">
        <v>280</v>
      </c>
      <c r="AE210" t="s">
        <v>304</v>
      </c>
      <c r="AF210" t="s">
        <v>907</v>
      </c>
      <c r="AG210">
        <v>6000</v>
      </c>
      <c r="AH210" t="s">
        <v>966</v>
      </c>
      <c r="AI210" t="s">
        <v>907</v>
      </c>
      <c r="AJ210" s="6">
        <v>500</v>
      </c>
      <c r="AK210" t="s">
        <v>102</v>
      </c>
      <c r="AL210" t="s">
        <v>907</v>
      </c>
      <c r="AM210" t="s">
        <v>2547</v>
      </c>
      <c r="AN210" t="s">
        <v>907</v>
      </c>
      <c r="AO210" t="s">
        <v>267</v>
      </c>
      <c r="AP210" t="s">
        <v>2659</v>
      </c>
      <c r="AQ210" t="s">
        <v>2549</v>
      </c>
      <c r="AR210" t="s">
        <v>84</v>
      </c>
      <c r="AS210">
        <v>0</v>
      </c>
      <c r="AT210">
        <v>0</v>
      </c>
      <c r="AU210">
        <v>0</v>
      </c>
      <c r="AV210">
        <v>0</v>
      </c>
      <c r="AW210">
        <v>0</v>
      </c>
      <c r="AX210">
        <v>0</v>
      </c>
      <c r="AY210">
        <v>0</v>
      </c>
      <c r="AZ210" t="s">
        <v>929</v>
      </c>
      <c r="BA210" t="s">
        <v>95</v>
      </c>
      <c r="BB210" t="s">
        <v>154</v>
      </c>
      <c r="BC210" t="s">
        <v>907</v>
      </c>
      <c r="BD210" t="s">
        <v>257</v>
      </c>
      <c r="BE210" t="s">
        <v>258</v>
      </c>
      <c r="BF210" t="s">
        <v>4005</v>
      </c>
      <c r="BG210" t="s">
        <v>156</v>
      </c>
      <c r="BH210">
        <v>105</v>
      </c>
      <c r="BL210">
        <v>42</v>
      </c>
      <c r="BN210">
        <v>6</v>
      </c>
      <c r="BP210">
        <v>10</v>
      </c>
      <c r="BR210">
        <v>0</v>
      </c>
      <c r="BT210">
        <v>15</v>
      </c>
      <c r="BV210">
        <v>9</v>
      </c>
      <c r="BX210">
        <v>23</v>
      </c>
      <c r="BY210" t="s">
        <v>189</v>
      </c>
      <c r="BZ210">
        <v>2</v>
      </c>
      <c r="CA210">
        <v>56</v>
      </c>
      <c r="CB210" t="s">
        <v>84</v>
      </c>
      <c r="CC210" t="s">
        <v>84</v>
      </c>
      <c r="CD210" t="s">
        <v>2660</v>
      </c>
      <c r="CE210" t="s">
        <v>1998</v>
      </c>
      <c r="CF210" t="s">
        <v>1577</v>
      </c>
      <c r="CG210" t="s">
        <v>907</v>
      </c>
      <c r="CH210">
        <v>6</v>
      </c>
      <c r="CI210" t="s">
        <v>84</v>
      </c>
      <c r="CJ210" t="s">
        <v>586</v>
      </c>
      <c r="CK210" t="s">
        <v>113</v>
      </c>
      <c r="CL210" t="s">
        <v>1196</v>
      </c>
      <c r="CM210" t="s">
        <v>193</v>
      </c>
      <c r="CN210" t="s">
        <v>3874</v>
      </c>
      <c r="CO210" t="s">
        <v>95</v>
      </c>
      <c r="CP210" t="s">
        <v>907</v>
      </c>
      <c r="CQ210" t="s">
        <v>116</v>
      </c>
      <c r="CR210" t="s">
        <v>84</v>
      </c>
      <c r="CS210" t="s">
        <v>117</v>
      </c>
      <c r="CT210" t="s">
        <v>907</v>
      </c>
      <c r="CU210" t="s">
        <v>3869</v>
      </c>
      <c r="CV210" t="s">
        <v>119</v>
      </c>
      <c r="CW210" t="s">
        <v>2551</v>
      </c>
      <c r="CX210" t="s">
        <v>166</v>
      </c>
      <c r="CY210" t="s">
        <v>167</v>
      </c>
      <c r="CZ210" t="s">
        <v>2552</v>
      </c>
      <c r="DA210">
        <v>13</v>
      </c>
      <c r="DB210" s="10">
        <v>45500</v>
      </c>
      <c r="DC210" t="s">
        <v>169</v>
      </c>
      <c r="DD210" t="s">
        <v>907</v>
      </c>
      <c r="DE210">
        <v>2</v>
      </c>
      <c r="DF210">
        <v>15</v>
      </c>
      <c r="DG210" t="s">
        <v>95</v>
      </c>
      <c r="DH210" t="s">
        <v>95</v>
      </c>
      <c r="DI210" t="s">
        <v>907</v>
      </c>
      <c r="DJ210" t="s">
        <v>907</v>
      </c>
      <c r="DK210" t="s">
        <v>907</v>
      </c>
      <c r="DL210" t="s">
        <v>907</v>
      </c>
      <c r="DM210" t="s">
        <v>291</v>
      </c>
      <c r="DN210" t="s">
        <v>907</v>
      </c>
      <c r="DO210" t="s">
        <v>907</v>
      </c>
      <c r="DP210">
        <v>20</v>
      </c>
      <c r="DQ210" t="s">
        <v>441</v>
      </c>
      <c r="DR210" t="s">
        <v>907</v>
      </c>
      <c r="DS210" t="s">
        <v>2661</v>
      </c>
      <c r="DT210" t="s">
        <v>2662</v>
      </c>
      <c r="DU210" t="s">
        <v>95</v>
      </c>
      <c r="DV210" t="s">
        <v>907</v>
      </c>
      <c r="DW210" t="s">
        <v>907</v>
      </c>
      <c r="DX210" t="s">
        <v>907</v>
      </c>
      <c r="FQ210">
        <v>567124739</v>
      </c>
      <c r="FR210" t="s">
        <v>2663</v>
      </c>
      <c r="FS210" s="1">
        <v>45926.220277777778</v>
      </c>
      <c r="FV210" t="s">
        <v>134</v>
      </c>
      <c r="FW210" t="s">
        <v>135</v>
      </c>
      <c r="FX210" t="s">
        <v>136</v>
      </c>
      <c r="FZ210">
        <v>389</v>
      </c>
    </row>
    <row r="211" spans="1:182" x14ac:dyDescent="0.3">
      <c r="A211" s="1">
        <v>45924.44645625</v>
      </c>
      <c r="B211" s="1">
        <v>45924.468707384258</v>
      </c>
      <c r="D211" t="s">
        <v>84</v>
      </c>
      <c r="E211" t="s">
        <v>297</v>
      </c>
      <c r="F211" t="s">
        <v>1519</v>
      </c>
      <c r="G211" t="s">
        <v>176</v>
      </c>
      <c r="H211" t="s">
        <v>4122</v>
      </c>
      <c r="I211" t="s">
        <v>1520</v>
      </c>
      <c r="J211" t="s">
        <v>1521</v>
      </c>
      <c r="K211" t="s">
        <v>90</v>
      </c>
      <c r="L211" t="s">
        <v>1522</v>
      </c>
      <c r="M211" t="s">
        <v>722</v>
      </c>
      <c r="N211" t="s">
        <v>1523</v>
      </c>
      <c r="O211">
        <v>-15.327781999999999</v>
      </c>
      <c r="P211">
        <v>23.039981699999998</v>
      </c>
      <c r="Q211">
        <v>1027.44580078125</v>
      </c>
      <c r="R211">
        <v>4.6580000000000004</v>
      </c>
      <c r="S211" t="s">
        <v>84</v>
      </c>
      <c r="T211" t="s">
        <v>94</v>
      </c>
      <c r="U211">
        <v>7</v>
      </c>
      <c r="V211" t="s">
        <v>95</v>
      </c>
      <c r="W211" t="s">
        <v>907</v>
      </c>
      <c r="X211">
        <v>24</v>
      </c>
      <c r="Y211">
        <v>30</v>
      </c>
      <c r="Z211">
        <v>1</v>
      </c>
      <c r="AA211" t="s">
        <v>279</v>
      </c>
      <c r="AB211" t="s">
        <v>351</v>
      </c>
      <c r="AC211" t="s">
        <v>98</v>
      </c>
      <c r="AD211" t="s">
        <v>99</v>
      </c>
      <c r="AE211" t="s">
        <v>101</v>
      </c>
      <c r="AF211" t="s">
        <v>907</v>
      </c>
      <c r="AG211">
        <v>10000</v>
      </c>
      <c r="AH211" t="s">
        <v>3873</v>
      </c>
      <c r="AI211" t="s">
        <v>907</v>
      </c>
      <c r="AJ211" t="s">
        <v>907</v>
      </c>
      <c r="AK211" t="s">
        <v>102</v>
      </c>
      <c r="AL211" t="s">
        <v>907</v>
      </c>
      <c r="AM211" t="s">
        <v>4130</v>
      </c>
      <c r="AN211" t="s">
        <v>907</v>
      </c>
      <c r="AQ211" t="s">
        <v>466</v>
      </c>
      <c r="AR211" t="s">
        <v>95</v>
      </c>
      <c r="AS211">
        <v>0</v>
      </c>
      <c r="AT211">
        <v>0</v>
      </c>
      <c r="AU211">
        <v>0</v>
      </c>
      <c r="AV211">
        <v>0</v>
      </c>
      <c r="AW211">
        <v>0</v>
      </c>
      <c r="AX211">
        <v>0</v>
      </c>
      <c r="AY211">
        <v>0</v>
      </c>
      <c r="AZ211" t="s">
        <v>284</v>
      </c>
      <c r="BA211" t="s">
        <v>95</v>
      </c>
      <c r="BB211" t="s">
        <v>154</v>
      </c>
      <c r="BC211" t="s">
        <v>907</v>
      </c>
      <c r="BD211" t="s">
        <v>107</v>
      </c>
      <c r="BE211" t="s">
        <v>258</v>
      </c>
      <c r="BF211" t="s">
        <v>309</v>
      </c>
      <c r="BG211" t="s">
        <v>156</v>
      </c>
      <c r="BH211">
        <v>46</v>
      </c>
      <c r="BY211" t="s">
        <v>110</v>
      </c>
      <c r="BZ211" t="s">
        <v>907</v>
      </c>
      <c r="CA211" t="s">
        <v>907</v>
      </c>
      <c r="CB211" t="s">
        <v>84</v>
      </c>
      <c r="CC211" t="s">
        <v>84</v>
      </c>
      <c r="CD211" t="s">
        <v>1524</v>
      </c>
      <c r="CE211" t="s">
        <v>4250</v>
      </c>
      <c r="CF211" t="s">
        <v>3941</v>
      </c>
      <c r="CG211" t="s">
        <v>907</v>
      </c>
      <c r="CH211">
        <v>14</v>
      </c>
      <c r="CI211" t="s">
        <v>84</v>
      </c>
      <c r="CJ211" t="s">
        <v>262</v>
      </c>
      <c r="CK211" t="s">
        <v>289</v>
      </c>
      <c r="CL211" t="s">
        <v>1176</v>
      </c>
      <c r="CM211" t="s">
        <v>193</v>
      </c>
      <c r="CN211" t="s">
        <v>3868</v>
      </c>
      <c r="CO211" t="s">
        <v>95</v>
      </c>
      <c r="CP211" t="s">
        <v>907</v>
      </c>
      <c r="CQ211" t="s">
        <v>116</v>
      </c>
      <c r="CR211" t="s">
        <v>84</v>
      </c>
      <c r="CS211" t="s">
        <v>117</v>
      </c>
      <c r="CT211" t="s">
        <v>264</v>
      </c>
      <c r="CU211" t="s">
        <v>438</v>
      </c>
      <c r="CV211" t="s">
        <v>290</v>
      </c>
      <c r="CW211" t="s">
        <v>907</v>
      </c>
      <c r="CX211" t="s">
        <v>907</v>
      </c>
      <c r="CY211" t="s">
        <v>907</v>
      </c>
      <c r="CZ211" t="s">
        <v>907</v>
      </c>
      <c r="DA211" t="s">
        <v>907</v>
      </c>
      <c r="DB211" t="s">
        <v>907</v>
      </c>
      <c r="DC211" t="s">
        <v>907</v>
      </c>
      <c r="DD211" t="s">
        <v>907</v>
      </c>
      <c r="DE211" t="s">
        <v>907</v>
      </c>
      <c r="DF211" t="s">
        <v>907</v>
      </c>
      <c r="DG211" t="s">
        <v>95</v>
      </c>
      <c r="DH211" t="s">
        <v>95</v>
      </c>
      <c r="DI211" t="s">
        <v>907</v>
      </c>
      <c r="DJ211" t="s">
        <v>907</v>
      </c>
      <c r="DK211" t="s">
        <v>907</v>
      </c>
      <c r="DL211" t="s">
        <v>907</v>
      </c>
      <c r="DM211" t="s">
        <v>291</v>
      </c>
      <c r="DN211" t="s">
        <v>907</v>
      </c>
      <c r="DO211" t="s">
        <v>907</v>
      </c>
      <c r="DP211">
        <v>15</v>
      </c>
      <c r="DQ211" t="s">
        <v>441</v>
      </c>
      <c r="DR211" t="s">
        <v>907</v>
      </c>
      <c r="DS211" t="s">
        <v>270</v>
      </c>
      <c r="DT211" t="s">
        <v>1525</v>
      </c>
      <c r="DU211" t="s">
        <v>95</v>
      </c>
      <c r="DV211" t="s">
        <v>907</v>
      </c>
      <c r="DW211" t="s">
        <v>907</v>
      </c>
      <c r="DX211" t="s">
        <v>907</v>
      </c>
      <c r="FQ211">
        <v>566103047</v>
      </c>
      <c r="FR211" t="s">
        <v>1526</v>
      </c>
      <c r="FS211" s="1">
        <v>45924.855474537027</v>
      </c>
      <c r="FV211" t="s">
        <v>134</v>
      </c>
      <c r="FW211" t="s">
        <v>135</v>
      </c>
      <c r="FX211" t="s">
        <v>136</v>
      </c>
      <c r="FZ211">
        <v>249</v>
      </c>
    </row>
    <row r="212" spans="1:182" hidden="1" x14ac:dyDescent="0.3">
      <c r="A212" s="1">
        <v>45925.448958425928</v>
      </c>
      <c r="B212" s="1">
        <v>45925.459080416673</v>
      </c>
      <c r="D212" t="s">
        <v>84</v>
      </c>
      <c r="E212" t="s">
        <v>901</v>
      </c>
      <c r="F212" t="s">
        <v>1689</v>
      </c>
      <c r="G212" t="s">
        <v>176</v>
      </c>
      <c r="H212" t="s">
        <v>4122</v>
      </c>
      <c r="I212" t="s">
        <v>1690</v>
      </c>
      <c r="J212" t="s">
        <v>1691</v>
      </c>
      <c r="K212" t="s">
        <v>90</v>
      </c>
      <c r="L212" t="s">
        <v>3955</v>
      </c>
      <c r="M212" t="s">
        <v>277</v>
      </c>
      <c r="N212" t="s">
        <v>1692</v>
      </c>
      <c r="O212">
        <v>-15.3642717</v>
      </c>
      <c r="P212">
        <v>23.165331699999999</v>
      </c>
      <c r="Q212">
        <v>1029.8</v>
      </c>
      <c r="R212">
        <v>4.5</v>
      </c>
      <c r="S212" t="s">
        <v>84</v>
      </c>
      <c r="T212" t="s">
        <v>182</v>
      </c>
      <c r="U212">
        <v>14</v>
      </c>
      <c r="V212" t="s">
        <v>95</v>
      </c>
      <c r="W212" t="s">
        <v>907</v>
      </c>
      <c r="X212">
        <v>20</v>
      </c>
      <c r="Y212">
        <v>100</v>
      </c>
      <c r="Z212">
        <v>5</v>
      </c>
      <c r="AA212" t="s">
        <v>96</v>
      </c>
      <c r="AB212" t="s">
        <v>351</v>
      </c>
      <c r="AC212" t="s">
        <v>144</v>
      </c>
      <c r="AD212" t="s">
        <v>520</v>
      </c>
      <c r="AE212" t="s">
        <v>304</v>
      </c>
      <c r="AF212" t="s">
        <v>907</v>
      </c>
      <c r="AG212">
        <v>30000</v>
      </c>
      <c r="AH212" t="s">
        <v>147</v>
      </c>
      <c r="AI212" t="s">
        <v>907</v>
      </c>
      <c r="AJ212" s="5">
        <v>400</v>
      </c>
      <c r="AK212" t="s">
        <v>102</v>
      </c>
      <c r="AL212" t="s">
        <v>907</v>
      </c>
      <c r="AM212" t="s">
        <v>253</v>
      </c>
      <c r="AN212" t="s">
        <v>907</v>
      </c>
      <c r="AO212" t="s">
        <v>1693</v>
      </c>
      <c r="AP212" t="s">
        <v>1694</v>
      </c>
      <c r="AQ212" t="s">
        <v>1695</v>
      </c>
      <c r="AR212" t="s">
        <v>95</v>
      </c>
      <c r="AS212">
        <v>0</v>
      </c>
      <c r="AT212">
        <v>70</v>
      </c>
      <c r="AU212">
        <v>0</v>
      </c>
      <c r="AV212">
        <v>0</v>
      </c>
      <c r="AW212">
        <v>130</v>
      </c>
      <c r="AX212">
        <v>0</v>
      </c>
      <c r="AY212">
        <v>0</v>
      </c>
      <c r="AZ212" t="s">
        <v>106</v>
      </c>
      <c r="BA212" t="s">
        <v>95</v>
      </c>
      <c r="BB212" t="s">
        <v>308</v>
      </c>
      <c r="BC212" t="s">
        <v>907</v>
      </c>
      <c r="BD212" t="s">
        <v>107</v>
      </c>
      <c r="BE212" t="s">
        <v>258</v>
      </c>
      <c r="BF212" t="s">
        <v>403</v>
      </c>
      <c r="BG212" t="s">
        <v>790</v>
      </c>
      <c r="BH212">
        <v>60</v>
      </c>
      <c r="BL212">
        <v>19</v>
      </c>
      <c r="BN212">
        <v>3</v>
      </c>
      <c r="BP212">
        <v>0</v>
      </c>
      <c r="BR212">
        <v>0</v>
      </c>
      <c r="BT212">
        <v>16</v>
      </c>
      <c r="BV212">
        <v>0</v>
      </c>
      <c r="BX212">
        <v>22</v>
      </c>
      <c r="BY212" t="s">
        <v>110</v>
      </c>
      <c r="BZ212" t="s">
        <v>907</v>
      </c>
      <c r="CA212" t="s">
        <v>907</v>
      </c>
      <c r="CB212" t="s">
        <v>84</v>
      </c>
      <c r="CC212" t="s">
        <v>84</v>
      </c>
      <c r="CD212" t="s">
        <v>334</v>
      </c>
      <c r="CE212" t="s">
        <v>4250</v>
      </c>
      <c r="CF212" t="s">
        <v>1696</v>
      </c>
      <c r="CG212" t="s">
        <v>907</v>
      </c>
      <c r="CH212">
        <v>6</v>
      </c>
      <c r="CI212" t="s">
        <v>95</v>
      </c>
      <c r="CJ212" t="s">
        <v>907</v>
      </c>
      <c r="CK212" t="s">
        <v>289</v>
      </c>
      <c r="CL212" t="s">
        <v>4262</v>
      </c>
      <c r="CM212" t="s">
        <v>193</v>
      </c>
      <c r="CN212" t="s">
        <v>3903</v>
      </c>
      <c r="CO212" t="s">
        <v>95</v>
      </c>
      <c r="CP212" t="s">
        <v>907</v>
      </c>
      <c r="CQ212" t="s">
        <v>116</v>
      </c>
      <c r="CR212" t="s">
        <v>84</v>
      </c>
      <c r="CS212" t="s">
        <v>117</v>
      </c>
      <c r="CT212" t="s">
        <v>163</v>
      </c>
      <c r="CU212" t="s">
        <v>3869</v>
      </c>
      <c r="CV212" t="s">
        <v>119</v>
      </c>
      <c r="CW212" t="s">
        <v>696</v>
      </c>
      <c r="CX212" t="s">
        <v>166</v>
      </c>
      <c r="CY212" t="s">
        <v>167</v>
      </c>
      <c r="CZ212" t="s">
        <v>916</v>
      </c>
      <c r="DA212">
        <v>6</v>
      </c>
      <c r="DB212" s="10">
        <v>50000</v>
      </c>
      <c r="DC212" t="s">
        <v>169</v>
      </c>
      <c r="DD212" t="s">
        <v>907</v>
      </c>
      <c r="DE212">
        <v>2</v>
      </c>
      <c r="DF212">
        <v>12</v>
      </c>
      <c r="DG212" t="s">
        <v>95</v>
      </c>
      <c r="DH212" t="s">
        <v>95</v>
      </c>
      <c r="DI212" t="s">
        <v>907</v>
      </c>
      <c r="DJ212" t="s">
        <v>907</v>
      </c>
      <c r="DK212" t="s">
        <v>907</v>
      </c>
      <c r="DL212" t="s">
        <v>907</v>
      </c>
      <c r="DM212" t="s">
        <v>291</v>
      </c>
      <c r="DN212" t="s">
        <v>907</v>
      </c>
      <c r="DO212" t="s">
        <v>907</v>
      </c>
      <c r="DP212">
        <v>5</v>
      </c>
      <c r="DQ212" t="s">
        <v>128</v>
      </c>
      <c r="DR212" t="s">
        <v>907</v>
      </c>
      <c r="DS212" t="s">
        <v>917</v>
      </c>
      <c r="DT212" t="s">
        <v>946</v>
      </c>
      <c r="DU212" t="s">
        <v>84</v>
      </c>
      <c r="DV212" t="s">
        <v>294</v>
      </c>
      <c r="DW212" t="s">
        <v>533</v>
      </c>
      <c r="DX212" t="s">
        <v>95</v>
      </c>
      <c r="FQ212">
        <v>566741433</v>
      </c>
      <c r="FR212" t="s">
        <v>1697</v>
      </c>
      <c r="FS212" s="1">
        <v>45925.627222222232</v>
      </c>
      <c r="FV212" t="s">
        <v>134</v>
      </c>
      <c r="FW212" t="s">
        <v>135</v>
      </c>
      <c r="FX212" t="s">
        <v>136</v>
      </c>
      <c r="FZ212">
        <v>265</v>
      </c>
    </row>
    <row r="213" spans="1:182" hidden="1" x14ac:dyDescent="0.3">
      <c r="A213" s="1">
        <v>45930.415636238416</v>
      </c>
      <c r="B213" s="1">
        <v>45930.438867083343</v>
      </c>
      <c r="D213" t="s">
        <v>84</v>
      </c>
      <c r="E213" t="s">
        <v>901</v>
      </c>
      <c r="F213" t="s">
        <v>3584</v>
      </c>
      <c r="G213" t="s">
        <v>176</v>
      </c>
      <c r="H213" t="s">
        <v>4122</v>
      </c>
      <c r="I213" t="s">
        <v>3559</v>
      </c>
      <c r="J213" t="s">
        <v>3585</v>
      </c>
      <c r="K213" t="s">
        <v>90</v>
      </c>
      <c r="L213" t="s">
        <v>3586</v>
      </c>
      <c r="M213" t="s">
        <v>3501</v>
      </c>
      <c r="N213" t="s">
        <v>3587</v>
      </c>
      <c r="O213">
        <v>-15.242355</v>
      </c>
      <c r="P213">
        <v>22.877414999999999</v>
      </c>
      <c r="Q213">
        <v>1011.7</v>
      </c>
      <c r="R213">
        <v>4.5</v>
      </c>
      <c r="S213" t="s">
        <v>84</v>
      </c>
      <c r="T213" t="s">
        <v>182</v>
      </c>
      <c r="U213">
        <v>8</v>
      </c>
      <c r="V213" t="s">
        <v>95</v>
      </c>
      <c r="W213" t="s">
        <v>907</v>
      </c>
      <c r="X213">
        <v>24</v>
      </c>
      <c r="Y213">
        <v>12</v>
      </c>
      <c r="Z213">
        <v>3</v>
      </c>
      <c r="AA213" t="s">
        <v>96</v>
      </c>
      <c r="AB213" t="s">
        <v>97</v>
      </c>
      <c r="AC213" t="s">
        <v>98</v>
      </c>
      <c r="AD213" t="s">
        <v>252</v>
      </c>
      <c r="AE213" t="s">
        <v>101</v>
      </c>
      <c r="AF213" t="s">
        <v>907</v>
      </c>
      <c r="AG213">
        <v>6000</v>
      </c>
      <c r="AH213" t="s">
        <v>3873</v>
      </c>
      <c r="AI213" t="s">
        <v>907</v>
      </c>
      <c r="AJ213" t="s">
        <v>907</v>
      </c>
      <c r="AK213" t="s">
        <v>102</v>
      </c>
      <c r="AL213" t="s">
        <v>907</v>
      </c>
      <c r="AM213" t="s">
        <v>4130</v>
      </c>
      <c r="AN213" t="s">
        <v>907</v>
      </c>
      <c r="AQ213" t="s">
        <v>3588</v>
      </c>
      <c r="AR213" t="s">
        <v>95</v>
      </c>
      <c r="AS213">
        <v>0</v>
      </c>
      <c r="AT213">
        <v>0</v>
      </c>
      <c r="AU213">
        <v>0</v>
      </c>
      <c r="AV213">
        <v>0</v>
      </c>
      <c r="AW213">
        <v>0</v>
      </c>
      <c r="AX213">
        <v>0</v>
      </c>
      <c r="AY213">
        <v>0</v>
      </c>
      <c r="AZ213" t="s">
        <v>929</v>
      </c>
      <c r="BA213" t="s">
        <v>95</v>
      </c>
      <c r="BB213" t="s">
        <v>308</v>
      </c>
      <c r="BC213" t="s">
        <v>907</v>
      </c>
      <c r="BD213" t="s">
        <v>107</v>
      </c>
      <c r="BE213" t="s">
        <v>258</v>
      </c>
      <c r="BF213" t="s">
        <v>3589</v>
      </c>
      <c r="BG213" t="s">
        <v>156</v>
      </c>
      <c r="BH213">
        <v>51</v>
      </c>
      <c r="BL213">
        <v>10</v>
      </c>
      <c r="BN213">
        <v>1</v>
      </c>
      <c r="BP213">
        <v>14</v>
      </c>
      <c r="BR213">
        <v>7</v>
      </c>
      <c r="BT213">
        <v>4</v>
      </c>
      <c r="BV213">
        <v>7</v>
      </c>
      <c r="BX213">
        <v>8</v>
      </c>
      <c r="BY213" t="s">
        <v>189</v>
      </c>
      <c r="BZ213">
        <v>3</v>
      </c>
      <c r="CA213">
        <v>37</v>
      </c>
      <c r="CB213" t="s">
        <v>84</v>
      </c>
      <c r="CC213" t="s">
        <v>84</v>
      </c>
      <c r="CD213" t="s">
        <v>811</v>
      </c>
      <c r="CE213" t="s">
        <v>4251</v>
      </c>
      <c r="CF213" t="s">
        <v>3590</v>
      </c>
      <c r="CG213" t="s">
        <v>907</v>
      </c>
      <c r="CH213">
        <v>6</v>
      </c>
      <c r="CI213" t="s">
        <v>95</v>
      </c>
      <c r="CJ213" t="s">
        <v>907</v>
      </c>
      <c r="CK213" t="s">
        <v>289</v>
      </c>
      <c r="CL213" t="s">
        <v>263</v>
      </c>
      <c r="CM213" t="s">
        <v>547</v>
      </c>
      <c r="CN213" t="s">
        <v>421</v>
      </c>
      <c r="CO213" t="s">
        <v>95</v>
      </c>
      <c r="CP213" t="s">
        <v>907</v>
      </c>
      <c r="CQ213" t="s">
        <v>116</v>
      </c>
      <c r="CR213" t="s">
        <v>95</v>
      </c>
      <c r="CS213" t="s">
        <v>907</v>
      </c>
      <c r="CT213" t="s">
        <v>907</v>
      </c>
      <c r="CU213" t="s">
        <v>907</v>
      </c>
      <c r="CV213" t="s">
        <v>812</v>
      </c>
      <c r="CW213" t="s">
        <v>696</v>
      </c>
      <c r="CX213" t="s">
        <v>166</v>
      </c>
      <c r="CY213" t="s">
        <v>167</v>
      </c>
      <c r="CZ213" t="s">
        <v>1668</v>
      </c>
      <c r="DA213">
        <v>9</v>
      </c>
      <c r="DB213" s="10">
        <v>70000</v>
      </c>
      <c r="DC213" t="s">
        <v>169</v>
      </c>
      <c r="DD213" t="s">
        <v>907</v>
      </c>
      <c r="DE213">
        <v>2</v>
      </c>
      <c r="DF213">
        <v>25</v>
      </c>
      <c r="DG213" t="s">
        <v>95</v>
      </c>
      <c r="DH213" t="s">
        <v>95</v>
      </c>
      <c r="DI213" t="s">
        <v>907</v>
      </c>
      <c r="DJ213" t="s">
        <v>907</v>
      </c>
      <c r="DK213" t="s">
        <v>907</v>
      </c>
      <c r="DL213" t="s">
        <v>907</v>
      </c>
      <c r="DM213" t="s">
        <v>291</v>
      </c>
      <c r="DN213" t="s">
        <v>907</v>
      </c>
      <c r="DO213" t="s">
        <v>907</v>
      </c>
      <c r="DP213">
        <v>0.5</v>
      </c>
      <c r="DQ213" t="s">
        <v>441</v>
      </c>
      <c r="DR213" t="s">
        <v>907</v>
      </c>
      <c r="DS213" t="s">
        <v>996</v>
      </c>
      <c r="DT213" t="s">
        <v>2672</v>
      </c>
      <c r="DU213" t="s">
        <v>84</v>
      </c>
      <c r="DV213" t="s">
        <v>294</v>
      </c>
      <c r="DW213" t="s">
        <v>132</v>
      </c>
      <c r="DX213" t="s">
        <v>95</v>
      </c>
      <c r="FQ213">
        <v>569919648</v>
      </c>
      <c r="FR213" t="s">
        <v>3591</v>
      </c>
      <c r="FS213" s="1">
        <v>45930.397662037038</v>
      </c>
      <c r="FV213" t="s">
        <v>134</v>
      </c>
      <c r="FW213" t="s">
        <v>135</v>
      </c>
      <c r="FX213" t="s">
        <v>136</v>
      </c>
      <c r="FZ213">
        <v>562</v>
      </c>
    </row>
    <row r="214" spans="1:182" hidden="1" x14ac:dyDescent="0.3">
      <c r="A214" s="1">
        <v>45926.405348472217</v>
      </c>
      <c r="B214" s="1">
        <v>45926.43944141204</v>
      </c>
      <c r="D214" t="s">
        <v>84</v>
      </c>
      <c r="E214" t="s">
        <v>297</v>
      </c>
      <c r="F214" t="s">
        <v>3035</v>
      </c>
      <c r="G214" t="s">
        <v>176</v>
      </c>
      <c r="H214" t="s">
        <v>4122</v>
      </c>
      <c r="I214" t="s">
        <v>3036</v>
      </c>
      <c r="J214" t="s">
        <v>3037</v>
      </c>
      <c r="K214" t="s">
        <v>90</v>
      </c>
      <c r="L214" t="s">
        <v>3038</v>
      </c>
      <c r="M214" t="s">
        <v>1871</v>
      </c>
      <c r="N214" t="s">
        <v>3039</v>
      </c>
      <c r="O214">
        <v>-15.2475383</v>
      </c>
      <c r="P214">
        <v>22.961561700000001</v>
      </c>
      <c r="Q214">
        <v>1026.8</v>
      </c>
      <c r="R214">
        <v>4.75</v>
      </c>
      <c r="S214" t="s">
        <v>84</v>
      </c>
      <c r="T214" t="s">
        <v>94</v>
      </c>
      <c r="U214">
        <v>10</v>
      </c>
      <c r="V214" t="s">
        <v>1403</v>
      </c>
      <c r="W214" t="s">
        <v>3040</v>
      </c>
      <c r="X214">
        <v>31</v>
      </c>
      <c r="Y214">
        <v>5</v>
      </c>
      <c r="Z214">
        <v>2</v>
      </c>
      <c r="AA214" t="s">
        <v>96</v>
      </c>
      <c r="AB214" t="s">
        <v>97</v>
      </c>
      <c r="AC214" t="s">
        <v>144</v>
      </c>
      <c r="AD214" t="s">
        <v>145</v>
      </c>
      <c r="AE214" t="s">
        <v>304</v>
      </c>
      <c r="AF214" t="s">
        <v>907</v>
      </c>
      <c r="AG214">
        <v>35000</v>
      </c>
      <c r="AH214" t="s">
        <v>3873</v>
      </c>
      <c r="AI214" t="s">
        <v>907</v>
      </c>
      <c r="AJ214" t="s">
        <v>907</v>
      </c>
      <c r="AK214" t="s">
        <v>102</v>
      </c>
      <c r="AL214" t="s">
        <v>907</v>
      </c>
      <c r="AM214" t="s">
        <v>4130</v>
      </c>
      <c r="AN214" t="s">
        <v>907</v>
      </c>
      <c r="AQ214" t="s">
        <v>466</v>
      </c>
      <c r="AR214" t="s">
        <v>95</v>
      </c>
      <c r="AS214">
        <v>0</v>
      </c>
      <c r="AT214">
        <v>0</v>
      </c>
      <c r="AU214">
        <v>0</v>
      </c>
      <c r="AV214">
        <v>0</v>
      </c>
      <c r="AW214">
        <v>0</v>
      </c>
      <c r="AX214">
        <v>0</v>
      </c>
      <c r="AY214">
        <v>0</v>
      </c>
      <c r="AZ214" t="s">
        <v>929</v>
      </c>
      <c r="BA214" t="s">
        <v>1313</v>
      </c>
      <c r="BB214" t="s">
        <v>154</v>
      </c>
      <c r="BC214" t="s">
        <v>907</v>
      </c>
      <c r="BD214" t="s">
        <v>107</v>
      </c>
      <c r="BE214" t="s">
        <v>363</v>
      </c>
      <c r="BF214" t="s">
        <v>1886</v>
      </c>
      <c r="BG214" t="s">
        <v>156</v>
      </c>
      <c r="BH214">
        <v>125</v>
      </c>
      <c r="BL214">
        <v>60</v>
      </c>
      <c r="BN214">
        <v>3</v>
      </c>
      <c r="BP214">
        <v>10</v>
      </c>
      <c r="BR214">
        <v>27</v>
      </c>
      <c r="BT214">
        <v>2</v>
      </c>
      <c r="BV214">
        <v>5</v>
      </c>
      <c r="BX214">
        <v>21</v>
      </c>
      <c r="BY214" t="s">
        <v>189</v>
      </c>
      <c r="BZ214">
        <v>2</v>
      </c>
      <c r="CA214">
        <v>102</v>
      </c>
      <c r="CB214" t="s">
        <v>84</v>
      </c>
      <c r="CC214" t="s">
        <v>84</v>
      </c>
      <c r="CD214" t="s">
        <v>3041</v>
      </c>
      <c r="CE214" t="s">
        <v>1998</v>
      </c>
      <c r="CF214" t="s">
        <v>4040</v>
      </c>
      <c r="CG214" t="s">
        <v>907</v>
      </c>
      <c r="CH214">
        <v>6</v>
      </c>
      <c r="CI214" t="s">
        <v>84</v>
      </c>
      <c r="CJ214" t="s">
        <v>160</v>
      </c>
      <c r="CK214" t="s">
        <v>1005</v>
      </c>
      <c r="CL214" t="s">
        <v>4262</v>
      </c>
      <c r="CM214" t="s">
        <v>193</v>
      </c>
      <c r="CN214" t="s">
        <v>3874</v>
      </c>
      <c r="CO214" t="s">
        <v>84</v>
      </c>
      <c r="CP214" t="s">
        <v>466</v>
      </c>
      <c r="CQ214" t="s">
        <v>116</v>
      </c>
      <c r="CR214" t="s">
        <v>84</v>
      </c>
      <c r="CS214" t="s">
        <v>117</v>
      </c>
      <c r="CT214" t="s">
        <v>907</v>
      </c>
      <c r="CU214" t="s">
        <v>3869</v>
      </c>
      <c r="CV214" t="s">
        <v>812</v>
      </c>
      <c r="CW214" t="s">
        <v>907</v>
      </c>
      <c r="CX214" t="s">
        <v>166</v>
      </c>
      <c r="CY214" t="s">
        <v>167</v>
      </c>
      <c r="CZ214" t="s">
        <v>1301</v>
      </c>
      <c r="DA214">
        <v>20</v>
      </c>
      <c r="DB214" s="10">
        <v>200000</v>
      </c>
      <c r="DC214" t="s">
        <v>123</v>
      </c>
      <c r="DD214" t="s">
        <v>3042</v>
      </c>
      <c r="DE214">
        <v>1</v>
      </c>
      <c r="DF214">
        <v>15</v>
      </c>
      <c r="DG214" t="s">
        <v>95</v>
      </c>
      <c r="DH214" t="s">
        <v>95</v>
      </c>
      <c r="DI214" t="s">
        <v>907</v>
      </c>
      <c r="DJ214" t="s">
        <v>907</v>
      </c>
      <c r="DK214" t="s">
        <v>907</v>
      </c>
      <c r="DL214" t="s">
        <v>907</v>
      </c>
      <c r="DM214" t="s">
        <v>125</v>
      </c>
      <c r="DN214" t="s">
        <v>3043</v>
      </c>
      <c r="DO214" t="s">
        <v>3044</v>
      </c>
      <c r="DP214">
        <v>27</v>
      </c>
      <c r="DQ214" t="s">
        <v>441</v>
      </c>
      <c r="DR214" t="s">
        <v>907</v>
      </c>
      <c r="DS214" t="s">
        <v>3045</v>
      </c>
      <c r="DT214" t="s">
        <v>3046</v>
      </c>
      <c r="DU214" t="s">
        <v>95</v>
      </c>
      <c r="DV214" t="s">
        <v>907</v>
      </c>
      <c r="DW214" t="s">
        <v>907</v>
      </c>
      <c r="DX214" t="s">
        <v>907</v>
      </c>
      <c r="FQ214">
        <v>567957927</v>
      </c>
      <c r="FR214" t="s">
        <v>3047</v>
      </c>
      <c r="FS214" s="1">
        <v>45927.344456018523</v>
      </c>
      <c r="FV214" t="s">
        <v>134</v>
      </c>
      <c r="FW214" t="s">
        <v>135</v>
      </c>
      <c r="FX214" t="s">
        <v>136</v>
      </c>
      <c r="FZ214">
        <v>442</v>
      </c>
    </row>
    <row r="215" spans="1:182" hidden="1" x14ac:dyDescent="0.3">
      <c r="A215" s="1">
        <v>45930.417554756947</v>
      </c>
      <c r="B215" s="1">
        <v>45930.432941967592</v>
      </c>
      <c r="D215" t="s">
        <v>84</v>
      </c>
      <c r="E215" t="s">
        <v>297</v>
      </c>
      <c r="F215" t="s">
        <v>3657</v>
      </c>
      <c r="G215" t="s">
        <v>176</v>
      </c>
      <c r="H215" t="s">
        <v>4122</v>
      </c>
      <c r="I215" t="s">
        <v>3658</v>
      </c>
      <c r="J215" t="s">
        <v>3659</v>
      </c>
      <c r="K215" t="s">
        <v>90</v>
      </c>
      <c r="L215" t="s">
        <v>3660</v>
      </c>
      <c r="M215" t="s">
        <v>4104</v>
      </c>
      <c r="N215" t="s">
        <v>3661</v>
      </c>
      <c r="O215">
        <v>-15.194128299999999</v>
      </c>
      <c r="P215">
        <v>22.914124600000001</v>
      </c>
      <c r="Q215">
        <v>1023.681640625</v>
      </c>
      <c r="R215">
        <v>4.8209999999999997</v>
      </c>
      <c r="S215" t="s">
        <v>84</v>
      </c>
      <c r="T215" t="s">
        <v>182</v>
      </c>
      <c r="U215">
        <v>6</v>
      </c>
      <c r="V215" t="s">
        <v>95</v>
      </c>
      <c r="W215" t="s">
        <v>907</v>
      </c>
      <c r="X215">
        <v>10</v>
      </c>
      <c r="Y215">
        <v>1</v>
      </c>
      <c r="Z215">
        <v>1</v>
      </c>
      <c r="AA215" t="s">
        <v>96</v>
      </c>
      <c r="AB215" t="s">
        <v>351</v>
      </c>
      <c r="AC215" t="s">
        <v>98</v>
      </c>
      <c r="AD215" t="s">
        <v>280</v>
      </c>
      <c r="AE215" t="s">
        <v>101</v>
      </c>
      <c r="AF215" t="s">
        <v>907</v>
      </c>
      <c r="AG215">
        <v>10000</v>
      </c>
      <c r="AH215" t="s">
        <v>3873</v>
      </c>
      <c r="AI215" t="s">
        <v>907</v>
      </c>
      <c r="AJ215" t="s">
        <v>907</v>
      </c>
      <c r="AK215" t="s">
        <v>102</v>
      </c>
      <c r="AL215" t="s">
        <v>907</v>
      </c>
      <c r="AM215" t="s">
        <v>3662</v>
      </c>
      <c r="AN215" t="s">
        <v>907</v>
      </c>
      <c r="AO215" t="s">
        <v>267</v>
      </c>
      <c r="AP215" t="s">
        <v>3663</v>
      </c>
      <c r="AQ215" t="s">
        <v>907</v>
      </c>
      <c r="AR215" t="s">
        <v>95</v>
      </c>
      <c r="AS215">
        <v>0</v>
      </c>
      <c r="AT215">
        <v>0</v>
      </c>
      <c r="AU215">
        <v>0</v>
      </c>
      <c r="AV215">
        <v>0</v>
      </c>
      <c r="AW215">
        <v>0</v>
      </c>
      <c r="AX215">
        <v>0</v>
      </c>
      <c r="AY215">
        <v>0</v>
      </c>
      <c r="AZ215" t="s">
        <v>1003</v>
      </c>
      <c r="BA215" t="s">
        <v>95</v>
      </c>
      <c r="BB215" t="s">
        <v>154</v>
      </c>
      <c r="BC215" t="s">
        <v>907</v>
      </c>
      <c r="BD215" t="s">
        <v>107</v>
      </c>
      <c r="BE215" t="s">
        <v>258</v>
      </c>
      <c r="BF215" t="s">
        <v>4064</v>
      </c>
      <c r="BG215" t="s">
        <v>235</v>
      </c>
      <c r="BH215">
        <v>300</v>
      </c>
      <c r="BL215">
        <v>100</v>
      </c>
      <c r="BN215">
        <v>4</v>
      </c>
      <c r="BP215">
        <v>70</v>
      </c>
      <c r="BR215">
        <v>41</v>
      </c>
      <c r="BT215">
        <v>4</v>
      </c>
      <c r="BV215">
        <v>34</v>
      </c>
      <c r="BX215">
        <v>47</v>
      </c>
      <c r="BY215" t="s">
        <v>110</v>
      </c>
      <c r="BZ215" t="s">
        <v>907</v>
      </c>
      <c r="CA215" t="s">
        <v>907</v>
      </c>
      <c r="CB215" t="s">
        <v>84</v>
      </c>
      <c r="CC215" t="s">
        <v>84</v>
      </c>
      <c r="CD215" t="s">
        <v>2512</v>
      </c>
      <c r="CE215" t="s">
        <v>1998</v>
      </c>
      <c r="CF215" t="s">
        <v>4105</v>
      </c>
      <c r="CG215" t="s">
        <v>907</v>
      </c>
      <c r="CH215">
        <v>6</v>
      </c>
      <c r="CI215" t="s">
        <v>84</v>
      </c>
      <c r="CJ215" t="s">
        <v>336</v>
      </c>
      <c r="CK215" t="s">
        <v>113</v>
      </c>
      <c r="CL215" t="s">
        <v>4262</v>
      </c>
      <c r="CM215" t="s">
        <v>193</v>
      </c>
      <c r="CN215" t="s">
        <v>3874</v>
      </c>
      <c r="CO215" t="s">
        <v>95</v>
      </c>
      <c r="CP215" t="s">
        <v>907</v>
      </c>
      <c r="CQ215" t="s">
        <v>116</v>
      </c>
      <c r="CR215" t="s">
        <v>84</v>
      </c>
      <c r="CS215" t="s">
        <v>117</v>
      </c>
      <c r="CT215" t="s">
        <v>264</v>
      </c>
      <c r="CU215" t="s">
        <v>3869</v>
      </c>
      <c r="CV215" t="s">
        <v>119</v>
      </c>
      <c r="CW215" t="s">
        <v>3627</v>
      </c>
      <c r="CX215" t="s">
        <v>166</v>
      </c>
      <c r="CY215" t="s">
        <v>167</v>
      </c>
      <c r="CZ215" t="s">
        <v>2172</v>
      </c>
      <c r="DA215">
        <v>29</v>
      </c>
      <c r="DB215" s="10">
        <v>426000</v>
      </c>
      <c r="DC215" t="s">
        <v>169</v>
      </c>
      <c r="DD215" t="s">
        <v>907</v>
      </c>
      <c r="DE215">
        <v>3</v>
      </c>
      <c r="DF215">
        <v>20</v>
      </c>
      <c r="DG215" t="s">
        <v>95</v>
      </c>
      <c r="DH215" t="s">
        <v>95</v>
      </c>
      <c r="DI215" t="s">
        <v>907</v>
      </c>
      <c r="DJ215" t="s">
        <v>907</v>
      </c>
      <c r="DK215" t="s">
        <v>907</v>
      </c>
      <c r="DL215" t="s">
        <v>907</v>
      </c>
      <c r="DM215" t="s">
        <v>291</v>
      </c>
      <c r="DN215" t="s">
        <v>907</v>
      </c>
      <c r="DO215" t="s">
        <v>907</v>
      </c>
      <c r="DP215">
        <v>4</v>
      </c>
      <c r="DQ215" t="s">
        <v>441</v>
      </c>
      <c r="DR215" t="s">
        <v>907</v>
      </c>
      <c r="DS215" t="s">
        <v>716</v>
      </c>
      <c r="DT215" t="s">
        <v>3059</v>
      </c>
      <c r="DU215" t="s">
        <v>95</v>
      </c>
      <c r="DV215" t="s">
        <v>907</v>
      </c>
      <c r="DW215" t="s">
        <v>907</v>
      </c>
      <c r="DX215" t="s">
        <v>907</v>
      </c>
      <c r="FQ215">
        <v>570054026</v>
      </c>
      <c r="FR215" t="s">
        <v>3664</v>
      </c>
      <c r="FS215" s="1">
        <v>45930.512060185189</v>
      </c>
      <c r="FV215" t="s">
        <v>134</v>
      </c>
      <c r="FW215" t="s">
        <v>135</v>
      </c>
      <c r="FX215" t="s">
        <v>136</v>
      </c>
      <c r="FZ215">
        <v>569</v>
      </c>
    </row>
    <row r="216" spans="1:182" hidden="1" x14ac:dyDescent="0.3">
      <c r="A216" s="1">
        <v>45929.452090266197</v>
      </c>
      <c r="B216" s="1">
        <v>45930.283021064817</v>
      </c>
      <c r="D216" t="s">
        <v>84</v>
      </c>
      <c r="E216" t="s">
        <v>3876</v>
      </c>
      <c r="F216" t="s">
        <v>3239</v>
      </c>
      <c r="G216" t="s">
        <v>176</v>
      </c>
      <c r="H216" t="s">
        <v>4122</v>
      </c>
      <c r="I216" t="s">
        <v>3240</v>
      </c>
      <c r="J216" t="s">
        <v>3241</v>
      </c>
      <c r="K216" t="s">
        <v>90</v>
      </c>
      <c r="L216" t="s">
        <v>3231</v>
      </c>
      <c r="M216" t="s">
        <v>3242</v>
      </c>
      <c r="S216" t="s">
        <v>84</v>
      </c>
      <c r="T216" t="s">
        <v>94</v>
      </c>
      <c r="U216">
        <v>18</v>
      </c>
      <c r="V216" t="s">
        <v>95</v>
      </c>
      <c r="W216" t="s">
        <v>907</v>
      </c>
      <c r="X216">
        <v>15</v>
      </c>
      <c r="Y216">
        <v>2</v>
      </c>
      <c r="Z216">
        <v>2</v>
      </c>
      <c r="AA216" t="s">
        <v>504</v>
      </c>
      <c r="AB216" t="s">
        <v>351</v>
      </c>
      <c r="AC216" t="s">
        <v>98</v>
      </c>
      <c r="AD216" t="s">
        <v>252</v>
      </c>
      <c r="AE216" t="s">
        <v>304</v>
      </c>
      <c r="AF216" t="s">
        <v>907</v>
      </c>
      <c r="AG216">
        <v>7000</v>
      </c>
      <c r="AH216" t="s">
        <v>3873</v>
      </c>
      <c r="AI216" t="s">
        <v>907</v>
      </c>
      <c r="AJ216" t="s">
        <v>907</v>
      </c>
      <c r="AK216" t="s">
        <v>102</v>
      </c>
      <c r="AL216" t="s">
        <v>907</v>
      </c>
      <c r="AM216" t="s">
        <v>4130</v>
      </c>
      <c r="AN216" t="s">
        <v>907</v>
      </c>
      <c r="AQ216" t="s">
        <v>3243</v>
      </c>
      <c r="AR216" t="s">
        <v>95</v>
      </c>
      <c r="AS216">
        <v>0</v>
      </c>
      <c r="AT216">
        <v>0</v>
      </c>
      <c r="AU216">
        <v>0</v>
      </c>
      <c r="AV216">
        <v>0</v>
      </c>
      <c r="AW216">
        <v>0</v>
      </c>
      <c r="AX216">
        <v>0</v>
      </c>
      <c r="AY216">
        <v>0</v>
      </c>
      <c r="AZ216" t="s">
        <v>1003</v>
      </c>
      <c r="BA216" t="s">
        <v>95</v>
      </c>
      <c r="BB216" t="s">
        <v>308</v>
      </c>
      <c r="BC216" t="s">
        <v>907</v>
      </c>
      <c r="BD216" t="s">
        <v>107</v>
      </c>
      <c r="BE216" t="s">
        <v>258</v>
      </c>
      <c r="BF216" t="s">
        <v>4067</v>
      </c>
      <c r="BG216" t="s">
        <v>2033</v>
      </c>
      <c r="BH216">
        <v>90</v>
      </c>
      <c r="BL216">
        <v>45</v>
      </c>
      <c r="BN216">
        <v>4</v>
      </c>
      <c r="BP216">
        <v>11</v>
      </c>
      <c r="BR216">
        <v>0</v>
      </c>
      <c r="BT216">
        <v>2</v>
      </c>
      <c r="BV216">
        <v>6</v>
      </c>
      <c r="BX216">
        <v>22</v>
      </c>
      <c r="BY216" t="s">
        <v>189</v>
      </c>
      <c r="BZ216">
        <v>1</v>
      </c>
      <c r="CA216">
        <v>79</v>
      </c>
      <c r="CB216" t="s">
        <v>84</v>
      </c>
      <c r="CC216" t="s">
        <v>84</v>
      </c>
      <c r="CD216" t="s">
        <v>1167</v>
      </c>
      <c r="CE216" t="s">
        <v>4252</v>
      </c>
      <c r="CF216" t="s">
        <v>4068</v>
      </c>
      <c r="CG216" t="s">
        <v>907</v>
      </c>
      <c r="CH216">
        <v>7</v>
      </c>
      <c r="CI216" t="s">
        <v>95</v>
      </c>
      <c r="CJ216" t="s">
        <v>907</v>
      </c>
      <c r="CK216" t="s">
        <v>1005</v>
      </c>
      <c r="CL216" t="s">
        <v>263</v>
      </c>
      <c r="CM216" t="s">
        <v>162</v>
      </c>
      <c r="CN216" t="s">
        <v>3903</v>
      </c>
      <c r="CO216" t="s">
        <v>95</v>
      </c>
      <c r="CP216" t="s">
        <v>907</v>
      </c>
      <c r="CQ216" t="s">
        <v>116</v>
      </c>
      <c r="CR216" t="s">
        <v>95</v>
      </c>
      <c r="CS216" t="s">
        <v>907</v>
      </c>
      <c r="CT216" t="s">
        <v>907</v>
      </c>
      <c r="CU216" t="s">
        <v>907</v>
      </c>
      <c r="CV216" t="s">
        <v>812</v>
      </c>
      <c r="CW216" t="s">
        <v>907</v>
      </c>
      <c r="CX216" t="s">
        <v>166</v>
      </c>
      <c r="CY216" t="s">
        <v>167</v>
      </c>
      <c r="CZ216" t="s">
        <v>2232</v>
      </c>
      <c r="DA216">
        <v>7</v>
      </c>
      <c r="DB216" s="10">
        <v>42000</v>
      </c>
      <c r="DC216" t="s">
        <v>169</v>
      </c>
      <c r="DD216" t="s">
        <v>907</v>
      </c>
      <c r="DE216">
        <v>3</v>
      </c>
      <c r="DF216">
        <v>20</v>
      </c>
      <c r="DG216" t="s">
        <v>95</v>
      </c>
      <c r="DH216" t="s">
        <v>95</v>
      </c>
      <c r="DI216" t="s">
        <v>907</v>
      </c>
      <c r="DJ216" t="s">
        <v>907</v>
      </c>
      <c r="DK216" t="s">
        <v>907</v>
      </c>
      <c r="DL216" t="s">
        <v>907</v>
      </c>
      <c r="DM216" t="s">
        <v>291</v>
      </c>
      <c r="DN216" t="s">
        <v>907</v>
      </c>
      <c r="DO216" t="s">
        <v>907</v>
      </c>
      <c r="DP216">
        <v>1</v>
      </c>
      <c r="DQ216" t="s">
        <v>441</v>
      </c>
      <c r="DR216" t="s">
        <v>907</v>
      </c>
      <c r="DS216" t="s">
        <v>292</v>
      </c>
      <c r="DT216" t="s">
        <v>1737</v>
      </c>
      <c r="DU216" t="s">
        <v>84</v>
      </c>
      <c r="DV216" t="s">
        <v>294</v>
      </c>
      <c r="DW216" t="s">
        <v>295</v>
      </c>
      <c r="DX216" t="s">
        <v>95</v>
      </c>
      <c r="FQ216">
        <v>569746346</v>
      </c>
      <c r="FR216" t="s">
        <v>3244</v>
      </c>
      <c r="FS216" s="1">
        <v>45930.200196759259</v>
      </c>
      <c r="FV216" t="s">
        <v>134</v>
      </c>
      <c r="FW216" t="s">
        <v>135</v>
      </c>
      <c r="FX216" t="s">
        <v>136</v>
      </c>
      <c r="FZ216">
        <v>522</v>
      </c>
    </row>
    <row r="217" spans="1:182" hidden="1" x14ac:dyDescent="0.3">
      <c r="A217" s="1">
        <v>45935.474168692133</v>
      </c>
      <c r="B217" s="1">
        <v>45943.811685555564</v>
      </c>
      <c r="D217" t="s">
        <v>84</v>
      </c>
      <c r="E217" t="s">
        <v>3794</v>
      </c>
      <c r="F217" t="s">
        <v>85</v>
      </c>
      <c r="G217" t="s">
        <v>176</v>
      </c>
      <c r="H217" t="s">
        <v>4122</v>
      </c>
      <c r="I217" t="s">
        <v>3795</v>
      </c>
      <c r="J217" t="s">
        <v>3796</v>
      </c>
      <c r="K217" t="s">
        <v>90</v>
      </c>
      <c r="L217" t="s">
        <v>3797</v>
      </c>
      <c r="M217" t="s">
        <v>3798</v>
      </c>
      <c r="S217" t="s">
        <v>84</v>
      </c>
      <c r="T217" t="s">
        <v>362</v>
      </c>
      <c r="U217">
        <v>7</v>
      </c>
      <c r="V217" t="s">
        <v>302</v>
      </c>
      <c r="W217" t="s">
        <v>232</v>
      </c>
      <c r="X217">
        <v>20</v>
      </c>
      <c r="Y217">
        <v>50</v>
      </c>
      <c r="Z217">
        <v>2</v>
      </c>
      <c r="AA217" t="s">
        <v>96</v>
      </c>
      <c r="AB217" t="s">
        <v>351</v>
      </c>
      <c r="AC217" t="s">
        <v>98</v>
      </c>
      <c r="AD217" t="s">
        <v>252</v>
      </c>
      <c r="AE217" t="s">
        <v>100</v>
      </c>
      <c r="AF217" t="s">
        <v>907</v>
      </c>
      <c r="AG217">
        <v>0</v>
      </c>
      <c r="AH217" t="s">
        <v>3799</v>
      </c>
      <c r="AI217" t="s">
        <v>907</v>
      </c>
      <c r="AJ217" s="5">
        <v>0</v>
      </c>
      <c r="AK217" t="s">
        <v>102</v>
      </c>
      <c r="AL217" t="s">
        <v>907</v>
      </c>
      <c r="AM217" t="s">
        <v>253</v>
      </c>
      <c r="AN217" t="s">
        <v>907</v>
      </c>
      <c r="AO217">
        <v>0</v>
      </c>
      <c r="AP217" t="s">
        <v>3800</v>
      </c>
      <c r="AQ217" t="s">
        <v>3801</v>
      </c>
      <c r="AR217" t="s">
        <v>84</v>
      </c>
      <c r="AS217">
        <v>0</v>
      </c>
      <c r="AT217">
        <v>0</v>
      </c>
      <c r="AU217">
        <v>0</v>
      </c>
      <c r="AV217">
        <v>10</v>
      </c>
      <c r="AW217">
        <v>10</v>
      </c>
      <c r="AX217">
        <v>0</v>
      </c>
      <c r="AY217">
        <v>0</v>
      </c>
      <c r="AZ217" t="s">
        <v>106</v>
      </c>
      <c r="BA217" t="s">
        <v>452</v>
      </c>
      <c r="BB217" t="s">
        <v>154</v>
      </c>
      <c r="BC217" t="s">
        <v>907</v>
      </c>
      <c r="BD217" t="s">
        <v>107</v>
      </c>
      <c r="BE217" t="s">
        <v>108</v>
      </c>
      <c r="BF217" t="s">
        <v>309</v>
      </c>
      <c r="BG217" t="s">
        <v>235</v>
      </c>
      <c r="BH217">
        <v>50</v>
      </c>
      <c r="BL217">
        <v>10</v>
      </c>
      <c r="BN217">
        <v>10</v>
      </c>
      <c r="BP217">
        <v>10</v>
      </c>
      <c r="BR217">
        <v>10</v>
      </c>
      <c r="BY217" t="s">
        <v>189</v>
      </c>
      <c r="BZ217">
        <v>5</v>
      </c>
      <c r="CA217">
        <v>10</v>
      </c>
      <c r="CB217" t="s">
        <v>84</v>
      </c>
      <c r="CC217" t="s">
        <v>84</v>
      </c>
      <c r="CD217" t="s">
        <v>3802</v>
      </c>
      <c r="CE217" t="s">
        <v>4250</v>
      </c>
      <c r="CF217" t="s">
        <v>4117</v>
      </c>
      <c r="CG217" t="s">
        <v>907</v>
      </c>
      <c r="CH217">
        <v>7</v>
      </c>
      <c r="CI217" t="s">
        <v>84</v>
      </c>
      <c r="CJ217" t="s">
        <v>262</v>
      </c>
      <c r="CK217" t="s">
        <v>289</v>
      </c>
      <c r="CL217" t="s">
        <v>4262</v>
      </c>
      <c r="CM217" t="s">
        <v>193</v>
      </c>
      <c r="CN217" t="s">
        <v>3803</v>
      </c>
      <c r="CO217" t="s">
        <v>95</v>
      </c>
      <c r="CP217" t="s">
        <v>907</v>
      </c>
      <c r="CQ217" t="s">
        <v>116</v>
      </c>
      <c r="CR217" t="s">
        <v>84</v>
      </c>
      <c r="CS217" t="s">
        <v>117</v>
      </c>
      <c r="CT217" t="s">
        <v>163</v>
      </c>
      <c r="CU217" t="s">
        <v>3869</v>
      </c>
      <c r="CV217" t="s">
        <v>119</v>
      </c>
      <c r="CW217" t="s">
        <v>265</v>
      </c>
      <c r="CX217" t="s">
        <v>166</v>
      </c>
      <c r="CY217" t="s">
        <v>121</v>
      </c>
      <c r="CZ217" t="s">
        <v>265</v>
      </c>
      <c r="DA217">
        <v>0</v>
      </c>
      <c r="DB217" s="10">
        <v>0</v>
      </c>
      <c r="DC217" t="s">
        <v>169</v>
      </c>
      <c r="DD217" t="s">
        <v>907</v>
      </c>
      <c r="DE217">
        <v>5</v>
      </c>
      <c r="DF217">
        <v>25</v>
      </c>
      <c r="DG217" t="s">
        <v>95</v>
      </c>
      <c r="DH217" t="s">
        <v>95</v>
      </c>
      <c r="DI217" t="s">
        <v>907</v>
      </c>
      <c r="DJ217" t="s">
        <v>907</v>
      </c>
      <c r="DK217" t="s">
        <v>907</v>
      </c>
      <c r="DL217" t="s">
        <v>907</v>
      </c>
      <c r="DM217" t="s">
        <v>125</v>
      </c>
      <c r="DN217" t="s">
        <v>3804</v>
      </c>
      <c r="DO217" t="s">
        <v>2790</v>
      </c>
      <c r="DP217">
        <v>6</v>
      </c>
      <c r="DQ217" t="s">
        <v>202</v>
      </c>
      <c r="DR217" t="s">
        <v>907</v>
      </c>
      <c r="DS217" t="s">
        <v>442</v>
      </c>
      <c r="DT217" t="s">
        <v>863</v>
      </c>
      <c r="DU217" t="s">
        <v>84</v>
      </c>
      <c r="DV217" t="s">
        <v>225</v>
      </c>
      <c r="DW217" t="s">
        <v>533</v>
      </c>
      <c r="DX217" t="s">
        <v>95</v>
      </c>
      <c r="FQ217">
        <v>583324426</v>
      </c>
      <c r="FR217" t="s">
        <v>3805</v>
      </c>
      <c r="FS217" s="1">
        <v>45945.813171296293</v>
      </c>
      <c r="FV217" t="s">
        <v>134</v>
      </c>
      <c r="FW217" t="s">
        <v>135</v>
      </c>
      <c r="FX217" t="s">
        <v>136</v>
      </c>
      <c r="FZ217">
        <v>761</v>
      </c>
    </row>
    <row r="218" spans="1:182" hidden="1" x14ac:dyDescent="0.3">
      <c r="A218" s="1">
        <v>45925.471715752312</v>
      </c>
      <c r="B218" s="1">
        <v>45925.491083587956</v>
      </c>
      <c r="D218" t="s">
        <v>84</v>
      </c>
      <c r="E218" t="s">
        <v>901</v>
      </c>
      <c r="F218" t="s">
        <v>1698</v>
      </c>
      <c r="G218" t="s">
        <v>176</v>
      </c>
      <c r="H218" t="s">
        <v>4121</v>
      </c>
      <c r="I218" t="s">
        <v>1699</v>
      </c>
      <c r="J218" t="s">
        <v>1700</v>
      </c>
      <c r="K218" t="s">
        <v>90</v>
      </c>
      <c r="L218" t="s">
        <v>3956</v>
      </c>
      <c r="M218" t="s">
        <v>277</v>
      </c>
      <c r="N218" t="s">
        <v>1701</v>
      </c>
      <c r="O218">
        <v>-15.35819</v>
      </c>
      <c r="P218">
        <v>23.155004999999999</v>
      </c>
      <c r="Q218">
        <v>1024.3</v>
      </c>
      <c r="R218">
        <v>3</v>
      </c>
      <c r="S218" t="s">
        <v>84</v>
      </c>
      <c r="T218" t="s">
        <v>182</v>
      </c>
      <c r="U218">
        <v>5</v>
      </c>
      <c r="V218" t="s">
        <v>95</v>
      </c>
      <c r="W218" t="s">
        <v>907</v>
      </c>
      <c r="X218">
        <v>5</v>
      </c>
      <c r="Y218">
        <v>1</v>
      </c>
      <c r="Z218">
        <v>1</v>
      </c>
      <c r="AA218" t="s">
        <v>96</v>
      </c>
      <c r="AB218" t="s">
        <v>351</v>
      </c>
      <c r="AC218" t="s">
        <v>144</v>
      </c>
      <c r="AD218" t="s">
        <v>520</v>
      </c>
      <c r="AE218" t="s">
        <v>431</v>
      </c>
      <c r="AF218" t="s">
        <v>907</v>
      </c>
      <c r="AG218">
        <v>300</v>
      </c>
      <c r="AH218" t="s">
        <v>1702</v>
      </c>
      <c r="AI218" t="s">
        <v>907</v>
      </c>
      <c r="AJ218" s="5">
        <v>1000</v>
      </c>
      <c r="AK218" t="s">
        <v>102</v>
      </c>
      <c r="AL218" t="s">
        <v>907</v>
      </c>
      <c r="AM218" t="s">
        <v>253</v>
      </c>
      <c r="AN218" t="s">
        <v>907</v>
      </c>
      <c r="AO218" t="s">
        <v>1703</v>
      </c>
      <c r="AP218" t="s">
        <v>1704</v>
      </c>
      <c r="AQ218" t="s">
        <v>1705</v>
      </c>
      <c r="AR218" t="s">
        <v>95</v>
      </c>
      <c r="AS218">
        <v>0</v>
      </c>
      <c r="AT218">
        <v>7</v>
      </c>
      <c r="AU218">
        <v>0</v>
      </c>
      <c r="AV218">
        <v>0</v>
      </c>
      <c r="AW218">
        <v>30</v>
      </c>
      <c r="AX218">
        <v>0</v>
      </c>
      <c r="AY218">
        <v>0</v>
      </c>
      <c r="AZ218" t="s">
        <v>629</v>
      </c>
      <c r="BA218" t="s">
        <v>452</v>
      </c>
      <c r="BB218" t="s">
        <v>308</v>
      </c>
      <c r="BC218" t="s">
        <v>907</v>
      </c>
      <c r="BD218" t="s">
        <v>107</v>
      </c>
      <c r="BE218" t="s">
        <v>258</v>
      </c>
      <c r="BF218" t="s">
        <v>875</v>
      </c>
      <c r="BG218" t="s">
        <v>109</v>
      </c>
      <c r="BH218">
        <v>59</v>
      </c>
      <c r="BL218">
        <v>52</v>
      </c>
      <c r="BN218">
        <v>4</v>
      </c>
      <c r="BP218">
        <v>0</v>
      </c>
      <c r="BR218">
        <v>0</v>
      </c>
      <c r="BT218">
        <v>6</v>
      </c>
      <c r="BV218">
        <v>0</v>
      </c>
      <c r="BX218">
        <v>6</v>
      </c>
      <c r="BY218" t="s">
        <v>189</v>
      </c>
      <c r="BZ218">
        <v>2</v>
      </c>
      <c r="CA218">
        <v>17</v>
      </c>
      <c r="CB218" t="s">
        <v>84</v>
      </c>
      <c r="CC218" t="s">
        <v>84</v>
      </c>
      <c r="CD218" t="s">
        <v>334</v>
      </c>
      <c r="CE218" t="s">
        <v>1998</v>
      </c>
      <c r="CF218" t="s">
        <v>1706</v>
      </c>
      <c r="CG218" t="s">
        <v>907</v>
      </c>
      <c r="CH218">
        <v>7</v>
      </c>
      <c r="CI218" t="s">
        <v>95</v>
      </c>
      <c r="CJ218" t="s">
        <v>907</v>
      </c>
      <c r="CK218" t="s">
        <v>289</v>
      </c>
      <c r="CL218" t="s">
        <v>1707</v>
      </c>
      <c r="CM218" t="s">
        <v>193</v>
      </c>
      <c r="CN218" t="s">
        <v>3868</v>
      </c>
      <c r="CO218" t="s">
        <v>95</v>
      </c>
      <c r="CP218" t="s">
        <v>907</v>
      </c>
      <c r="CQ218" t="s">
        <v>116</v>
      </c>
      <c r="CR218" t="s">
        <v>84</v>
      </c>
      <c r="CS218" t="s">
        <v>117</v>
      </c>
      <c r="CT218" t="s">
        <v>907</v>
      </c>
      <c r="CU218" t="s">
        <v>3869</v>
      </c>
      <c r="CV218" t="s">
        <v>119</v>
      </c>
      <c r="CW218" t="s">
        <v>696</v>
      </c>
      <c r="CX218" t="s">
        <v>166</v>
      </c>
      <c r="CY218" t="s">
        <v>167</v>
      </c>
      <c r="CZ218" t="s">
        <v>696</v>
      </c>
      <c r="DA218">
        <v>0</v>
      </c>
      <c r="DB218" s="10">
        <v>0</v>
      </c>
      <c r="DC218" t="s">
        <v>169</v>
      </c>
      <c r="DD218" t="s">
        <v>907</v>
      </c>
      <c r="DE218">
        <v>1</v>
      </c>
      <c r="DF218">
        <v>12</v>
      </c>
      <c r="DG218" t="s">
        <v>95</v>
      </c>
      <c r="DH218" t="s">
        <v>95</v>
      </c>
      <c r="DI218" t="s">
        <v>907</v>
      </c>
      <c r="DJ218" t="s">
        <v>907</v>
      </c>
      <c r="DK218" t="s">
        <v>907</v>
      </c>
      <c r="DL218" t="s">
        <v>907</v>
      </c>
      <c r="DM218" t="s">
        <v>291</v>
      </c>
      <c r="DN218" t="s">
        <v>907</v>
      </c>
      <c r="DO218" t="s">
        <v>907</v>
      </c>
      <c r="DP218">
        <v>4</v>
      </c>
      <c r="DQ218" t="s">
        <v>202</v>
      </c>
      <c r="DR218" t="s">
        <v>907</v>
      </c>
      <c r="DS218" t="s">
        <v>917</v>
      </c>
      <c r="DT218" t="s">
        <v>946</v>
      </c>
      <c r="DU218" t="s">
        <v>84</v>
      </c>
      <c r="DV218" t="s">
        <v>294</v>
      </c>
      <c r="DW218" t="s">
        <v>933</v>
      </c>
      <c r="DX218" t="s">
        <v>95</v>
      </c>
      <c r="FQ218">
        <v>566741449</v>
      </c>
      <c r="FR218" t="s">
        <v>1708</v>
      </c>
      <c r="FS218" s="1">
        <v>45925.627233796287</v>
      </c>
      <c r="FV218" t="s">
        <v>134</v>
      </c>
      <c r="FW218" t="s">
        <v>135</v>
      </c>
      <c r="FX218" t="s">
        <v>136</v>
      </c>
      <c r="FZ218">
        <v>266</v>
      </c>
    </row>
    <row r="219" spans="1:182" hidden="1" x14ac:dyDescent="0.3">
      <c r="A219" s="1">
        <v>45923.424254432874</v>
      </c>
      <c r="B219" s="1">
        <v>45924.736368773149</v>
      </c>
      <c r="D219" t="s">
        <v>84</v>
      </c>
      <c r="E219" t="s">
        <v>497</v>
      </c>
      <c r="F219" t="s">
        <v>866</v>
      </c>
      <c r="G219" t="s">
        <v>176</v>
      </c>
      <c r="H219" t="s">
        <v>4122</v>
      </c>
      <c r="I219" t="s">
        <v>867</v>
      </c>
      <c r="J219" t="s">
        <v>868</v>
      </c>
      <c r="K219" t="s">
        <v>90</v>
      </c>
      <c r="L219" t="s">
        <v>3899</v>
      </c>
      <c r="M219" t="s">
        <v>869</v>
      </c>
      <c r="N219" t="s">
        <v>870</v>
      </c>
      <c r="O219">
        <v>-15.4646492</v>
      </c>
      <c r="P219">
        <v>23.1569781</v>
      </c>
      <c r="Q219">
        <v>1102.2197265625</v>
      </c>
      <c r="R219">
        <v>4.9359999999999999</v>
      </c>
      <c r="S219" t="s">
        <v>84</v>
      </c>
      <c r="T219" t="s">
        <v>182</v>
      </c>
      <c r="U219">
        <v>0</v>
      </c>
      <c r="V219" t="s">
        <v>95</v>
      </c>
      <c r="W219" t="s">
        <v>907</v>
      </c>
      <c r="X219">
        <v>25</v>
      </c>
      <c r="Y219">
        <v>2</v>
      </c>
      <c r="Z219">
        <v>2</v>
      </c>
      <c r="AA219" t="s">
        <v>504</v>
      </c>
      <c r="AB219" t="s">
        <v>351</v>
      </c>
      <c r="AC219" t="s">
        <v>98</v>
      </c>
      <c r="AD219" t="s">
        <v>520</v>
      </c>
      <c r="AE219" t="s">
        <v>100</v>
      </c>
      <c r="AF219" t="s">
        <v>907</v>
      </c>
      <c r="AG219">
        <v>500</v>
      </c>
      <c r="AH219" t="s">
        <v>521</v>
      </c>
      <c r="AI219" t="s">
        <v>907</v>
      </c>
      <c r="AJ219" s="5">
        <v>200</v>
      </c>
      <c r="AK219" t="s">
        <v>871</v>
      </c>
      <c r="AL219" t="s">
        <v>907</v>
      </c>
      <c r="AM219" t="s">
        <v>185</v>
      </c>
      <c r="AN219" t="s">
        <v>907</v>
      </c>
      <c r="AO219" t="s">
        <v>872</v>
      </c>
      <c r="AP219" t="s">
        <v>873</v>
      </c>
      <c r="AQ219" t="s">
        <v>874</v>
      </c>
      <c r="AR219" t="s">
        <v>84</v>
      </c>
      <c r="AS219">
        <v>20</v>
      </c>
      <c r="AT219">
        <v>20</v>
      </c>
      <c r="AU219">
        <v>0</v>
      </c>
      <c r="AV219">
        <v>20</v>
      </c>
      <c r="AW219">
        <v>25</v>
      </c>
      <c r="AX219">
        <v>0</v>
      </c>
      <c r="AY219">
        <v>0</v>
      </c>
      <c r="AZ219" t="s">
        <v>629</v>
      </c>
      <c r="BA219" t="s">
        <v>95</v>
      </c>
      <c r="BB219" t="s">
        <v>308</v>
      </c>
      <c r="BC219" t="s">
        <v>907</v>
      </c>
      <c r="BD219" t="s">
        <v>107</v>
      </c>
      <c r="BE219" t="s">
        <v>258</v>
      </c>
      <c r="BF219" t="s">
        <v>875</v>
      </c>
      <c r="BG219" t="s">
        <v>876</v>
      </c>
      <c r="BH219">
        <v>55</v>
      </c>
      <c r="BL219">
        <v>29</v>
      </c>
      <c r="BN219">
        <v>2</v>
      </c>
      <c r="BP219">
        <v>0</v>
      </c>
      <c r="BR219">
        <v>7</v>
      </c>
      <c r="BT219">
        <v>6</v>
      </c>
      <c r="BV219">
        <v>4</v>
      </c>
      <c r="BX219">
        <v>7</v>
      </c>
      <c r="BY219" t="s">
        <v>110</v>
      </c>
      <c r="BZ219" t="s">
        <v>907</v>
      </c>
      <c r="CA219" t="s">
        <v>907</v>
      </c>
      <c r="CB219" t="s">
        <v>84</v>
      </c>
      <c r="CC219" t="s">
        <v>84</v>
      </c>
      <c r="CD219" t="s">
        <v>877</v>
      </c>
      <c r="CE219" t="s">
        <v>4252</v>
      </c>
      <c r="CF219" t="s">
        <v>878</v>
      </c>
      <c r="CG219" t="s">
        <v>907</v>
      </c>
      <c r="CH219">
        <v>7</v>
      </c>
      <c r="CI219" t="s">
        <v>84</v>
      </c>
      <c r="CJ219" t="s">
        <v>546</v>
      </c>
      <c r="CK219" t="s">
        <v>289</v>
      </c>
      <c r="CL219" t="s">
        <v>879</v>
      </c>
      <c r="CM219" t="s">
        <v>193</v>
      </c>
      <c r="CN219" t="s">
        <v>421</v>
      </c>
      <c r="CO219" t="s">
        <v>95</v>
      </c>
      <c r="CP219" t="s">
        <v>907</v>
      </c>
      <c r="CQ219" t="s">
        <v>116</v>
      </c>
      <c r="CR219" t="s">
        <v>84</v>
      </c>
      <c r="CS219" t="s">
        <v>117</v>
      </c>
      <c r="CT219" t="s">
        <v>118</v>
      </c>
      <c r="CU219" t="s">
        <v>3869</v>
      </c>
      <c r="CV219" t="s">
        <v>119</v>
      </c>
      <c r="CW219" t="s">
        <v>880</v>
      </c>
      <c r="CX219" t="s">
        <v>166</v>
      </c>
      <c r="CY219" t="s">
        <v>167</v>
      </c>
      <c r="CZ219" t="s">
        <v>881</v>
      </c>
      <c r="DA219">
        <v>0</v>
      </c>
      <c r="DB219" s="10">
        <v>8000</v>
      </c>
      <c r="DC219" t="s">
        <v>169</v>
      </c>
      <c r="DD219" t="s">
        <v>907</v>
      </c>
      <c r="DE219">
        <v>1</v>
      </c>
      <c r="DF219">
        <v>20</v>
      </c>
      <c r="DG219" t="s">
        <v>95</v>
      </c>
      <c r="DH219" t="s">
        <v>95</v>
      </c>
      <c r="DI219" t="s">
        <v>907</v>
      </c>
      <c r="DJ219" t="s">
        <v>907</v>
      </c>
      <c r="DK219" t="s">
        <v>907</v>
      </c>
      <c r="DL219" t="s">
        <v>907</v>
      </c>
      <c r="DM219" t="s">
        <v>291</v>
      </c>
      <c r="DN219" t="s">
        <v>907</v>
      </c>
      <c r="DO219" t="s">
        <v>907</v>
      </c>
      <c r="DP219">
        <v>4</v>
      </c>
      <c r="DQ219" t="s">
        <v>441</v>
      </c>
      <c r="DR219" t="s">
        <v>907</v>
      </c>
      <c r="DS219" t="s">
        <v>882</v>
      </c>
      <c r="DT219" t="s">
        <v>883</v>
      </c>
      <c r="DU219" t="s">
        <v>84</v>
      </c>
      <c r="DV219" t="s">
        <v>884</v>
      </c>
      <c r="DW219" t="s">
        <v>533</v>
      </c>
      <c r="DX219" t="s">
        <v>95</v>
      </c>
      <c r="FQ219">
        <v>565918630</v>
      </c>
      <c r="FR219" t="s">
        <v>885</v>
      </c>
      <c r="FS219" s="1">
        <v>45924.653113425928</v>
      </c>
      <c r="FV219" t="s">
        <v>134</v>
      </c>
      <c r="FW219" t="s">
        <v>135</v>
      </c>
      <c r="FX219" t="s">
        <v>136</v>
      </c>
      <c r="FZ219">
        <v>176</v>
      </c>
    </row>
    <row r="220" spans="1:182" x14ac:dyDescent="0.3">
      <c r="A220" s="1">
        <v>45929.377089803238</v>
      </c>
      <c r="B220" s="1">
        <v>45929.46680357639</v>
      </c>
      <c r="D220" t="s">
        <v>84</v>
      </c>
      <c r="E220" t="s">
        <v>1878</v>
      </c>
      <c r="F220" t="s">
        <v>3135</v>
      </c>
      <c r="G220" t="s">
        <v>176</v>
      </c>
      <c r="H220" t="s">
        <v>4121</v>
      </c>
      <c r="I220" t="s">
        <v>3136</v>
      </c>
      <c r="J220" t="s">
        <v>3137</v>
      </c>
      <c r="K220" t="s">
        <v>90</v>
      </c>
      <c r="L220" t="s">
        <v>4051</v>
      </c>
      <c r="M220" t="s">
        <v>3138</v>
      </c>
      <c r="N220" t="s">
        <v>3139</v>
      </c>
      <c r="O220">
        <v>-15.395911699999999</v>
      </c>
      <c r="P220">
        <v>23.040703300000001</v>
      </c>
      <c r="Q220">
        <v>1021.1</v>
      </c>
      <c r="R220">
        <v>4.9749999999999996</v>
      </c>
      <c r="S220" t="s">
        <v>84</v>
      </c>
      <c r="T220" t="s">
        <v>182</v>
      </c>
      <c r="U220">
        <v>9</v>
      </c>
      <c r="V220" t="s">
        <v>95</v>
      </c>
      <c r="W220" t="s">
        <v>907</v>
      </c>
      <c r="X220">
        <v>8</v>
      </c>
      <c r="Y220">
        <v>1</v>
      </c>
      <c r="Z220">
        <v>1</v>
      </c>
      <c r="AA220" t="s">
        <v>96</v>
      </c>
      <c r="AB220" t="s">
        <v>351</v>
      </c>
      <c r="AC220" t="s">
        <v>144</v>
      </c>
      <c r="AD220" t="s">
        <v>280</v>
      </c>
      <c r="AE220" t="s">
        <v>101</v>
      </c>
      <c r="AF220" t="s">
        <v>907</v>
      </c>
      <c r="AG220">
        <v>10000</v>
      </c>
      <c r="AH220" t="s">
        <v>214</v>
      </c>
      <c r="AI220" t="s">
        <v>907</v>
      </c>
      <c r="AJ220" s="5">
        <v>8000</v>
      </c>
      <c r="AK220" t="s">
        <v>3140</v>
      </c>
      <c r="AL220" t="s">
        <v>907</v>
      </c>
      <c r="AM220" t="s">
        <v>4130</v>
      </c>
      <c r="AN220" t="s">
        <v>907</v>
      </c>
      <c r="AQ220" t="s">
        <v>466</v>
      </c>
      <c r="AR220" t="s">
        <v>95</v>
      </c>
      <c r="AS220">
        <v>0</v>
      </c>
      <c r="AT220">
        <v>0</v>
      </c>
      <c r="AU220">
        <v>0</v>
      </c>
      <c r="AV220">
        <v>0</v>
      </c>
      <c r="AW220">
        <v>0</v>
      </c>
      <c r="AX220">
        <v>0</v>
      </c>
      <c r="AY220">
        <v>0</v>
      </c>
      <c r="AZ220" t="s">
        <v>106</v>
      </c>
      <c r="BA220" t="s">
        <v>95</v>
      </c>
      <c r="BB220" t="s">
        <v>308</v>
      </c>
      <c r="BC220" t="s">
        <v>907</v>
      </c>
      <c r="BD220" t="s">
        <v>907</v>
      </c>
      <c r="BE220" t="s">
        <v>258</v>
      </c>
      <c r="BF220" t="s">
        <v>3141</v>
      </c>
      <c r="BG220" t="s">
        <v>235</v>
      </c>
      <c r="BH220">
        <v>36</v>
      </c>
      <c r="BL220">
        <v>52</v>
      </c>
      <c r="BN220">
        <v>1</v>
      </c>
      <c r="BP220">
        <v>5</v>
      </c>
      <c r="BR220">
        <v>5</v>
      </c>
      <c r="BT220">
        <v>6</v>
      </c>
      <c r="BV220">
        <v>0</v>
      </c>
      <c r="BX220">
        <v>5</v>
      </c>
      <c r="BY220" t="s">
        <v>189</v>
      </c>
      <c r="BZ220">
        <v>3</v>
      </c>
      <c r="CA220">
        <v>15</v>
      </c>
      <c r="CB220" t="s">
        <v>84</v>
      </c>
      <c r="CC220" t="s">
        <v>84</v>
      </c>
      <c r="CD220" t="s">
        <v>3142</v>
      </c>
      <c r="CE220" t="s">
        <v>4250</v>
      </c>
      <c r="CF220" t="s">
        <v>4052</v>
      </c>
      <c r="CG220" t="s">
        <v>907</v>
      </c>
      <c r="CH220">
        <v>7</v>
      </c>
      <c r="CI220" t="s">
        <v>95</v>
      </c>
      <c r="CJ220" t="s">
        <v>907</v>
      </c>
      <c r="CK220" t="s">
        <v>289</v>
      </c>
      <c r="CL220" t="s">
        <v>2049</v>
      </c>
      <c r="CM220" t="s">
        <v>193</v>
      </c>
      <c r="CN220" t="s">
        <v>3874</v>
      </c>
      <c r="CO220" t="s">
        <v>95</v>
      </c>
      <c r="CP220" t="s">
        <v>907</v>
      </c>
      <c r="CQ220" t="s">
        <v>116</v>
      </c>
      <c r="CR220" t="s">
        <v>95</v>
      </c>
      <c r="CS220" t="s">
        <v>907</v>
      </c>
      <c r="CT220" t="s">
        <v>907</v>
      </c>
      <c r="CU220" t="s">
        <v>907</v>
      </c>
      <c r="CV220" t="s">
        <v>812</v>
      </c>
      <c r="CW220" t="s">
        <v>907</v>
      </c>
      <c r="CX220" t="s">
        <v>897</v>
      </c>
      <c r="CY220" t="s">
        <v>167</v>
      </c>
      <c r="CZ220" t="s">
        <v>495</v>
      </c>
      <c r="DA220">
        <v>2</v>
      </c>
      <c r="DB220" s="10">
        <v>8000</v>
      </c>
      <c r="DC220" t="s">
        <v>169</v>
      </c>
      <c r="DD220" t="s">
        <v>907</v>
      </c>
      <c r="DE220">
        <v>1</v>
      </c>
      <c r="DF220">
        <v>15</v>
      </c>
      <c r="DG220" t="s">
        <v>95</v>
      </c>
      <c r="DH220" t="s">
        <v>95</v>
      </c>
      <c r="DI220" t="s">
        <v>907</v>
      </c>
      <c r="DJ220" t="s">
        <v>907</v>
      </c>
      <c r="DK220" t="s">
        <v>907</v>
      </c>
      <c r="DL220" t="s">
        <v>907</v>
      </c>
      <c r="DM220" t="s">
        <v>291</v>
      </c>
      <c r="DN220" t="s">
        <v>907</v>
      </c>
      <c r="DO220" t="s">
        <v>907</v>
      </c>
      <c r="DP220">
        <v>2</v>
      </c>
      <c r="DQ220" t="s">
        <v>128</v>
      </c>
      <c r="DR220" t="s">
        <v>907</v>
      </c>
      <c r="DS220" t="s">
        <v>996</v>
      </c>
      <c r="DT220" t="s">
        <v>552</v>
      </c>
      <c r="DU220" t="s">
        <v>95</v>
      </c>
      <c r="DV220" t="s">
        <v>907</v>
      </c>
      <c r="DW220" t="s">
        <v>907</v>
      </c>
      <c r="DX220" t="s">
        <v>907</v>
      </c>
      <c r="FQ220">
        <v>569368868</v>
      </c>
      <c r="FR220" t="s">
        <v>3143</v>
      </c>
      <c r="FS220" s="1">
        <v>45929.596412037034</v>
      </c>
      <c r="FV220" t="s">
        <v>134</v>
      </c>
      <c r="FW220" t="s">
        <v>135</v>
      </c>
      <c r="FX220" t="s">
        <v>136</v>
      </c>
      <c r="FZ220">
        <v>481</v>
      </c>
    </row>
    <row r="221" spans="1:182" hidden="1" x14ac:dyDescent="0.3">
      <c r="A221" s="1">
        <v>45926.427899768518</v>
      </c>
      <c r="B221" s="1">
        <v>45926.46757296296</v>
      </c>
      <c r="D221" t="s">
        <v>84</v>
      </c>
      <c r="E221" t="s">
        <v>2664</v>
      </c>
      <c r="F221" t="s">
        <v>2665</v>
      </c>
      <c r="G221" t="s">
        <v>176</v>
      </c>
      <c r="H221" t="s">
        <v>4122</v>
      </c>
      <c r="I221" t="s">
        <v>2666</v>
      </c>
      <c r="J221" t="s">
        <v>2667</v>
      </c>
      <c r="K221" t="s">
        <v>90</v>
      </c>
      <c r="L221" t="s">
        <v>2668</v>
      </c>
      <c r="M221" t="s">
        <v>2669</v>
      </c>
      <c r="N221" t="s">
        <v>2670</v>
      </c>
      <c r="O221">
        <v>-15.1968029</v>
      </c>
      <c r="P221">
        <v>22.953733499999998</v>
      </c>
      <c r="Q221">
        <v>1018.9</v>
      </c>
      <c r="R221">
        <v>4.8600000000000003</v>
      </c>
      <c r="S221" t="s">
        <v>84</v>
      </c>
      <c r="T221" t="s">
        <v>182</v>
      </c>
      <c r="U221">
        <v>6</v>
      </c>
      <c r="V221" t="s">
        <v>95</v>
      </c>
      <c r="W221" t="s">
        <v>907</v>
      </c>
      <c r="X221">
        <v>7</v>
      </c>
      <c r="Y221">
        <v>3</v>
      </c>
      <c r="Z221">
        <v>3</v>
      </c>
      <c r="AA221" t="s">
        <v>96</v>
      </c>
      <c r="AB221" t="s">
        <v>351</v>
      </c>
      <c r="AC221" t="s">
        <v>98</v>
      </c>
      <c r="AD221" t="s">
        <v>280</v>
      </c>
      <c r="AE221" t="s">
        <v>304</v>
      </c>
      <c r="AF221" t="s">
        <v>907</v>
      </c>
      <c r="AG221">
        <v>1375</v>
      </c>
      <c r="AH221" t="s">
        <v>101</v>
      </c>
      <c r="AI221" t="s">
        <v>907</v>
      </c>
      <c r="AJ221" s="5">
        <v>780</v>
      </c>
      <c r="AK221" t="s">
        <v>789</v>
      </c>
      <c r="AL221" t="s">
        <v>907</v>
      </c>
      <c r="AM221" t="s">
        <v>907</v>
      </c>
      <c r="AN221" t="s">
        <v>907</v>
      </c>
      <c r="AQ221" t="s">
        <v>907</v>
      </c>
      <c r="AR221" t="s">
        <v>907</v>
      </c>
      <c r="AS221">
        <v>0</v>
      </c>
      <c r="AT221">
        <v>0</v>
      </c>
      <c r="AU221">
        <v>0</v>
      </c>
      <c r="AV221">
        <v>0</v>
      </c>
      <c r="AW221">
        <v>0</v>
      </c>
      <c r="AX221">
        <v>0</v>
      </c>
      <c r="AY221">
        <v>0</v>
      </c>
      <c r="AZ221" t="s">
        <v>106</v>
      </c>
      <c r="BA221" t="s">
        <v>907</v>
      </c>
      <c r="BB221" t="s">
        <v>232</v>
      </c>
      <c r="BC221" t="s">
        <v>95</v>
      </c>
      <c r="BD221" t="s">
        <v>907</v>
      </c>
      <c r="BE221" t="s">
        <v>907</v>
      </c>
      <c r="BF221" t="s">
        <v>907</v>
      </c>
      <c r="BG221" t="s">
        <v>109</v>
      </c>
      <c r="BH221">
        <v>50</v>
      </c>
      <c r="BL221">
        <v>23</v>
      </c>
      <c r="BN221">
        <v>2</v>
      </c>
      <c r="BP221">
        <v>7</v>
      </c>
      <c r="BR221">
        <v>3</v>
      </c>
      <c r="BT221">
        <v>6</v>
      </c>
      <c r="BV221">
        <v>0</v>
      </c>
      <c r="BX221">
        <v>15</v>
      </c>
      <c r="BY221" t="s">
        <v>189</v>
      </c>
      <c r="BZ221">
        <v>4</v>
      </c>
      <c r="CA221">
        <v>7</v>
      </c>
      <c r="CB221" t="s">
        <v>84</v>
      </c>
      <c r="CC221" t="s">
        <v>84</v>
      </c>
      <c r="CD221" t="s">
        <v>2461</v>
      </c>
      <c r="CE221" t="s">
        <v>4250</v>
      </c>
      <c r="CF221" t="s">
        <v>4012</v>
      </c>
      <c r="CG221" t="s">
        <v>907</v>
      </c>
      <c r="CH221">
        <v>7</v>
      </c>
      <c r="CI221" t="s">
        <v>84</v>
      </c>
      <c r="CJ221" t="s">
        <v>405</v>
      </c>
      <c r="CK221" t="s">
        <v>289</v>
      </c>
      <c r="CL221" t="s">
        <v>263</v>
      </c>
      <c r="CM221" t="s">
        <v>162</v>
      </c>
      <c r="CN221" t="s">
        <v>3874</v>
      </c>
      <c r="CO221" t="s">
        <v>95</v>
      </c>
      <c r="CP221" t="s">
        <v>907</v>
      </c>
      <c r="CQ221" t="s">
        <v>116</v>
      </c>
      <c r="CR221" t="s">
        <v>95</v>
      </c>
      <c r="CS221" t="s">
        <v>907</v>
      </c>
      <c r="CT221" t="s">
        <v>907</v>
      </c>
      <c r="CU221" t="s">
        <v>907</v>
      </c>
      <c r="CV221" t="s">
        <v>907</v>
      </c>
      <c r="CW221" t="s">
        <v>907</v>
      </c>
      <c r="CX221" t="s">
        <v>166</v>
      </c>
      <c r="CY221" t="s">
        <v>167</v>
      </c>
      <c r="CZ221" t="s">
        <v>2671</v>
      </c>
      <c r="DA221">
        <v>2</v>
      </c>
      <c r="DB221" s="10">
        <v>9000</v>
      </c>
      <c r="DC221" t="s">
        <v>169</v>
      </c>
      <c r="DD221" t="s">
        <v>907</v>
      </c>
      <c r="DE221">
        <v>1</v>
      </c>
      <c r="DF221">
        <v>25</v>
      </c>
      <c r="DG221" t="s">
        <v>95</v>
      </c>
      <c r="DH221" t="s">
        <v>95</v>
      </c>
      <c r="DI221" t="s">
        <v>907</v>
      </c>
      <c r="DJ221" t="s">
        <v>907</v>
      </c>
      <c r="DK221" t="s">
        <v>907</v>
      </c>
      <c r="DL221" t="s">
        <v>907</v>
      </c>
      <c r="DM221" t="s">
        <v>291</v>
      </c>
      <c r="DN221" t="s">
        <v>907</v>
      </c>
      <c r="DO221" t="s">
        <v>907</v>
      </c>
      <c r="DP221">
        <v>3</v>
      </c>
      <c r="DQ221" t="s">
        <v>128</v>
      </c>
      <c r="DR221" t="s">
        <v>907</v>
      </c>
      <c r="DS221" t="s">
        <v>996</v>
      </c>
      <c r="DT221" t="s">
        <v>2672</v>
      </c>
      <c r="DU221" t="s">
        <v>95</v>
      </c>
      <c r="DV221" t="s">
        <v>907</v>
      </c>
      <c r="DW221" t="s">
        <v>907</v>
      </c>
      <c r="DX221" t="s">
        <v>907</v>
      </c>
      <c r="FQ221">
        <v>567387245</v>
      </c>
      <c r="FR221" t="s">
        <v>2673</v>
      </c>
      <c r="FS221" s="1">
        <v>45926.517800925933</v>
      </c>
      <c r="FV221" t="s">
        <v>134</v>
      </c>
      <c r="FW221" t="s">
        <v>135</v>
      </c>
      <c r="FX221" t="s">
        <v>136</v>
      </c>
      <c r="FZ221">
        <v>390</v>
      </c>
    </row>
    <row r="222" spans="1:182" hidden="1" x14ac:dyDescent="0.3">
      <c r="A222" s="1">
        <v>45924.430805798613</v>
      </c>
      <c r="B222" s="1">
        <v>45924.940452962961</v>
      </c>
      <c r="D222" t="s">
        <v>84</v>
      </c>
      <c r="E222" t="s">
        <v>245</v>
      </c>
      <c r="F222" t="s">
        <v>1569</v>
      </c>
      <c r="G222" t="s">
        <v>87</v>
      </c>
      <c r="H222" t="s">
        <v>4121</v>
      </c>
      <c r="I222" t="s">
        <v>1570</v>
      </c>
      <c r="J222" t="s">
        <v>1571</v>
      </c>
      <c r="K222" t="s">
        <v>90</v>
      </c>
      <c r="L222" t="s">
        <v>1572</v>
      </c>
      <c r="M222" t="s">
        <v>1573</v>
      </c>
      <c r="N222" t="s">
        <v>1574</v>
      </c>
      <c r="O222">
        <v>-15.3277964</v>
      </c>
      <c r="P222">
        <v>23.039964999999999</v>
      </c>
      <c r="Q222">
        <v>1024.887817382812</v>
      </c>
      <c r="R222">
        <v>4.968</v>
      </c>
      <c r="S222" t="s">
        <v>84</v>
      </c>
      <c r="T222" t="s">
        <v>94</v>
      </c>
      <c r="U222">
        <v>4</v>
      </c>
      <c r="V222" t="s">
        <v>95</v>
      </c>
      <c r="W222" t="s">
        <v>907</v>
      </c>
      <c r="X222">
        <v>5</v>
      </c>
      <c r="Y222">
        <v>5</v>
      </c>
      <c r="Z222">
        <v>5</v>
      </c>
      <c r="AA222" t="s">
        <v>96</v>
      </c>
      <c r="AB222" t="s">
        <v>97</v>
      </c>
      <c r="AC222" t="s">
        <v>98</v>
      </c>
      <c r="AD222" t="s">
        <v>99</v>
      </c>
      <c r="AE222" t="s">
        <v>100</v>
      </c>
      <c r="AF222" t="s">
        <v>907</v>
      </c>
      <c r="AG222">
        <v>0</v>
      </c>
      <c r="AH222" t="s">
        <v>3873</v>
      </c>
      <c r="AI222" t="s">
        <v>907</v>
      </c>
      <c r="AJ222" t="s">
        <v>907</v>
      </c>
      <c r="AK222" t="s">
        <v>102</v>
      </c>
      <c r="AL222" t="s">
        <v>907</v>
      </c>
      <c r="AM222" t="s">
        <v>4130</v>
      </c>
      <c r="AN222" t="s">
        <v>907</v>
      </c>
      <c r="AQ222" t="s">
        <v>418</v>
      </c>
      <c r="AR222" t="s">
        <v>95</v>
      </c>
      <c r="AS222">
        <v>0</v>
      </c>
      <c r="AT222">
        <v>0</v>
      </c>
      <c r="AU222">
        <v>0</v>
      </c>
      <c r="AV222">
        <v>0</v>
      </c>
      <c r="AW222">
        <v>0</v>
      </c>
      <c r="AX222">
        <v>0</v>
      </c>
      <c r="AY222">
        <v>0</v>
      </c>
      <c r="AZ222" t="s">
        <v>256</v>
      </c>
      <c r="BA222" t="s">
        <v>95</v>
      </c>
      <c r="BB222" t="s">
        <v>154</v>
      </c>
      <c r="BC222" t="s">
        <v>907</v>
      </c>
      <c r="BD222" t="s">
        <v>107</v>
      </c>
      <c r="BE222" t="s">
        <v>810</v>
      </c>
      <c r="BF222" t="s">
        <v>1575</v>
      </c>
      <c r="BG222" t="s">
        <v>235</v>
      </c>
      <c r="BH222">
        <v>77</v>
      </c>
      <c r="BY222" t="s">
        <v>189</v>
      </c>
      <c r="BZ222">
        <v>6</v>
      </c>
      <c r="CA222">
        <v>3</v>
      </c>
      <c r="CB222" t="s">
        <v>84</v>
      </c>
      <c r="CC222" t="s">
        <v>84</v>
      </c>
      <c r="CD222" t="s">
        <v>1576</v>
      </c>
      <c r="CE222" t="s">
        <v>4250</v>
      </c>
      <c r="CF222" t="s">
        <v>1577</v>
      </c>
      <c r="CG222" t="s">
        <v>907</v>
      </c>
      <c r="CH222">
        <v>7</v>
      </c>
      <c r="CI222" t="s">
        <v>84</v>
      </c>
      <c r="CJ222" t="s">
        <v>262</v>
      </c>
      <c r="CK222" t="s">
        <v>289</v>
      </c>
      <c r="CL222" t="s">
        <v>1196</v>
      </c>
      <c r="CM222" t="s">
        <v>193</v>
      </c>
      <c r="CN222" t="s">
        <v>1578</v>
      </c>
      <c r="CO222" t="s">
        <v>95</v>
      </c>
      <c r="CP222" t="s">
        <v>907</v>
      </c>
      <c r="CQ222" t="s">
        <v>116</v>
      </c>
      <c r="CR222" t="s">
        <v>84</v>
      </c>
      <c r="CS222" t="s">
        <v>117</v>
      </c>
      <c r="CT222" t="s">
        <v>264</v>
      </c>
      <c r="CU222" t="s">
        <v>438</v>
      </c>
      <c r="CV222" t="s">
        <v>290</v>
      </c>
      <c r="CW222" t="s">
        <v>907</v>
      </c>
      <c r="CX222" t="s">
        <v>907</v>
      </c>
      <c r="CY222" t="s">
        <v>907</v>
      </c>
      <c r="CZ222" t="s">
        <v>907</v>
      </c>
      <c r="DA222" t="s">
        <v>907</v>
      </c>
      <c r="DB222" t="s">
        <v>907</v>
      </c>
      <c r="DC222" t="s">
        <v>907</v>
      </c>
      <c r="DD222" t="s">
        <v>907</v>
      </c>
      <c r="DE222" t="s">
        <v>907</v>
      </c>
      <c r="DF222" t="s">
        <v>907</v>
      </c>
      <c r="DG222" t="s">
        <v>95</v>
      </c>
      <c r="DH222" t="s">
        <v>95</v>
      </c>
      <c r="DI222" t="s">
        <v>907</v>
      </c>
      <c r="DJ222" t="s">
        <v>907</v>
      </c>
      <c r="DK222" t="s">
        <v>907</v>
      </c>
      <c r="DL222" t="s">
        <v>907</v>
      </c>
      <c r="DM222" t="s">
        <v>291</v>
      </c>
      <c r="DN222" t="s">
        <v>907</v>
      </c>
      <c r="DO222" t="s">
        <v>907</v>
      </c>
      <c r="DP222">
        <v>4</v>
      </c>
      <c r="DQ222" t="s">
        <v>441</v>
      </c>
      <c r="DR222" t="s">
        <v>907</v>
      </c>
      <c r="DS222" t="s">
        <v>882</v>
      </c>
      <c r="DT222" t="s">
        <v>271</v>
      </c>
      <c r="DU222" t="s">
        <v>95</v>
      </c>
      <c r="DV222" t="s">
        <v>907</v>
      </c>
      <c r="DW222" t="s">
        <v>907</v>
      </c>
      <c r="DX222" t="s">
        <v>907</v>
      </c>
      <c r="FQ222">
        <v>566103872</v>
      </c>
      <c r="FR222" t="s">
        <v>1579</v>
      </c>
      <c r="FS222" s="1">
        <v>45924.857210648152</v>
      </c>
      <c r="FV222" t="s">
        <v>134</v>
      </c>
      <c r="FW222" t="s">
        <v>135</v>
      </c>
      <c r="FX222" t="s">
        <v>136</v>
      </c>
      <c r="FZ222">
        <v>254</v>
      </c>
    </row>
    <row r="223" spans="1:182" x14ac:dyDescent="0.3">
      <c r="A223" s="1">
        <v>45925.611645543977</v>
      </c>
      <c r="B223" s="1">
        <v>45925.637696192127</v>
      </c>
      <c r="D223" t="s">
        <v>84</v>
      </c>
      <c r="E223" t="s">
        <v>1226</v>
      </c>
      <c r="F223" t="s">
        <v>3986</v>
      </c>
      <c r="G223" t="s">
        <v>176</v>
      </c>
      <c r="H223" t="s">
        <v>4121</v>
      </c>
      <c r="I223" t="s">
        <v>2292</v>
      </c>
      <c r="J223" t="s">
        <v>2293</v>
      </c>
      <c r="K223" t="s">
        <v>90</v>
      </c>
      <c r="L223" t="s">
        <v>2294</v>
      </c>
      <c r="M223" t="s">
        <v>2295</v>
      </c>
      <c r="N223" t="s">
        <v>2296</v>
      </c>
      <c r="O223">
        <v>-15.233488299999999</v>
      </c>
      <c r="P223">
        <v>22.991804999999999</v>
      </c>
      <c r="Q223">
        <v>1036.5999999999999</v>
      </c>
      <c r="R223">
        <v>4.8</v>
      </c>
      <c r="S223" t="s">
        <v>84</v>
      </c>
      <c r="T223" t="s">
        <v>94</v>
      </c>
      <c r="U223">
        <v>3</v>
      </c>
      <c r="V223" t="s">
        <v>95</v>
      </c>
      <c r="W223" t="s">
        <v>907</v>
      </c>
      <c r="X223">
        <v>6</v>
      </c>
      <c r="Y223">
        <v>36</v>
      </c>
      <c r="Z223">
        <v>2</v>
      </c>
      <c r="AA223" t="s">
        <v>251</v>
      </c>
      <c r="AB223" t="s">
        <v>97</v>
      </c>
      <c r="AC223" t="s">
        <v>144</v>
      </c>
      <c r="AD223" t="s">
        <v>252</v>
      </c>
      <c r="AE223" t="s">
        <v>123</v>
      </c>
      <c r="AF223" t="s">
        <v>1232</v>
      </c>
      <c r="AG223" s="3">
        <v>6000</v>
      </c>
      <c r="AH223" t="s">
        <v>1651</v>
      </c>
      <c r="AI223" t="s">
        <v>907</v>
      </c>
      <c r="AJ223" s="5">
        <v>10000</v>
      </c>
      <c r="AK223" t="s">
        <v>102</v>
      </c>
      <c r="AL223" t="s">
        <v>907</v>
      </c>
      <c r="AM223" t="s">
        <v>2297</v>
      </c>
      <c r="AN223" t="s">
        <v>1418</v>
      </c>
      <c r="AO223" t="s">
        <v>2298</v>
      </c>
      <c r="AP223" t="s">
        <v>2299</v>
      </c>
      <c r="AQ223" t="s">
        <v>466</v>
      </c>
      <c r="AR223" t="s">
        <v>84</v>
      </c>
      <c r="AS223">
        <v>3</v>
      </c>
      <c r="AT223">
        <v>0</v>
      </c>
      <c r="AU223">
        <v>0</v>
      </c>
      <c r="AV223">
        <v>46</v>
      </c>
      <c r="AW223">
        <v>0</v>
      </c>
      <c r="AX223">
        <v>0</v>
      </c>
      <c r="AY223">
        <v>0</v>
      </c>
      <c r="AZ223" t="s">
        <v>929</v>
      </c>
      <c r="BA223" t="s">
        <v>452</v>
      </c>
      <c r="BB223" t="s">
        <v>154</v>
      </c>
      <c r="BC223" t="s">
        <v>907</v>
      </c>
      <c r="BD223" t="s">
        <v>107</v>
      </c>
      <c r="BE223" t="s">
        <v>258</v>
      </c>
      <c r="BF223" t="s">
        <v>2191</v>
      </c>
      <c r="BG223" t="s">
        <v>156</v>
      </c>
      <c r="BH223">
        <v>109</v>
      </c>
      <c r="BL223">
        <v>32</v>
      </c>
      <c r="BN223">
        <v>3</v>
      </c>
      <c r="BP223">
        <v>15</v>
      </c>
      <c r="BR223">
        <v>18</v>
      </c>
      <c r="BT223">
        <v>4</v>
      </c>
      <c r="BV223">
        <v>15</v>
      </c>
      <c r="BX223">
        <v>22</v>
      </c>
      <c r="BY223" t="s">
        <v>189</v>
      </c>
      <c r="BZ223">
        <v>2</v>
      </c>
      <c r="CA223">
        <v>11</v>
      </c>
      <c r="CB223" t="s">
        <v>84</v>
      </c>
      <c r="CC223" t="s">
        <v>84</v>
      </c>
      <c r="CD223" t="s">
        <v>778</v>
      </c>
      <c r="CE223" t="s">
        <v>4251</v>
      </c>
      <c r="CF223" t="s">
        <v>3987</v>
      </c>
      <c r="CG223" t="s">
        <v>907</v>
      </c>
      <c r="CH223">
        <v>7</v>
      </c>
      <c r="CI223" t="s">
        <v>84</v>
      </c>
      <c r="CJ223" t="s">
        <v>262</v>
      </c>
      <c r="CK223" t="s">
        <v>289</v>
      </c>
      <c r="CL223" t="s">
        <v>367</v>
      </c>
      <c r="CM223" t="s">
        <v>193</v>
      </c>
      <c r="CN223" t="s">
        <v>3988</v>
      </c>
      <c r="CO223" t="s">
        <v>84</v>
      </c>
      <c r="CP223" t="s">
        <v>355</v>
      </c>
      <c r="CQ223" t="s">
        <v>116</v>
      </c>
      <c r="CR223" t="s">
        <v>84</v>
      </c>
      <c r="CS223" t="s">
        <v>117</v>
      </c>
      <c r="CT223" t="s">
        <v>907</v>
      </c>
      <c r="CU223" t="s">
        <v>3869</v>
      </c>
      <c r="CV223" t="s">
        <v>812</v>
      </c>
      <c r="CW223" t="s">
        <v>495</v>
      </c>
      <c r="CX223" t="s">
        <v>166</v>
      </c>
      <c r="CY223" t="s">
        <v>167</v>
      </c>
      <c r="CZ223" t="s">
        <v>2300</v>
      </c>
      <c r="DA223">
        <v>2</v>
      </c>
      <c r="DB223" s="10">
        <v>12000</v>
      </c>
      <c r="DC223" t="s">
        <v>169</v>
      </c>
      <c r="DD223" t="s">
        <v>907</v>
      </c>
      <c r="DE223">
        <v>2</v>
      </c>
      <c r="DF223">
        <v>12</v>
      </c>
      <c r="DG223" t="s">
        <v>95</v>
      </c>
      <c r="DH223" t="s">
        <v>95</v>
      </c>
      <c r="DI223" t="s">
        <v>907</v>
      </c>
      <c r="DJ223" t="s">
        <v>907</v>
      </c>
      <c r="DK223" t="s">
        <v>907</v>
      </c>
      <c r="DL223" t="s">
        <v>907</v>
      </c>
      <c r="DM223" t="s">
        <v>291</v>
      </c>
      <c r="DN223" t="s">
        <v>907</v>
      </c>
      <c r="DO223" t="s">
        <v>907</v>
      </c>
      <c r="DP223">
        <v>200</v>
      </c>
      <c r="DQ223" t="s">
        <v>441</v>
      </c>
      <c r="DR223" t="s">
        <v>907</v>
      </c>
      <c r="DS223" t="s">
        <v>1362</v>
      </c>
      <c r="DT223" t="s">
        <v>2301</v>
      </c>
      <c r="DU223" t="s">
        <v>84</v>
      </c>
      <c r="DV223" t="s">
        <v>864</v>
      </c>
      <c r="DW223" t="s">
        <v>533</v>
      </c>
      <c r="DX223" t="s">
        <v>95</v>
      </c>
      <c r="FQ223">
        <v>566875476</v>
      </c>
      <c r="FR223" t="s">
        <v>2302</v>
      </c>
      <c r="FS223" s="1">
        <v>45925.743900462963</v>
      </c>
      <c r="FV223" t="s">
        <v>134</v>
      </c>
      <c r="FW223" t="s">
        <v>135</v>
      </c>
      <c r="FX223" t="s">
        <v>136</v>
      </c>
      <c r="FZ223">
        <v>323</v>
      </c>
    </row>
    <row r="224" spans="1:182" hidden="1" x14ac:dyDescent="0.3">
      <c r="A224" s="1">
        <v>45925.490690011567</v>
      </c>
      <c r="B224" s="1">
        <v>45925.505502534717</v>
      </c>
      <c r="D224" t="s">
        <v>84</v>
      </c>
      <c r="E224" t="s">
        <v>297</v>
      </c>
      <c r="F224" t="s">
        <v>2507</v>
      </c>
      <c r="G224" t="s">
        <v>176</v>
      </c>
      <c r="H224" t="s">
        <v>4122</v>
      </c>
      <c r="I224" t="s">
        <v>2508</v>
      </c>
      <c r="J224" t="s">
        <v>2509</v>
      </c>
      <c r="K224" t="s">
        <v>90</v>
      </c>
      <c r="L224" t="s">
        <v>2510</v>
      </c>
      <c r="M224" t="s">
        <v>1871</v>
      </c>
      <c r="N224" t="s">
        <v>2511</v>
      </c>
      <c r="O224">
        <v>-15.197426699999999</v>
      </c>
      <c r="P224">
        <v>22.97363</v>
      </c>
      <c r="Q224">
        <v>986.6</v>
      </c>
      <c r="R224">
        <v>4.9000000000000004</v>
      </c>
      <c r="S224" t="s">
        <v>84</v>
      </c>
      <c r="T224" t="s">
        <v>94</v>
      </c>
      <c r="U224">
        <v>7</v>
      </c>
      <c r="V224" t="s">
        <v>95</v>
      </c>
      <c r="W224" t="s">
        <v>907</v>
      </c>
      <c r="X224">
        <v>40</v>
      </c>
      <c r="Y224">
        <v>8</v>
      </c>
      <c r="Z224">
        <v>8</v>
      </c>
      <c r="AA224" t="s">
        <v>504</v>
      </c>
      <c r="AB224" t="s">
        <v>97</v>
      </c>
      <c r="AC224" t="s">
        <v>98</v>
      </c>
      <c r="AD224" t="s">
        <v>280</v>
      </c>
      <c r="AE224" t="s">
        <v>100</v>
      </c>
      <c r="AF224" t="s">
        <v>907</v>
      </c>
      <c r="AG224">
        <v>24000</v>
      </c>
      <c r="AH224" t="s">
        <v>101</v>
      </c>
      <c r="AI224" t="s">
        <v>907</v>
      </c>
      <c r="AJ224" s="5">
        <v>3500</v>
      </c>
      <c r="AK224" t="s">
        <v>102</v>
      </c>
      <c r="AL224" t="s">
        <v>907</v>
      </c>
      <c r="AM224" t="s">
        <v>253</v>
      </c>
      <c r="AN224" t="s">
        <v>907</v>
      </c>
      <c r="AO224" t="s">
        <v>267</v>
      </c>
      <c r="AP224" t="s">
        <v>267</v>
      </c>
      <c r="AQ224" t="s">
        <v>956</v>
      </c>
      <c r="AR224" t="s">
        <v>95</v>
      </c>
      <c r="AS224">
        <v>0</v>
      </c>
      <c r="AT224">
        <v>0</v>
      </c>
      <c r="AU224">
        <v>0</v>
      </c>
      <c r="AV224">
        <v>0</v>
      </c>
      <c r="AW224">
        <v>0</v>
      </c>
      <c r="AX224">
        <v>0</v>
      </c>
      <c r="AY224">
        <v>0</v>
      </c>
      <c r="AZ224" t="s">
        <v>1003</v>
      </c>
      <c r="BA224" t="s">
        <v>95</v>
      </c>
      <c r="BB224" t="s">
        <v>154</v>
      </c>
      <c r="BC224" t="s">
        <v>907</v>
      </c>
      <c r="BD224" t="s">
        <v>107</v>
      </c>
      <c r="BE224" t="s">
        <v>258</v>
      </c>
      <c r="BF224" t="s">
        <v>4001</v>
      </c>
      <c r="BG224" t="s">
        <v>156</v>
      </c>
      <c r="BH224">
        <v>36</v>
      </c>
      <c r="BL224">
        <v>13</v>
      </c>
      <c r="BN224">
        <v>0</v>
      </c>
      <c r="BP224">
        <v>6</v>
      </c>
      <c r="BR224">
        <v>6</v>
      </c>
      <c r="BT224">
        <v>6</v>
      </c>
      <c r="BV224">
        <v>1</v>
      </c>
      <c r="BX224">
        <v>4</v>
      </c>
      <c r="BY224" t="s">
        <v>189</v>
      </c>
      <c r="BZ224">
        <v>2</v>
      </c>
      <c r="CA224">
        <v>23</v>
      </c>
      <c r="CB224" t="s">
        <v>84</v>
      </c>
      <c r="CC224" t="s">
        <v>84</v>
      </c>
      <c r="CD224" t="s">
        <v>2512</v>
      </c>
      <c r="CE224" t="s">
        <v>1998</v>
      </c>
      <c r="CF224" t="s">
        <v>4002</v>
      </c>
      <c r="CG224" t="s">
        <v>907</v>
      </c>
      <c r="CH224">
        <v>7</v>
      </c>
      <c r="CI224" t="s">
        <v>84</v>
      </c>
      <c r="CJ224" t="s">
        <v>262</v>
      </c>
      <c r="CK224" t="s">
        <v>289</v>
      </c>
      <c r="CL224" t="s">
        <v>4262</v>
      </c>
      <c r="CM224" t="s">
        <v>193</v>
      </c>
      <c r="CN224" t="s">
        <v>194</v>
      </c>
      <c r="CO224" t="s">
        <v>95</v>
      </c>
      <c r="CP224" t="s">
        <v>907</v>
      </c>
      <c r="CQ224" t="s">
        <v>116</v>
      </c>
      <c r="CR224" t="s">
        <v>84</v>
      </c>
      <c r="CS224" t="s">
        <v>117</v>
      </c>
      <c r="CT224" t="s">
        <v>907</v>
      </c>
      <c r="CU224" t="s">
        <v>438</v>
      </c>
      <c r="CV224" t="s">
        <v>119</v>
      </c>
      <c r="CW224" t="s">
        <v>1344</v>
      </c>
      <c r="CX224" t="s">
        <v>166</v>
      </c>
      <c r="CY224" t="s">
        <v>167</v>
      </c>
      <c r="CZ224" t="s">
        <v>2513</v>
      </c>
      <c r="DA224">
        <v>3</v>
      </c>
      <c r="DB224" s="10">
        <v>12000</v>
      </c>
      <c r="DC224" t="s">
        <v>123</v>
      </c>
      <c r="DD224" t="s">
        <v>2514</v>
      </c>
      <c r="DE224">
        <v>2</v>
      </c>
      <c r="DF224">
        <v>18</v>
      </c>
      <c r="DG224" t="s">
        <v>95</v>
      </c>
      <c r="DH224" t="s">
        <v>95</v>
      </c>
      <c r="DI224" t="s">
        <v>907</v>
      </c>
      <c r="DJ224" t="s">
        <v>907</v>
      </c>
      <c r="DK224" t="s">
        <v>907</v>
      </c>
      <c r="DL224" t="s">
        <v>907</v>
      </c>
      <c r="DM224" t="s">
        <v>291</v>
      </c>
      <c r="DN224" t="s">
        <v>907</v>
      </c>
      <c r="DO224" t="s">
        <v>907</v>
      </c>
      <c r="DP224">
        <v>50</v>
      </c>
      <c r="DQ224" t="s">
        <v>441</v>
      </c>
      <c r="DR224" t="s">
        <v>907</v>
      </c>
      <c r="DS224" t="s">
        <v>2515</v>
      </c>
      <c r="DT224" t="s">
        <v>2516</v>
      </c>
      <c r="DU224" t="s">
        <v>95</v>
      </c>
      <c r="DV224" t="s">
        <v>907</v>
      </c>
      <c r="DW224" t="s">
        <v>907</v>
      </c>
      <c r="DX224" t="s">
        <v>907</v>
      </c>
      <c r="FQ224">
        <v>566956938</v>
      </c>
      <c r="FR224" t="s">
        <v>2517</v>
      </c>
      <c r="FS224" s="1">
        <v>45925.84474537037</v>
      </c>
      <c r="FV224" t="s">
        <v>134</v>
      </c>
      <c r="FW224" t="s">
        <v>135</v>
      </c>
      <c r="FX224" t="s">
        <v>136</v>
      </c>
      <c r="FZ224">
        <v>360</v>
      </c>
    </row>
    <row r="225" spans="1:182" hidden="1" x14ac:dyDescent="0.3">
      <c r="A225" s="1">
        <v>45930.386369965279</v>
      </c>
      <c r="B225" s="1">
        <v>45930.416835902783</v>
      </c>
      <c r="D225" t="s">
        <v>84</v>
      </c>
      <c r="E225" t="s">
        <v>297</v>
      </c>
      <c r="F225" t="s">
        <v>3598</v>
      </c>
      <c r="G225" t="s">
        <v>176</v>
      </c>
      <c r="H225" t="s">
        <v>4122</v>
      </c>
      <c r="I225" t="s">
        <v>3599</v>
      </c>
      <c r="J225" t="s">
        <v>3600</v>
      </c>
      <c r="K225" t="s">
        <v>90</v>
      </c>
      <c r="L225" t="s">
        <v>3601</v>
      </c>
      <c r="M225" t="s">
        <v>3602</v>
      </c>
      <c r="N225" t="s">
        <v>3603</v>
      </c>
      <c r="O225">
        <v>-15.1941626</v>
      </c>
      <c r="P225">
        <v>22.9142005</v>
      </c>
      <c r="Q225">
        <v>992</v>
      </c>
      <c r="R225">
        <v>4.96</v>
      </c>
      <c r="S225" t="s">
        <v>84</v>
      </c>
      <c r="T225" t="s">
        <v>94</v>
      </c>
      <c r="U225">
        <v>8</v>
      </c>
      <c r="V225" t="s">
        <v>95</v>
      </c>
      <c r="W225" t="s">
        <v>907</v>
      </c>
      <c r="X225">
        <v>25</v>
      </c>
      <c r="Y225">
        <v>2</v>
      </c>
      <c r="Z225">
        <v>2</v>
      </c>
      <c r="AA225" t="s">
        <v>504</v>
      </c>
      <c r="AB225" t="s">
        <v>97</v>
      </c>
      <c r="AC225" t="s">
        <v>98</v>
      </c>
      <c r="AD225" t="s">
        <v>280</v>
      </c>
      <c r="AE225" t="s">
        <v>304</v>
      </c>
      <c r="AF225" t="s">
        <v>907</v>
      </c>
      <c r="AG225">
        <v>4000</v>
      </c>
      <c r="AH225" t="s">
        <v>3873</v>
      </c>
      <c r="AI225" t="s">
        <v>907</v>
      </c>
      <c r="AJ225" t="s">
        <v>907</v>
      </c>
      <c r="AK225" t="s">
        <v>102</v>
      </c>
      <c r="AL225" t="s">
        <v>907</v>
      </c>
      <c r="AM225" t="s">
        <v>466</v>
      </c>
      <c r="AN225" t="s">
        <v>907</v>
      </c>
      <c r="AO225" t="s">
        <v>267</v>
      </c>
      <c r="AP225" t="s">
        <v>2473</v>
      </c>
      <c r="AQ225" t="s">
        <v>466</v>
      </c>
      <c r="AR225" t="s">
        <v>95</v>
      </c>
      <c r="AS225">
        <v>0</v>
      </c>
      <c r="AT225">
        <v>0</v>
      </c>
      <c r="AU225">
        <v>0</v>
      </c>
      <c r="AV225">
        <v>1</v>
      </c>
      <c r="AW225">
        <v>0</v>
      </c>
      <c r="AX225">
        <v>0</v>
      </c>
      <c r="AY225">
        <v>0</v>
      </c>
      <c r="AZ225" t="s">
        <v>929</v>
      </c>
      <c r="BA225" t="s">
        <v>95</v>
      </c>
      <c r="BB225" t="s">
        <v>154</v>
      </c>
      <c r="BC225" t="s">
        <v>907</v>
      </c>
      <c r="BD225" t="s">
        <v>107</v>
      </c>
      <c r="BE225" t="s">
        <v>258</v>
      </c>
      <c r="BF225" t="s">
        <v>3916</v>
      </c>
      <c r="BG225" t="s">
        <v>156</v>
      </c>
      <c r="BH225">
        <v>12</v>
      </c>
      <c r="BL225">
        <v>7</v>
      </c>
      <c r="BN225">
        <v>1</v>
      </c>
      <c r="BP225">
        <v>0</v>
      </c>
      <c r="BR225">
        <v>0</v>
      </c>
      <c r="BT225">
        <v>2</v>
      </c>
      <c r="BV225">
        <v>0</v>
      </c>
      <c r="BX225">
        <v>2</v>
      </c>
      <c r="BY225" t="s">
        <v>110</v>
      </c>
      <c r="BZ225" t="s">
        <v>907</v>
      </c>
      <c r="CA225" t="s">
        <v>907</v>
      </c>
      <c r="CB225" t="s">
        <v>84</v>
      </c>
      <c r="CC225" t="s">
        <v>84</v>
      </c>
      <c r="CD225" t="s">
        <v>3604</v>
      </c>
      <c r="CE225" t="s">
        <v>4252</v>
      </c>
      <c r="CF225" t="s">
        <v>4101</v>
      </c>
      <c r="CG225" t="s">
        <v>907</v>
      </c>
      <c r="CH225">
        <v>7</v>
      </c>
      <c r="CI225" t="s">
        <v>95</v>
      </c>
      <c r="CJ225" t="s">
        <v>907</v>
      </c>
      <c r="CK225" t="s">
        <v>289</v>
      </c>
      <c r="CL225" t="s">
        <v>263</v>
      </c>
      <c r="CM225" t="s">
        <v>193</v>
      </c>
      <c r="CN225" t="s">
        <v>3903</v>
      </c>
      <c r="CO225" t="s">
        <v>95</v>
      </c>
      <c r="CP225" t="s">
        <v>907</v>
      </c>
      <c r="CQ225" t="s">
        <v>116</v>
      </c>
      <c r="CR225" t="s">
        <v>84</v>
      </c>
      <c r="CS225" t="s">
        <v>117</v>
      </c>
      <c r="CT225" t="s">
        <v>264</v>
      </c>
      <c r="CU225" t="s">
        <v>438</v>
      </c>
      <c r="CV225" t="s">
        <v>812</v>
      </c>
      <c r="CW225" t="s">
        <v>3605</v>
      </c>
      <c r="CX225" t="s">
        <v>166</v>
      </c>
      <c r="CY225" t="s">
        <v>167</v>
      </c>
      <c r="CZ225" t="s">
        <v>2132</v>
      </c>
      <c r="DA225">
        <v>4</v>
      </c>
      <c r="DB225" s="10">
        <v>12000</v>
      </c>
      <c r="DC225" t="s">
        <v>123</v>
      </c>
      <c r="DD225" t="s">
        <v>3606</v>
      </c>
      <c r="DE225">
        <v>2</v>
      </c>
      <c r="DF225">
        <v>15</v>
      </c>
      <c r="DG225" t="s">
        <v>95</v>
      </c>
      <c r="DH225" t="s">
        <v>95</v>
      </c>
      <c r="DI225" t="s">
        <v>907</v>
      </c>
      <c r="DJ225" t="s">
        <v>907</v>
      </c>
      <c r="DK225" t="s">
        <v>907</v>
      </c>
      <c r="DL225" t="s">
        <v>907</v>
      </c>
      <c r="DM225" t="s">
        <v>291</v>
      </c>
      <c r="DN225" t="s">
        <v>907</v>
      </c>
      <c r="DO225" t="s">
        <v>907</v>
      </c>
      <c r="DP225">
        <v>3</v>
      </c>
      <c r="DQ225" t="s">
        <v>441</v>
      </c>
      <c r="DR225" t="s">
        <v>907</v>
      </c>
      <c r="DS225" t="s">
        <v>1287</v>
      </c>
      <c r="DT225" t="s">
        <v>1459</v>
      </c>
      <c r="DU225" t="s">
        <v>95</v>
      </c>
      <c r="DV225" t="s">
        <v>907</v>
      </c>
      <c r="DW225" t="s">
        <v>907</v>
      </c>
      <c r="DX225" t="s">
        <v>907</v>
      </c>
      <c r="FQ225">
        <v>569950715</v>
      </c>
      <c r="FR225" t="s">
        <v>3607</v>
      </c>
      <c r="FS225" s="1">
        <v>45930.425486111111</v>
      </c>
      <c r="FV225" t="s">
        <v>134</v>
      </c>
      <c r="FW225" t="s">
        <v>135</v>
      </c>
      <c r="FX225" t="s">
        <v>136</v>
      </c>
      <c r="FZ225">
        <v>564</v>
      </c>
    </row>
    <row r="226" spans="1:182" hidden="1" x14ac:dyDescent="0.3">
      <c r="A226" s="1">
        <v>45926.438787557869</v>
      </c>
      <c r="B226" s="1">
        <v>45926.633938657411</v>
      </c>
      <c r="D226" t="s">
        <v>84</v>
      </c>
      <c r="E226" t="s">
        <v>85</v>
      </c>
      <c r="F226" t="s">
        <v>2760</v>
      </c>
      <c r="G226" t="s">
        <v>176</v>
      </c>
      <c r="H226" t="s">
        <v>4122</v>
      </c>
      <c r="I226" t="s">
        <v>2761</v>
      </c>
      <c r="J226" t="s">
        <v>2762</v>
      </c>
      <c r="K226" t="s">
        <v>90</v>
      </c>
      <c r="L226" t="s">
        <v>2752</v>
      </c>
      <c r="M226" t="s">
        <v>2763</v>
      </c>
      <c r="N226" t="s">
        <v>2764</v>
      </c>
      <c r="O226">
        <v>-15.234403800000001</v>
      </c>
      <c r="P226">
        <v>22.936412499999999</v>
      </c>
      <c r="Q226">
        <v>1041.798950195312</v>
      </c>
      <c r="R226">
        <v>4.2279999999999998</v>
      </c>
      <c r="S226" t="s">
        <v>84</v>
      </c>
      <c r="T226" t="s">
        <v>182</v>
      </c>
      <c r="U226">
        <v>6</v>
      </c>
      <c r="V226" t="s">
        <v>95</v>
      </c>
      <c r="W226" t="s">
        <v>907</v>
      </c>
      <c r="X226">
        <v>35</v>
      </c>
      <c r="Y226">
        <v>50</v>
      </c>
      <c r="Z226">
        <v>2</v>
      </c>
      <c r="AA226" t="s">
        <v>96</v>
      </c>
      <c r="AB226" t="s">
        <v>351</v>
      </c>
      <c r="AC226" t="s">
        <v>98</v>
      </c>
      <c r="AD226" t="s">
        <v>99</v>
      </c>
      <c r="AE226" t="s">
        <v>100</v>
      </c>
      <c r="AF226" t="s">
        <v>907</v>
      </c>
      <c r="AG226">
        <v>0</v>
      </c>
      <c r="AH226" t="s">
        <v>100</v>
      </c>
      <c r="AI226" t="s">
        <v>907</v>
      </c>
      <c r="AJ226" s="5">
        <v>0</v>
      </c>
      <c r="AK226" t="s">
        <v>102</v>
      </c>
      <c r="AL226" t="s">
        <v>907</v>
      </c>
      <c r="AM226" t="s">
        <v>466</v>
      </c>
      <c r="AN226" t="s">
        <v>907</v>
      </c>
      <c r="AO226">
        <v>0</v>
      </c>
      <c r="AP226" t="s">
        <v>2765</v>
      </c>
      <c r="AQ226" t="s">
        <v>466</v>
      </c>
      <c r="AR226" t="s">
        <v>95</v>
      </c>
      <c r="AS226">
        <v>0</v>
      </c>
      <c r="AT226">
        <v>0</v>
      </c>
      <c r="AU226">
        <v>0</v>
      </c>
      <c r="AV226">
        <v>15</v>
      </c>
      <c r="AW226">
        <v>0</v>
      </c>
      <c r="AX226">
        <v>0</v>
      </c>
      <c r="AY226">
        <v>0</v>
      </c>
      <c r="AZ226" t="s">
        <v>1003</v>
      </c>
      <c r="BA226" t="s">
        <v>95</v>
      </c>
      <c r="BB226" t="s">
        <v>3866</v>
      </c>
      <c r="BC226" t="s">
        <v>907</v>
      </c>
      <c r="BD226" t="s">
        <v>107</v>
      </c>
      <c r="BE226" t="s">
        <v>108</v>
      </c>
      <c r="BF226" t="s">
        <v>309</v>
      </c>
      <c r="BG226" t="s">
        <v>235</v>
      </c>
      <c r="BH226">
        <v>125</v>
      </c>
      <c r="BY226" t="s">
        <v>110</v>
      </c>
      <c r="BZ226" t="s">
        <v>907</v>
      </c>
      <c r="CA226" t="s">
        <v>907</v>
      </c>
      <c r="CB226" t="s">
        <v>84</v>
      </c>
      <c r="CC226" t="s">
        <v>84</v>
      </c>
      <c r="CD226" t="s">
        <v>545</v>
      </c>
      <c r="CE226" t="s">
        <v>4250</v>
      </c>
      <c r="CF226" t="s">
        <v>4023</v>
      </c>
      <c r="CG226" t="s">
        <v>907</v>
      </c>
      <c r="CH226">
        <v>7</v>
      </c>
      <c r="CI226" t="s">
        <v>84</v>
      </c>
      <c r="CJ226" t="s">
        <v>586</v>
      </c>
      <c r="CK226" t="s">
        <v>289</v>
      </c>
      <c r="CL226" t="s">
        <v>4262</v>
      </c>
      <c r="CM226" t="s">
        <v>115</v>
      </c>
      <c r="CN226" t="s">
        <v>3993</v>
      </c>
      <c r="CO226" t="s">
        <v>95</v>
      </c>
      <c r="CP226" t="s">
        <v>907</v>
      </c>
      <c r="CQ226" t="s">
        <v>116</v>
      </c>
      <c r="CR226" t="s">
        <v>84</v>
      </c>
      <c r="CS226" t="s">
        <v>117</v>
      </c>
      <c r="CT226" t="s">
        <v>163</v>
      </c>
      <c r="CU226" t="s">
        <v>3869</v>
      </c>
      <c r="CV226" t="s">
        <v>812</v>
      </c>
      <c r="CW226" t="s">
        <v>907</v>
      </c>
      <c r="CX226" t="s">
        <v>166</v>
      </c>
      <c r="CY226" t="s">
        <v>549</v>
      </c>
      <c r="CZ226" t="s">
        <v>559</v>
      </c>
      <c r="DA226">
        <v>2</v>
      </c>
      <c r="DB226" s="10">
        <v>14000</v>
      </c>
      <c r="DC226" t="s">
        <v>169</v>
      </c>
      <c r="DD226" t="s">
        <v>907</v>
      </c>
      <c r="DE226">
        <v>6</v>
      </c>
      <c r="DF226">
        <v>25</v>
      </c>
      <c r="DG226" t="s">
        <v>95</v>
      </c>
      <c r="DH226" t="s">
        <v>95</v>
      </c>
      <c r="DI226" t="s">
        <v>907</v>
      </c>
      <c r="DJ226" t="s">
        <v>907</v>
      </c>
      <c r="DK226" t="s">
        <v>907</v>
      </c>
      <c r="DL226" t="s">
        <v>907</v>
      </c>
      <c r="DM226" t="s">
        <v>125</v>
      </c>
      <c r="DN226" t="s">
        <v>170</v>
      </c>
      <c r="DO226" t="s">
        <v>2331</v>
      </c>
      <c r="DP226">
        <v>3</v>
      </c>
      <c r="DQ226" t="s">
        <v>128</v>
      </c>
      <c r="DR226" t="s">
        <v>907</v>
      </c>
      <c r="DS226" t="s">
        <v>2766</v>
      </c>
      <c r="DT226" t="s">
        <v>946</v>
      </c>
      <c r="DU226" t="s">
        <v>84</v>
      </c>
      <c r="DV226" t="s">
        <v>225</v>
      </c>
      <c r="DW226" t="s">
        <v>533</v>
      </c>
      <c r="DX226" t="s">
        <v>95</v>
      </c>
      <c r="FQ226">
        <v>567424839</v>
      </c>
      <c r="FR226" t="s">
        <v>2767</v>
      </c>
      <c r="FS226" s="1">
        <v>45926.55096064815</v>
      </c>
      <c r="FV226" t="s">
        <v>134</v>
      </c>
      <c r="FW226" t="s">
        <v>135</v>
      </c>
      <c r="FX226" t="s">
        <v>136</v>
      </c>
      <c r="FZ226">
        <v>399</v>
      </c>
    </row>
    <row r="227" spans="1:182" hidden="1" x14ac:dyDescent="0.3">
      <c r="A227" s="1">
        <v>45925.453054409722</v>
      </c>
      <c r="B227" s="1">
        <v>45925.468748587962</v>
      </c>
      <c r="D227" t="s">
        <v>84</v>
      </c>
      <c r="E227" t="s">
        <v>297</v>
      </c>
      <c r="F227" t="s">
        <v>2488</v>
      </c>
      <c r="G227" t="s">
        <v>176</v>
      </c>
      <c r="H227" t="s">
        <v>4122</v>
      </c>
      <c r="I227" t="s">
        <v>2489</v>
      </c>
      <c r="J227" t="s">
        <v>2490</v>
      </c>
      <c r="K227" t="s">
        <v>90</v>
      </c>
      <c r="L227" t="s">
        <v>2491</v>
      </c>
      <c r="M227" t="s">
        <v>1871</v>
      </c>
      <c r="N227" t="s">
        <v>2492</v>
      </c>
      <c r="O227">
        <v>-15.1974833</v>
      </c>
      <c r="P227">
        <v>22.973608299999999</v>
      </c>
      <c r="Q227">
        <v>1029.8</v>
      </c>
      <c r="R227">
        <v>4.5999999999999996</v>
      </c>
      <c r="S227" t="s">
        <v>84</v>
      </c>
      <c r="T227" t="s">
        <v>94</v>
      </c>
      <c r="U227">
        <v>10</v>
      </c>
      <c r="V227" t="s">
        <v>95</v>
      </c>
      <c r="W227" t="s">
        <v>907</v>
      </c>
      <c r="X227">
        <v>35</v>
      </c>
      <c r="Y227">
        <v>0.8</v>
      </c>
      <c r="Z227">
        <v>0.8</v>
      </c>
      <c r="AA227" t="s">
        <v>465</v>
      </c>
      <c r="AB227" t="s">
        <v>351</v>
      </c>
      <c r="AC227" t="s">
        <v>98</v>
      </c>
      <c r="AD227" t="s">
        <v>280</v>
      </c>
      <c r="AE227" t="s">
        <v>100</v>
      </c>
      <c r="AF227" t="s">
        <v>907</v>
      </c>
      <c r="AG227">
        <v>2000</v>
      </c>
      <c r="AH227" t="s">
        <v>3873</v>
      </c>
      <c r="AI227" t="s">
        <v>907</v>
      </c>
      <c r="AJ227" t="s">
        <v>907</v>
      </c>
      <c r="AK227" t="s">
        <v>102</v>
      </c>
      <c r="AL227" t="s">
        <v>907</v>
      </c>
      <c r="AM227" t="s">
        <v>466</v>
      </c>
      <c r="AN227" t="s">
        <v>907</v>
      </c>
      <c r="AO227" t="s">
        <v>267</v>
      </c>
      <c r="AP227" t="s">
        <v>2493</v>
      </c>
      <c r="AQ227" t="s">
        <v>466</v>
      </c>
      <c r="AR227" t="s">
        <v>95</v>
      </c>
      <c r="AS227">
        <v>0</v>
      </c>
      <c r="AT227">
        <v>0</v>
      </c>
      <c r="AU227">
        <v>0</v>
      </c>
      <c r="AV227">
        <v>2</v>
      </c>
      <c r="AW227">
        <v>0</v>
      </c>
      <c r="AX227">
        <v>0</v>
      </c>
      <c r="AY227">
        <v>0</v>
      </c>
      <c r="AZ227" t="s">
        <v>929</v>
      </c>
      <c r="BA227" t="s">
        <v>95</v>
      </c>
      <c r="BB227" t="s">
        <v>154</v>
      </c>
      <c r="BC227" t="s">
        <v>907</v>
      </c>
      <c r="BD227" t="s">
        <v>107</v>
      </c>
      <c r="BE227" t="s">
        <v>258</v>
      </c>
      <c r="BF227" t="s">
        <v>3999</v>
      </c>
      <c r="BG227" t="s">
        <v>156</v>
      </c>
      <c r="BH227">
        <v>60</v>
      </c>
      <c r="BL227">
        <v>31</v>
      </c>
      <c r="BN227">
        <v>2</v>
      </c>
      <c r="BP227">
        <v>11</v>
      </c>
      <c r="BR227">
        <v>0</v>
      </c>
      <c r="BT227">
        <v>7</v>
      </c>
      <c r="BV227">
        <v>0</v>
      </c>
      <c r="BX227">
        <v>11</v>
      </c>
      <c r="BY227" t="s">
        <v>189</v>
      </c>
      <c r="BZ227">
        <v>3</v>
      </c>
      <c r="CA227">
        <v>26</v>
      </c>
      <c r="CB227" t="s">
        <v>84</v>
      </c>
      <c r="CC227" t="s">
        <v>84</v>
      </c>
      <c r="CD227" t="s">
        <v>2461</v>
      </c>
      <c r="CE227" t="s">
        <v>4249</v>
      </c>
      <c r="CF227" t="s">
        <v>1118</v>
      </c>
      <c r="CG227" t="s">
        <v>907</v>
      </c>
      <c r="CH227">
        <v>7</v>
      </c>
      <c r="CI227" t="s">
        <v>84</v>
      </c>
      <c r="CJ227" t="s">
        <v>262</v>
      </c>
      <c r="CK227" t="s">
        <v>113</v>
      </c>
      <c r="CL227" t="s">
        <v>1494</v>
      </c>
      <c r="CM227" t="s">
        <v>193</v>
      </c>
      <c r="CN227" t="s">
        <v>3874</v>
      </c>
      <c r="CO227" t="s">
        <v>95</v>
      </c>
      <c r="CP227" t="s">
        <v>907</v>
      </c>
      <c r="CQ227" t="s">
        <v>116</v>
      </c>
      <c r="CR227" t="s">
        <v>84</v>
      </c>
      <c r="CS227" t="s">
        <v>117</v>
      </c>
      <c r="CT227" t="s">
        <v>264</v>
      </c>
      <c r="CU227" t="s">
        <v>322</v>
      </c>
      <c r="CV227" t="s">
        <v>812</v>
      </c>
      <c r="CW227" t="s">
        <v>266</v>
      </c>
      <c r="CX227" t="s">
        <v>166</v>
      </c>
      <c r="CY227" t="s">
        <v>167</v>
      </c>
      <c r="CZ227" t="s">
        <v>530</v>
      </c>
      <c r="DA227">
        <v>4</v>
      </c>
      <c r="DB227" s="10">
        <v>18000</v>
      </c>
      <c r="DC227" t="s">
        <v>169</v>
      </c>
      <c r="DD227" t="s">
        <v>907</v>
      </c>
      <c r="DE227">
        <v>7</v>
      </c>
      <c r="DF227">
        <v>16</v>
      </c>
      <c r="DG227" t="s">
        <v>95</v>
      </c>
      <c r="DH227" t="s">
        <v>95</v>
      </c>
      <c r="DI227" t="s">
        <v>907</v>
      </c>
      <c r="DJ227" t="s">
        <v>907</v>
      </c>
      <c r="DK227" t="s">
        <v>907</v>
      </c>
      <c r="DL227" t="s">
        <v>907</v>
      </c>
      <c r="DM227" t="s">
        <v>291</v>
      </c>
      <c r="DN227" t="s">
        <v>907</v>
      </c>
      <c r="DO227" t="s">
        <v>907</v>
      </c>
      <c r="DP227">
        <v>50</v>
      </c>
      <c r="DQ227" t="s">
        <v>441</v>
      </c>
      <c r="DR227" t="s">
        <v>907</v>
      </c>
      <c r="DS227" t="s">
        <v>2494</v>
      </c>
      <c r="DT227" t="s">
        <v>2495</v>
      </c>
      <c r="DU227" t="s">
        <v>95</v>
      </c>
      <c r="DV227" t="s">
        <v>907</v>
      </c>
      <c r="DW227" t="s">
        <v>907</v>
      </c>
      <c r="DX227" t="s">
        <v>907</v>
      </c>
      <c r="FQ227">
        <v>566956919</v>
      </c>
      <c r="FR227" t="s">
        <v>2496</v>
      </c>
      <c r="FS227" s="1">
        <v>45925.844722222217</v>
      </c>
      <c r="FV227" t="s">
        <v>134</v>
      </c>
      <c r="FW227" t="s">
        <v>135</v>
      </c>
      <c r="FX227" t="s">
        <v>136</v>
      </c>
      <c r="FZ227">
        <v>358</v>
      </c>
    </row>
    <row r="228" spans="1:182" hidden="1" x14ac:dyDescent="0.3">
      <c r="A228" s="1">
        <v>45925.434135578696</v>
      </c>
      <c r="B228" s="1">
        <v>45925.468902523149</v>
      </c>
      <c r="D228" t="s">
        <v>84</v>
      </c>
      <c r="E228" t="s">
        <v>1878</v>
      </c>
      <c r="F228" t="s">
        <v>1879</v>
      </c>
      <c r="G228" t="s">
        <v>87</v>
      </c>
      <c r="H228" t="s">
        <v>4122</v>
      </c>
      <c r="I228" t="s">
        <v>1880</v>
      </c>
      <c r="J228" t="s">
        <v>1881</v>
      </c>
      <c r="K228" t="s">
        <v>90</v>
      </c>
      <c r="L228" t="s">
        <v>1882</v>
      </c>
      <c r="M228" t="s">
        <v>1883</v>
      </c>
      <c r="N228" t="s">
        <v>1884</v>
      </c>
      <c r="O228">
        <v>-15.164675600000001</v>
      </c>
      <c r="P228">
        <v>22.997757499999999</v>
      </c>
      <c r="Q228">
        <v>1037.0999999999999</v>
      </c>
      <c r="R228">
        <v>4.8</v>
      </c>
      <c r="S228" t="s">
        <v>84</v>
      </c>
      <c r="T228" t="s">
        <v>362</v>
      </c>
      <c r="U228">
        <v>7</v>
      </c>
      <c r="V228" t="s">
        <v>212</v>
      </c>
      <c r="W228" t="s">
        <v>1885</v>
      </c>
      <c r="X228">
        <v>50</v>
      </c>
      <c r="Y228">
        <v>5</v>
      </c>
      <c r="Z228">
        <v>5</v>
      </c>
      <c r="AA228" t="s">
        <v>96</v>
      </c>
      <c r="AB228" t="s">
        <v>351</v>
      </c>
      <c r="AC228" t="s">
        <v>98</v>
      </c>
      <c r="AD228" t="s">
        <v>280</v>
      </c>
      <c r="AE228" t="s">
        <v>304</v>
      </c>
      <c r="AF228" t="s">
        <v>907</v>
      </c>
      <c r="AG228">
        <v>4000</v>
      </c>
      <c r="AH228" t="s">
        <v>966</v>
      </c>
      <c r="AI228" t="s">
        <v>907</v>
      </c>
      <c r="AJ228" s="5">
        <v>250</v>
      </c>
      <c r="AK228" t="s">
        <v>102</v>
      </c>
      <c r="AL228" t="s">
        <v>907</v>
      </c>
      <c r="AM228" t="s">
        <v>4130</v>
      </c>
      <c r="AN228" t="s">
        <v>907</v>
      </c>
      <c r="AQ228" t="s">
        <v>956</v>
      </c>
      <c r="AR228" t="s">
        <v>95</v>
      </c>
      <c r="AS228">
        <v>0</v>
      </c>
      <c r="AT228">
        <v>0</v>
      </c>
      <c r="AU228">
        <v>0</v>
      </c>
      <c r="AV228">
        <v>0</v>
      </c>
      <c r="AW228">
        <v>0</v>
      </c>
      <c r="AX228">
        <v>0</v>
      </c>
      <c r="AY228">
        <v>0</v>
      </c>
      <c r="AZ228" t="s">
        <v>929</v>
      </c>
      <c r="BA228" t="s">
        <v>95</v>
      </c>
      <c r="BB228" t="s">
        <v>154</v>
      </c>
      <c r="BC228" t="s">
        <v>907</v>
      </c>
      <c r="BD228" t="s">
        <v>257</v>
      </c>
      <c r="BE228" t="s">
        <v>258</v>
      </c>
      <c r="BF228" t="s">
        <v>1886</v>
      </c>
      <c r="BG228" t="s">
        <v>109</v>
      </c>
      <c r="BH228">
        <v>119</v>
      </c>
      <c r="BL228">
        <v>30</v>
      </c>
      <c r="BN228">
        <v>2</v>
      </c>
      <c r="BP228">
        <v>20</v>
      </c>
      <c r="BR228">
        <v>18</v>
      </c>
      <c r="BT228">
        <v>4</v>
      </c>
      <c r="BV228">
        <v>30</v>
      </c>
      <c r="BX228">
        <v>15</v>
      </c>
      <c r="BY228" t="s">
        <v>110</v>
      </c>
      <c r="BZ228" t="s">
        <v>907</v>
      </c>
      <c r="CA228" t="s">
        <v>907</v>
      </c>
      <c r="CB228" t="s">
        <v>84</v>
      </c>
      <c r="CC228" t="s">
        <v>84</v>
      </c>
      <c r="CD228" t="s">
        <v>1887</v>
      </c>
      <c r="CE228" t="s">
        <v>4252</v>
      </c>
      <c r="CF228" t="s">
        <v>1888</v>
      </c>
      <c r="CG228" t="s">
        <v>907</v>
      </c>
      <c r="CH228">
        <v>7</v>
      </c>
      <c r="CI228" t="s">
        <v>95</v>
      </c>
      <c r="CJ228" t="s">
        <v>907</v>
      </c>
      <c r="CK228" t="s">
        <v>289</v>
      </c>
      <c r="CL228" t="s">
        <v>456</v>
      </c>
      <c r="CM228" t="s">
        <v>193</v>
      </c>
      <c r="CN228" t="s">
        <v>3874</v>
      </c>
      <c r="CO228" t="s">
        <v>95</v>
      </c>
      <c r="CP228" t="s">
        <v>907</v>
      </c>
      <c r="CQ228" t="s">
        <v>116</v>
      </c>
      <c r="CR228" t="s">
        <v>84</v>
      </c>
      <c r="CS228" t="s">
        <v>117</v>
      </c>
      <c r="CT228" t="s">
        <v>118</v>
      </c>
      <c r="CU228" t="s">
        <v>438</v>
      </c>
      <c r="CV228" t="s">
        <v>812</v>
      </c>
      <c r="CW228" t="s">
        <v>907</v>
      </c>
      <c r="CX228" t="s">
        <v>166</v>
      </c>
      <c r="CY228" t="s">
        <v>167</v>
      </c>
      <c r="CZ228" t="s">
        <v>715</v>
      </c>
      <c r="DA228">
        <v>7</v>
      </c>
      <c r="DB228" s="10">
        <v>21000</v>
      </c>
      <c r="DC228" t="s">
        <v>169</v>
      </c>
      <c r="DD228" t="s">
        <v>907</v>
      </c>
      <c r="DE228">
        <v>1</v>
      </c>
      <c r="DF228">
        <v>21</v>
      </c>
      <c r="DG228" t="s">
        <v>95</v>
      </c>
      <c r="DH228" t="s">
        <v>95</v>
      </c>
      <c r="DI228" t="s">
        <v>907</v>
      </c>
      <c r="DJ228" t="s">
        <v>907</v>
      </c>
      <c r="DK228" t="s">
        <v>907</v>
      </c>
      <c r="DL228" t="s">
        <v>907</v>
      </c>
      <c r="DM228" t="s">
        <v>291</v>
      </c>
      <c r="DN228" t="s">
        <v>907</v>
      </c>
      <c r="DO228" t="s">
        <v>907</v>
      </c>
      <c r="DP228">
        <v>3</v>
      </c>
      <c r="DQ228" t="s">
        <v>128</v>
      </c>
      <c r="DR228" t="s">
        <v>907</v>
      </c>
      <c r="DS228" t="s">
        <v>442</v>
      </c>
      <c r="DT228" t="s">
        <v>1889</v>
      </c>
      <c r="DU228" t="s">
        <v>84</v>
      </c>
      <c r="DV228" t="s">
        <v>294</v>
      </c>
      <c r="DW228" t="s">
        <v>1890</v>
      </c>
      <c r="DX228" t="s">
        <v>84</v>
      </c>
      <c r="FQ228">
        <v>566859523</v>
      </c>
      <c r="FR228" t="s">
        <v>1891</v>
      </c>
      <c r="FS228" s="1">
        <v>45925.726875</v>
      </c>
      <c r="FV228" t="s">
        <v>134</v>
      </c>
      <c r="FW228" t="s">
        <v>135</v>
      </c>
      <c r="FX228" t="s">
        <v>136</v>
      </c>
      <c r="FZ228">
        <v>286</v>
      </c>
    </row>
    <row r="229" spans="1:182" hidden="1" x14ac:dyDescent="0.3">
      <c r="A229" s="1">
        <v>45925.607270057873</v>
      </c>
      <c r="B229" s="1">
        <v>45925.623459513889</v>
      </c>
      <c r="D229" t="s">
        <v>84</v>
      </c>
      <c r="E229" t="s">
        <v>1878</v>
      </c>
      <c r="F229" t="s">
        <v>1960</v>
      </c>
      <c r="G229" t="s">
        <v>176</v>
      </c>
      <c r="H229" t="s">
        <v>4122</v>
      </c>
      <c r="I229" t="s">
        <v>1961</v>
      </c>
      <c r="J229" t="s">
        <v>1962</v>
      </c>
      <c r="K229" t="s">
        <v>90</v>
      </c>
      <c r="L229" t="s">
        <v>1963</v>
      </c>
      <c r="M229" t="s">
        <v>1964</v>
      </c>
      <c r="N229" t="s">
        <v>1965</v>
      </c>
      <c r="O229">
        <v>-15.164728500000001</v>
      </c>
      <c r="P229">
        <v>22.997813399999998</v>
      </c>
      <c r="Q229">
        <v>1026.5999999999999</v>
      </c>
      <c r="R229">
        <v>4.4329999999999998</v>
      </c>
      <c r="S229" t="s">
        <v>84</v>
      </c>
      <c r="T229" t="s">
        <v>182</v>
      </c>
      <c r="U229">
        <v>12</v>
      </c>
      <c r="V229" t="s">
        <v>95</v>
      </c>
      <c r="W229" t="s">
        <v>907</v>
      </c>
      <c r="X229">
        <v>30</v>
      </c>
      <c r="Y229">
        <v>2</v>
      </c>
      <c r="Z229">
        <v>2</v>
      </c>
      <c r="AA229" t="s">
        <v>96</v>
      </c>
      <c r="AB229" t="s">
        <v>351</v>
      </c>
      <c r="AC229" t="s">
        <v>98</v>
      </c>
      <c r="AD229" t="s">
        <v>280</v>
      </c>
      <c r="AE229" t="s">
        <v>100</v>
      </c>
      <c r="AF229" t="s">
        <v>907</v>
      </c>
      <c r="AG229">
        <v>500</v>
      </c>
      <c r="AH229" t="s">
        <v>101</v>
      </c>
      <c r="AI229" t="s">
        <v>907</v>
      </c>
      <c r="AJ229" s="5">
        <v>150</v>
      </c>
      <c r="AK229" t="s">
        <v>1966</v>
      </c>
      <c r="AL229" t="s">
        <v>907</v>
      </c>
      <c r="AM229" t="s">
        <v>466</v>
      </c>
      <c r="AN229" t="s">
        <v>907</v>
      </c>
      <c r="AO229" t="s">
        <v>1967</v>
      </c>
      <c r="AP229" t="s">
        <v>267</v>
      </c>
      <c r="AQ229" t="s">
        <v>149</v>
      </c>
      <c r="AR229" t="s">
        <v>95</v>
      </c>
      <c r="AS229">
        <v>20</v>
      </c>
      <c r="AT229">
        <v>0</v>
      </c>
      <c r="AU229">
        <v>0</v>
      </c>
      <c r="AV229">
        <v>0</v>
      </c>
      <c r="AW229">
        <v>0</v>
      </c>
      <c r="AX229">
        <v>0</v>
      </c>
      <c r="AY229">
        <v>0</v>
      </c>
      <c r="AZ229" t="s">
        <v>106</v>
      </c>
      <c r="BA229" t="s">
        <v>452</v>
      </c>
      <c r="BB229" t="s">
        <v>154</v>
      </c>
      <c r="BC229" t="s">
        <v>907</v>
      </c>
      <c r="BD229" t="s">
        <v>257</v>
      </c>
      <c r="BE229" t="s">
        <v>258</v>
      </c>
      <c r="BF229" t="s">
        <v>1957</v>
      </c>
      <c r="BG229" t="s">
        <v>526</v>
      </c>
      <c r="BH229">
        <v>74</v>
      </c>
      <c r="BL229">
        <v>25</v>
      </c>
      <c r="BN229">
        <v>2</v>
      </c>
      <c r="BP229">
        <v>10</v>
      </c>
      <c r="BR229">
        <v>10</v>
      </c>
      <c r="BT229">
        <v>7</v>
      </c>
      <c r="BV229">
        <v>0</v>
      </c>
      <c r="BX229">
        <v>20</v>
      </c>
      <c r="BY229" t="s">
        <v>189</v>
      </c>
      <c r="BZ229">
        <v>2</v>
      </c>
      <c r="CA229">
        <v>27</v>
      </c>
      <c r="CB229" t="s">
        <v>84</v>
      </c>
      <c r="CC229" t="s">
        <v>84</v>
      </c>
      <c r="CD229" t="s">
        <v>778</v>
      </c>
      <c r="CE229" t="s">
        <v>4250</v>
      </c>
      <c r="CF229" t="s">
        <v>3969</v>
      </c>
      <c r="CG229" t="s">
        <v>907</v>
      </c>
      <c r="CH229">
        <v>7</v>
      </c>
      <c r="CI229" t="s">
        <v>84</v>
      </c>
      <c r="CJ229" t="s">
        <v>405</v>
      </c>
      <c r="CK229" t="s">
        <v>289</v>
      </c>
      <c r="CL229" t="s">
        <v>337</v>
      </c>
      <c r="CM229" t="s">
        <v>193</v>
      </c>
      <c r="CN229" t="s">
        <v>3874</v>
      </c>
      <c r="CO229" t="s">
        <v>95</v>
      </c>
      <c r="CP229" t="s">
        <v>907</v>
      </c>
      <c r="CQ229" t="s">
        <v>116</v>
      </c>
      <c r="CR229" t="s">
        <v>84</v>
      </c>
      <c r="CS229" t="s">
        <v>117</v>
      </c>
      <c r="CT229" t="s">
        <v>907</v>
      </c>
      <c r="CU229" t="s">
        <v>3869</v>
      </c>
      <c r="CV229" t="s">
        <v>812</v>
      </c>
      <c r="CW229" t="s">
        <v>715</v>
      </c>
      <c r="CX229" t="s">
        <v>166</v>
      </c>
      <c r="CY229" t="s">
        <v>167</v>
      </c>
      <c r="CZ229" t="s">
        <v>1968</v>
      </c>
      <c r="DA229">
        <v>7</v>
      </c>
      <c r="DB229" s="10">
        <v>24500</v>
      </c>
      <c r="DC229" t="s">
        <v>169</v>
      </c>
      <c r="DD229" t="s">
        <v>907</v>
      </c>
      <c r="DE229">
        <v>1</v>
      </c>
      <c r="DF229">
        <v>21</v>
      </c>
      <c r="DG229" t="s">
        <v>95</v>
      </c>
      <c r="DH229" t="s">
        <v>95</v>
      </c>
      <c r="DI229" t="s">
        <v>907</v>
      </c>
      <c r="DJ229" t="s">
        <v>907</v>
      </c>
      <c r="DK229" t="s">
        <v>907</v>
      </c>
      <c r="DL229" t="s">
        <v>907</v>
      </c>
      <c r="DM229" t="s">
        <v>291</v>
      </c>
      <c r="DN229" t="s">
        <v>907</v>
      </c>
      <c r="DO229" t="s">
        <v>907</v>
      </c>
      <c r="DP229">
        <v>3</v>
      </c>
      <c r="DQ229" t="s">
        <v>128</v>
      </c>
      <c r="DR229" t="s">
        <v>907</v>
      </c>
      <c r="DS229" t="s">
        <v>172</v>
      </c>
      <c r="DT229" t="s">
        <v>1875</v>
      </c>
      <c r="DU229" t="s">
        <v>95</v>
      </c>
      <c r="DV229" t="s">
        <v>907</v>
      </c>
      <c r="DW229" t="s">
        <v>907</v>
      </c>
      <c r="DX229" t="s">
        <v>907</v>
      </c>
      <c r="FQ229">
        <v>566859669</v>
      </c>
      <c r="FR229" t="s">
        <v>1969</v>
      </c>
      <c r="FS229" s="1">
        <v>45925.727037037039</v>
      </c>
      <c r="FV229" t="s">
        <v>134</v>
      </c>
      <c r="FW229" t="s">
        <v>135</v>
      </c>
      <c r="FX229" t="s">
        <v>136</v>
      </c>
      <c r="FZ229">
        <v>293</v>
      </c>
    </row>
    <row r="230" spans="1:182" hidden="1" x14ac:dyDescent="0.3">
      <c r="A230" s="1">
        <v>45926.487572395832</v>
      </c>
      <c r="B230" s="1">
        <v>45926.507975636567</v>
      </c>
      <c r="D230" t="s">
        <v>84</v>
      </c>
      <c r="E230" t="s">
        <v>798</v>
      </c>
      <c r="F230" t="s">
        <v>2711</v>
      </c>
      <c r="G230" t="s">
        <v>176</v>
      </c>
      <c r="H230" t="s">
        <v>4121</v>
      </c>
      <c r="I230" t="s">
        <v>2712</v>
      </c>
      <c r="J230" t="s">
        <v>2713</v>
      </c>
      <c r="K230" t="s">
        <v>90</v>
      </c>
      <c r="L230" t="s">
        <v>2714</v>
      </c>
      <c r="M230" t="s">
        <v>2715</v>
      </c>
      <c r="N230" t="s">
        <v>2716</v>
      </c>
      <c r="O230">
        <v>-15.1967956</v>
      </c>
      <c r="P230">
        <v>22.953687800000001</v>
      </c>
      <c r="Q230">
        <v>1021.632934570312</v>
      </c>
      <c r="R230">
        <v>4.5869999999999997</v>
      </c>
      <c r="S230" t="s">
        <v>84</v>
      </c>
      <c r="T230" t="s">
        <v>182</v>
      </c>
      <c r="U230">
        <v>5</v>
      </c>
      <c r="V230" t="s">
        <v>95</v>
      </c>
      <c r="W230" t="s">
        <v>907</v>
      </c>
      <c r="X230">
        <v>32</v>
      </c>
      <c r="Y230">
        <v>3</v>
      </c>
      <c r="Z230">
        <v>2</v>
      </c>
      <c r="AA230" t="s">
        <v>96</v>
      </c>
      <c r="AB230" t="s">
        <v>97</v>
      </c>
      <c r="AC230" t="s">
        <v>144</v>
      </c>
      <c r="AD230" t="s">
        <v>99</v>
      </c>
      <c r="AE230" t="s">
        <v>304</v>
      </c>
      <c r="AF230" t="s">
        <v>907</v>
      </c>
      <c r="AG230">
        <v>1666</v>
      </c>
      <c r="AH230" t="s">
        <v>966</v>
      </c>
      <c r="AI230" t="s">
        <v>907</v>
      </c>
      <c r="AJ230" s="5">
        <v>2300</v>
      </c>
      <c r="AK230" t="s">
        <v>148</v>
      </c>
      <c r="AL230" t="s">
        <v>907</v>
      </c>
      <c r="AM230" t="s">
        <v>2717</v>
      </c>
      <c r="AN230" t="s">
        <v>907</v>
      </c>
      <c r="AO230" t="s">
        <v>2718</v>
      </c>
      <c r="AP230" t="s">
        <v>267</v>
      </c>
      <c r="AQ230" t="s">
        <v>2719</v>
      </c>
      <c r="AR230" t="s">
        <v>84</v>
      </c>
      <c r="AS230">
        <v>0</v>
      </c>
      <c r="AT230">
        <v>0</v>
      </c>
      <c r="AU230">
        <v>0</v>
      </c>
      <c r="AV230">
        <v>0</v>
      </c>
      <c r="AW230">
        <v>0</v>
      </c>
      <c r="AX230">
        <v>0</v>
      </c>
      <c r="AY230">
        <v>0</v>
      </c>
      <c r="AZ230" t="s">
        <v>1003</v>
      </c>
      <c r="BA230" t="s">
        <v>452</v>
      </c>
      <c r="BB230" t="s">
        <v>154</v>
      </c>
      <c r="BC230" t="s">
        <v>907</v>
      </c>
      <c r="BD230" t="s">
        <v>257</v>
      </c>
      <c r="BE230" t="s">
        <v>258</v>
      </c>
      <c r="BF230" t="s">
        <v>4017</v>
      </c>
      <c r="BG230" t="s">
        <v>156</v>
      </c>
      <c r="BH230">
        <v>60</v>
      </c>
      <c r="BL230">
        <v>15</v>
      </c>
      <c r="BN230">
        <v>2</v>
      </c>
      <c r="BP230">
        <v>6</v>
      </c>
      <c r="BR230">
        <v>23</v>
      </c>
      <c r="BT230">
        <v>4</v>
      </c>
      <c r="BV230">
        <v>0</v>
      </c>
      <c r="BX230">
        <v>10</v>
      </c>
      <c r="BY230" t="s">
        <v>189</v>
      </c>
      <c r="BZ230">
        <v>7</v>
      </c>
      <c r="CA230">
        <v>11</v>
      </c>
      <c r="CB230" t="s">
        <v>84</v>
      </c>
      <c r="CC230" t="s">
        <v>84</v>
      </c>
      <c r="CD230" t="s">
        <v>2512</v>
      </c>
      <c r="CE230" t="s">
        <v>4249</v>
      </c>
      <c r="CF230" t="s">
        <v>4018</v>
      </c>
      <c r="CG230" t="s">
        <v>907</v>
      </c>
      <c r="CH230">
        <v>7</v>
      </c>
      <c r="CI230" t="s">
        <v>84</v>
      </c>
      <c r="CJ230" t="s">
        <v>586</v>
      </c>
      <c r="CK230" t="s">
        <v>289</v>
      </c>
      <c r="CL230" t="s">
        <v>263</v>
      </c>
      <c r="CM230" t="s">
        <v>193</v>
      </c>
      <c r="CN230" t="s">
        <v>3874</v>
      </c>
      <c r="CO230" t="s">
        <v>95</v>
      </c>
      <c r="CP230" t="s">
        <v>907</v>
      </c>
      <c r="CQ230" t="s">
        <v>116</v>
      </c>
      <c r="CR230" t="s">
        <v>84</v>
      </c>
      <c r="CS230" t="s">
        <v>117</v>
      </c>
      <c r="CT230" t="s">
        <v>163</v>
      </c>
      <c r="CU230" t="s">
        <v>793</v>
      </c>
      <c r="CV230" t="s">
        <v>812</v>
      </c>
      <c r="CW230" t="s">
        <v>715</v>
      </c>
      <c r="CX230" t="s">
        <v>166</v>
      </c>
      <c r="CY230" t="s">
        <v>167</v>
      </c>
      <c r="CZ230" t="s">
        <v>2671</v>
      </c>
      <c r="DA230">
        <v>3</v>
      </c>
      <c r="DB230" s="10">
        <v>33000</v>
      </c>
      <c r="DC230" t="s">
        <v>169</v>
      </c>
      <c r="DD230" t="s">
        <v>907</v>
      </c>
      <c r="DE230">
        <v>1</v>
      </c>
      <c r="DF230">
        <v>25</v>
      </c>
      <c r="DG230" t="s">
        <v>95</v>
      </c>
      <c r="DH230" t="s">
        <v>95</v>
      </c>
      <c r="DI230" t="s">
        <v>907</v>
      </c>
      <c r="DJ230" t="s">
        <v>907</v>
      </c>
      <c r="DK230" t="s">
        <v>907</v>
      </c>
      <c r="DL230" t="s">
        <v>907</v>
      </c>
      <c r="DM230" t="s">
        <v>291</v>
      </c>
      <c r="DN230" t="s">
        <v>907</v>
      </c>
      <c r="DO230" t="s">
        <v>907</v>
      </c>
      <c r="DP230">
        <v>2</v>
      </c>
      <c r="DQ230" t="s">
        <v>128</v>
      </c>
      <c r="DR230" t="s">
        <v>907</v>
      </c>
      <c r="DS230" t="s">
        <v>996</v>
      </c>
      <c r="DT230" t="s">
        <v>271</v>
      </c>
      <c r="DU230" t="s">
        <v>84</v>
      </c>
      <c r="DV230" t="s">
        <v>532</v>
      </c>
      <c r="DW230" t="s">
        <v>1120</v>
      </c>
      <c r="DX230" t="s">
        <v>95</v>
      </c>
      <c r="FQ230">
        <v>567388756</v>
      </c>
      <c r="FR230" t="s">
        <v>2720</v>
      </c>
      <c r="FS230" s="1">
        <v>45926.519085648149</v>
      </c>
      <c r="FV230" t="s">
        <v>134</v>
      </c>
      <c r="FW230" t="s">
        <v>135</v>
      </c>
      <c r="FX230" t="s">
        <v>136</v>
      </c>
      <c r="FZ230">
        <v>394</v>
      </c>
    </row>
    <row r="231" spans="1:182" x14ac:dyDescent="0.3">
      <c r="A231" s="1">
        <v>45926.508574803243</v>
      </c>
      <c r="B231" s="1">
        <v>45926.524269814807</v>
      </c>
      <c r="D231" t="s">
        <v>84</v>
      </c>
      <c r="E231" t="s">
        <v>1397</v>
      </c>
      <c r="F231" t="s">
        <v>2995</v>
      </c>
      <c r="G231" t="s">
        <v>176</v>
      </c>
      <c r="H231" t="s">
        <v>4121</v>
      </c>
      <c r="I231" t="s">
        <v>2996</v>
      </c>
      <c r="J231" t="s">
        <v>2997</v>
      </c>
      <c r="K231" t="s">
        <v>90</v>
      </c>
      <c r="L231" t="s">
        <v>2998</v>
      </c>
      <c r="M231" t="s">
        <v>2965</v>
      </c>
      <c r="N231" t="s">
        <v>2999</v>
      </c>
      <c r="O231">
        <v>-15.247627400000001</v>
      </c>
      <c r="P231">
        <v>22.961547599999999</v>
      </c>
      <c r="Q231">
        <v>1025.960205078125</v>
      </c>
      <c r="R231">
        <v>4.4379999999999997</v>
      </c>
      <c r="S231" t="s">
        <v>84</v>
      </c>
      <c r="T231" t="s">
        <v>94</v>
      </c>
      <c r="U231">
        <v>8</v>
      </c>
      <c r="V231" t="s">
        <v>95</v>
      </c>
      <c r="W231" t="s">
        <v>907</v>
      </c>
      <c r="X231">
        <v>2</v>
      </c>
      <c r="Y231">
        <v>160</v>
      </c>
      <c r="Z231">
        <v>2</v>
      </c>
      <c r="AA231" t="s">
        <v>251</v>
      </c>
      <c r="AB231" t="s">
        <v>351</v>
      </c>
      <c r="AC231" t="s">
        <v>98</v>
      </c>
      <c r="AD231" t="s">
        <v>252</v>
      </c>
      <c r="AE231" t="s">
        <v>304</v>
      </c>
      <c r="AF231" t="s">
        <v>907</v>
      </c>
      <c r="AG231">
        <v>1000</v>
      </c>
      <c r="AH231" t="s">
        <v>101</v>
      </c>
      <c r="AI231" t="s">
        <v>907</v>
      </c>
      <c r="AJ231" s="5">
        <v>1000</v>
      </c>
      <c r="AK231" t="s">
        <v>102</v>
      </c>
      <c r="AL231" t="s">
        <v>907</v>
      </c>
      <c r="AM231" t="s">
        <v>4130</v>
      </c>
      <c r="AN231" t="s">
        <v>907</v>
      </c>
      <c r="AQ231" t="s">
        <v>956</v>
      </c>
      <c r="AR231" t="s">
        <v>95</v>
      </c>
      <c r="AS231">
        <v>0</v>
      </c>
      <c r="AT231">
        <v>0</v>
      </c>
      <c r="AU231">
        <v>0</v>
      </c>
      <c r="AV231">
        <v>0</v>
      </c>
      <c r="AW231">
        <v>0</v>
      </c>
      <c r="AX231">
        <v>0</v>
      </c>
      <c r="AY231">
        <v>0</v>
      </c>
      <c r="AZ231" t="s">
        <v>284</v>
      </c>
      <c r="BA231" t="s">
        <v>1065</v>
      </c>
      <c r="BB231" t="s">
        <v>154</v>
      </c>
      <c r="BC231" t="s">
        <v>907</v>
      </c>
      <c r="BD231" t="s">
        <v>107</v>
      </c>
      <c r="BE231" t="s">
        <v>363</v>
      </c>
      <c r="BF231" t="s">
        <v>3964</v>
      </c>
      <c r="BG231" t="s">
        <v>790</v>
      </c>
      <c r="BH231">
        <v>89</v>
      </c>
      <c r="BL231">
        <v>42</v>
      </c>
      <c r="BN231">
        <v>4</v>
      </c>
      <c r="BP231">
        <v>7</v>
      </c>
      <c r="BR231">
        <v>11</v>
      </c>
      <c r="BT231">
        <v>2</v>
      </c>
      <c r="BV231">
        <v>7</v>
      </c>
      <c r="BX231">
        <v>16</v>
      </c>
      <c r="BY231" t="s">
        <v>110</v>
      </c>
      <c r="BZ231" t="s">
        <v>907</v>
      </c>
      <c r="CA231" t="s">
        <v>907</v>
      </c>
      <c r="CB231" t="s">
        <v>84</v>
      </c>
      <c r="CC231" t="s">
        <v>84</v>
      </c>
      <c r="CD231" t="s">
        <v>334</v>
      </c>
      <c r="CE231" t="s">
        <v>4251</v>
      </c>
      <c r="CF231" t="s">
        <v>4032</v>
      </c>
      <c r="CG231" t="s">
        <v>907</v>
      </c>
      <c r="CH231">
        <v>7</v>
      </c>
      <c r="CI231" t="s">
        <v>84</v>
      </c>
      <c r="CJ231" t="s">
        <v>262</v>
      </c>
      <c r="CK231" t="s">
        <v>289</v>
      </c>
      <c r="CL231" t="s">
        <v>367</v>
      </c>
      <c r="CM231" t="s">
        <v>193</v>
      </c>
      <c r="CN231" t="s">
        <v>3874</v>
      </c>
      <c r="CO231" t="s">
        <v>95</v>
      </c>
      <c r="CP231" t="s">
        <v>907</v>
      </c>
      <c r="CQ231" t="s">
        <v>116</v>
      </c>
      <c r="CR231" t="s">
        <v>95</v>
      </c>
      <c r="CS231" t="s">
        <v>907</v>
      </c>
      <c r="CT231" t="s">
        <v>907</v>
      </c>
      <c r="CU231" t="s">
        <v>907</v>
      </c>
      <c r="CV231" t="s">
        <v>812</v>
      </c>
      <c r="CW231" t="s">
        <v>907</v>
      </c>
      <c r="CX231" t="s">
        <v>166</v>
      </c>
      <c r="CY231" t="s">
        <v>167</v>
      </c>
      <c r="CZ231" t="s">
        <v>3000</v>
      </c>
      <c r="DA231">
        <v>13</v>
      </c>
      <c r="DB231" s="10">
        <v>78000</v>
      </c>
      <c r="DC231" t="s">
        <v>169</v>
      </c>
      <c r="DD231" t="s">
        <v>907</v>
      </c>
      <c r="DE231">
        <v>3</v>
      </c>
      <c r="DF231">
        <v>20</v>
      </c>
      <c r="DG231" t="s">
        <v>95</v>
      </c>
      <c r="DH231" t="s">
        <v>95</v>
      </c>
      <c r="DI231" t="s">
        <v>907</v>
      </c>
      <c r="DJ231" t="s">
        <v>907</v>
      </c>
      <c r="DK231" t="s">
        <v>907</v>
      </c>
      <c r="DL231" t="s">
        <v>907</v>
      </c>
      <c r="DM231" t="s">
        <v>291</v>
      </c>
      <c r="DN231" t="s">
        <v>907</v>
      </c>
      <c r="DO231" t="s">
        <v>907</v>
      </c>
      <c r="DP231">
        <v>5</v>
      </c>
      <c r="DQ231" t="s">
        <v>202</v>
      </c>
      <c r="DR231" t="s">
        <v>907</v>
      </c>
      <c r="DS231" t="s">
        <v>898</v>
      </c>
      <c r="DT231" t="s">
        <v>1303</v>
      </c>
      <c r="DU231" t="s">
        <v>84</v>
      </c>
      <c r="DV231" t="s">
        <v>2147</v>
      </c>
      <c r="DW231" t="s">
        <v>132</v>
      </c>
      <c r="DX231" t="s">
        <v>95</v>
      </c>
      <c r="FQ231">
        <v>567707578</v>
      </c>
      <c r="FR231" t="s">
        <v>3001</v>
      </c>
      <c r="FS231" s="1">
        <v>45926.813657407409</v>
      </c>
      <c r="FV231" t="s">
        <v>134</v>
      </c>
      <c r="FW231" t="s">
        <v>135</v>
      </c>
      <c r="FX231" t="s">
        <v>136</v>
      </c>
      <c r="FZ231">
        <v>425</v>
      </c>
    </row>
    <row r="232" spans="1:182" hidden="1" x14ac:dyDescent="0.3">
      <c r="A232" s="1">
        <v>45923.497460243052</v>
      </c>
      <c r="B232" s="1">
        <v>45923.529099363433</v>
      </c>
      <c r="D232" t="s">
        <v>84</v>
      </c>
      <c r="E232" t="s">
        <v>497</v>
      </c>
      <c r="F232" t="s">
        <v>498</v>
      </c>
      <c r="G232" t="s">
        <v>176</v>
      </c>
      <c r="H232" t="s">
        <v>4122</v>
      </c>
      <c r="I232" t="s">
        <v>499</v>
      </c>
      <c r="J232" t="s">
        <v>500</v>
      </c>
      <c r="K232" t="s">
        <v>90</v>
      </c>
      <c r="L232" t="s">
        <v>3879</v>
      </c>
      <c r="M232" t="s">
        <v>501</v>
      </c>
      <c r="N232" t="s">
        <v>502</v>
      </c>
      <c r="O232">
        <v>-15.4682482</v>
      </c>
      <c r="P232">
        <v>23.159182900000001</v>
      </c>
      <c r="Q232">
        <v>1031.31787109375</v>
      </c>
      <c r="R232">
        <v>3.9180000000000001</v>
      </c>
      <c r="S232" t="s">
        <v>84</v>
      </c>
      <c r="T232" t="s">
        <v>182</v>
      </c>
      <c r="U232">
        <v>3</v>
      </c>
      <c r="V232" t="s">
        <v>302</v>
      </c>
      <c r="W232" t="s">
        <v>503</v>
      </c>
      <c r="X232">
        <v>6</v>
      </c>
      <c r="Y232">
        <v>3.5</v>
      </c>
      <c r="Z232">
        <v>3</v>
      </c>
      <c r="AA232" t="s">
        <v>504</v>
      </c>
      <c r="AB232" t="s">
        <v>351</v>
      </c>
      <c r="AC232" t="s">
        <v>98</v>
      </c>
      <c r="AD232" t="s">
        <v>252</v>
      </c>
      <c r="AE232" t="s">
        <v>101</v>
      </c>
      <c r="AF232" t="s">
        <v>907</v>
      </c>
      <c r="AG232">
        <v>4000</v>
      </c>
      <c r="AH232" t="s">
        <v>147</v>
      </c>
      <c r="AI232" t="s">
        <v>907</v>
      </c>
      <c r="AJ232" s="5">
        <v>1975</v>
      </c>
      <c r="AK232" t="s">
        <v>505</v>
      </c>
      <c r="AL232" t="s">
        <v>907</v>
      </c>
      <c r="AM232" t="s">
        <v>253</v>
      </c>
      <c r="AN232" t="s">
        <v>907</v>
      </c>
      <c r="AO232" t="s">
        <v>506</v>
      </c>
      <c r="AP232" t="s">
        <v>507</v>
      </c>
      <c r="AQ232" t="s">
        <v>508</v>
      </c>
      <c r="AR232" t="s">
        <v>95</v>
      </c>
      <c r="AS232">
        <v>0</v>
      </c>
      <c r="AT232">
        <v>48</v>
      </c>
      <c r="AU232">
        <v>0</v>
      </c>
      <c r="AV232">
        <v>0</v>
      </c>
      <c r="AW232">
        <v>60</v>
      </c>
      <c r="AX232">
        <v>0</v>
      </c>
      <c r="AY232">
        <v>0</v>
      </c>
      <c r="AZ232" t="s">
        <v>106</v>
      </c>
      <c r="BA232" t="s">
        <v>95</v>
      </c>
      <c r="BB232" t="s">
        <v>232</v>
      </c>
      <c r="BC232" t="s">
        <v>95</v>
      </c>
      <c r="BD232" t="s">
        <v>257</v>
      </c>
      <c r="BE232" t="s">
        <v>258</v>
      </c>
      <c r="BF232" t="s">
        <v>509</v>
      </c>
      <c r="BG232" t="s">
        <v>109</v>
      </c>
      <c r="BH232">
        <v>13</v>
      </c>
      <c r="BL232">
        <v>52</v>
      </c>
      <c r="BN232">
        <v>0</v>
      </c>
      <c r="BP232">
        <v>0</v>
      </c>
      <c r="BR232">
        <v>0</v>
      </c>
      <c r="BT232">
        <v>4</v>
      </c>
      <c r="BV232">
        <v>0</v>
      </c>
      <c r="BX232">
        <v>6</v>
      </c>
      <c r="BY232" t="s">
        <v>189</v>
      </c>
      <c r="BZ232">
        <v>2</v>
      </c>
      <c r="CA232">
        <v>5</v>
      </c>
      <c r="CB232" t="s">
        <v>84</v>
      </c>
      <c r="CC232" t="s">
        <v>84</v>
      </c>
      <c r="CD232" t="s">
        <v>510</v>
      </c>
      <c r="CE232" t="s">
        <v>4250</v>
      </c>
      <c r="CF232" t="s">
        <v>511</v>
      </c>
      <c r="CG232" t="s">
        <v>907</v>
      </c>
      <c r="CH232">
        <v>8</v>
      </c>
      <c r="CI232" t="s">
        <v>95</v>
      </c>
      <c r="CJ232" t="s">
        <v>907</v>
      </c>
      <c r="CK232" t="s">
        <v>289</v>
      </c>
      <c r="CL232" t="s">
        <v>263</v>
      </c>
      <c r="CM232" t="s">
        <v>193</v>
      </c>
      <c r="CN232" t="s">
        <v>381</v>
      </c>
      <c r="CO232" t="s">
        <v>95</v>
      </c>
      <c r="CP232" t="s">
        <v>907</v>
      </c>
      <c r="CQ232" t="s">
        <v>116</v>
      </c>
      <c r="CR232" t="s">
        <v>84</v>
      </c>
      <c r="CS232" t="s">
        <v>117</v>
      </c>
      <c r="CT232" t="s">
        <v>907</v>
      </c>
      <c r="CU232" t="s">
        <v>3869</v>
      </c>
      <c r="CV232" t="s">
        <v>119</v>
      </c>
      <c r="CW232" t="s">
        <v>512</v>
      </c>
      <c r="CX232" t="s">
        <v>166</v>
      </c>
      <c r="CY232" t="s">
        <v>167</v>
      </c>
      <c r="CZ232" t="s">
        <v>495</v>
      </c>
      <c r="DA232">
        <v>0</v>
      </c>
      <c r="DB232" s="10">
        <v>0</v>
      </c>
      <c r="DC232" t="s">
        <v>169</v>
      </c>
      <c r="DD232" t="s">
        <v>907</v>
      </c>
      <c r="DE232">
        <v>1</v>
      </c>
      <c r="DF232">
        <v>21</v>
      </c>
      <c r="DG232" t="s">
        <v>95</v>
      </c>
      <c r="DH232" t="s">
        <v>95</v>
      </c>
      <c r="DI232" t="s">
        <v>907</v>
      </c>
      <c r="DJ232" t="s">
        <v>907</v>
      </c>
      <c r="DK232" t="s">
        <v>907</v>
      </c>
      <c r="DL232" t="s">
        <v>907</v>
      </c>
      <c r="DM232" t="s">
        <v>291</v>
      </c>
      <c r="DN232" t="s">
        <v>907</v>
      </c>
      <c r="DO232" t="s">
        <v>907</v>
      </c>
      <c r="DP232">
        <v>3</v>
      </c>
      <c r="DQ232" t="s">
        <v>202</v>
      </c>
      <c r="DR232" t="s">
        <v>907</v>
      </c>
      <c r="DS232" t="s">
        <v>172</v>
      </c>
      <c r="DT232" t="s">
        <v>513</v>
      </c>
      <c r="DU232" t="s">
        <v>95</v>
      </c>
      <c r="DV232" t="s">
        <v>907</v>
      </c>
      <c r="DW232" t="s">
        <v>907</v>
      </c>
      <c r="DX232" t="s">
        <v>907</v>
      </c>
      <c r="FQ232">
        <v>565418282</v>
      </c>
      <c r="FR232" t="s">
        <v>514</v>
      </c>
      <c r="FS232" s="1">
        <v>45924.222060185188</v>
      </c>
      <c r="FV232" t="s">
        <v>134</v>
      </c>
      <c r="FW232" t="s">
        <v>135</v>
      </c>
      <c r="FX232" t="s">
        <v>136</v>
      </c>
      <c r="FZ232">
        <v>143</v>
      </c>
    </row>
    <row r="233" spans="1:182" hidden="1" x14ac:dyDescent="0.3">
      <c r="A233" s="1">
        <v>45923.462254409722</v>
      </c>
      <c r="B233" s="1">
        <v>45923.494106469909</v>
      </c>
      <c r="D233" t="s">
        <v>84</v>
      </c>
      <c r="E233" t="s">
        <v>394</v>
      </c>
      <c r="F233" t="s">
        <v>395</v>
      </c>
      <c r="G233" t="s">
        <v>176</v>
      </c>
      <c r="H233" t="s">
        <v>4122</v>
      </c>
      <c r="I233" t="s">
        <v>396</v>
      </c>
      <c r="J233" t="s">
        <v>397</v>
      </c>
      <c r="K233" t="s">
        <v>90</v>
      </c>
      <c r="L233" t="s">
        <v>398</v>
      </c>
      <c r="M233" t="s">
        <v>277</v>
      </c>
      <c r="N233" t="s">
        <v>399</v>
      </c>
      <c r="O233">
        <v>-15.440906699999999</v>
      </c>
      <c r="P233">
        <v>23.216785000000002</v>
      </c>
      <c r="Q233">
        <v>1024.2</v>
      </c>
      <c r="R233">
        <v>3.52</v>
      </c>
      <c r="S233" t="s">
        <v>84</v>
      </c>
      <c r="T233" t="s">
        <v>182</v>
      </c>
      <c r="U233">
        <v>4</v>
      </c>
      <c r="V233" t="s">
        <v>95</v>
      </c>
      <c r="W233" t="s">
        <v>907</v>
      </c>
      <c r="X233">
        <v>14</v>
      </c>
      <c r="Y233">
        <v>15</v>
      </c>
      <c r="Z233">
        <v>3</v>
      </c>
      <c r="AA233" t="s">
        <v>96</v>
      </c>
      <c r="AB233" t="s">
        <v>97</v>
      </c>
      <c r="AC233" t="s">
        <v>98</v>
      </c>
      <c r="AD233" t="s">
        <v>280</v>
      </c>
      <c r="AE233" t="s">
        <v>100</v>
      </c>
      <c r="AF233" t="s">
        <v>907</v>
      </c>
      <c r="AG233">
        <v>11000</v>
      </c>
      <c r="AH233" t="s">
        <v>304</v>
      </c>
      <c r="AI233" t="s">
        <v>907</v>
      </c>
      <c r="AJ233" s="5">
        <v>3000</v>
      </c>
      <c r="AK233" t="s">
        <v>102</v>
      </c>
      <c r="AL233" t="s">
        <v>907</v>
      </c>
      <c r="AM233" t="s">
        <v>253</v>
      </c>
      <c r="AN233" t="s">
        <v>907</v>
      </c>
      <c r="AO233" t="s">
        <v>400</v>
      </c>
      <c r="AP233" t="s">
        <v>401</v>
      </c>
      <c r="AQ233" t="s">
        <v>402</v>
      </c>
      <c r="AR233" t="s">
        <v>84</v>
      </c>
      <c r="AS233">
        <v>0</v>
      </c>
      <c r="AT233">
        <v>0</v>
      </c>
      <c r="AU233">
        <v>0</v>
      </c>
      <c r="AV233">
        <v>0</v>
      </c>
      <c r="AW233">
        <v>0</v>
      </c>
      <c r="AX233">
        <v>0</v>
      </c>
      <c r="AY233">
        <v>0</v>
      </c>
      <c r="AZ233" t="s">
        <v>284</v>
      </c>
      <c r="BA233" t="s">
        <v>95</v>
      </c>
      <c r="BB233" t="s">
        <v>154</v>
      </c>
      <c r="BC233" t="s">
        <v>907</v>
      </c>
      <c r="BD233" t="s">
        <v>257</v>
      </c>
      <c r="BE233" t="s">
        <v>258</v>
      </c>
      <c r="BF233" t="s">
        <v>403</v>
      </c>
      <c r="BG233" t="s">
        <v>235</v>
      </c>
      <c r="BH233">
        <v>7</v>
      </c>
      <c r="BL233">
        <v>2</v>
      </c>
      <c r="BN233">
        <v>0</v>
      </c>
      <c r="BP233">
        <v>1</v>
      </c>
      <c r="BR233">
        <v>2</v>
      </c>
      <c r="BT233">
        <v>2</v>
      </c>
      <c r="BV233">
        <v>0</v>
      </c>
      <c r="BX233">
        <v>0</v>
      </c>
      <c r="BY233" t="s">
        <v>110</v>
      </c>
      <c r="BZ233" t="s">
        <v>907</v>
      </c>
      <c r="CA233" t="s">
        <v>907</v>
      </c>
      <c r="CB233" t="s">
        <v>84</v>
      </c>
      <c r="CC233" t="s">
        <v>84</v>
      </c>
      <c r="CD233" t="s">
        <v>334</v>
      </c>
      <c r="CE233" t="s">
        <v>4251</v>
      </c>
      <c r="CF233" t="s">
        <v>404</v>
      </c>
      <c r="CG233" t="s">
        <v>907</v>
      </c>
      <c r="CH233">
        <v>8</v>
      </c>
      <c r="CI233" t="s">
        <v>84</v>
      </c>
      <c r="CJ233" t="s">
        <v>405</v>
      </c>
      <c r="CK233" t="s">
        <v>113</v>
      </c>
      <c r="CL233" t="s">
        <v>406</v>
      </c>
      <c r="CM233" t="s">
        <v>193</v>
      </c>
      <c r="CN233" t="s">
        <v>194</v>
      </c>
      <c r="CO233" t="s">
        <v>95</v>
      </c>
      <c r="CP233" t="s">
        <v>907</v>
      </c>
      <c r="CQ233" t="s">
        <v>116</v>
      </c>
      <c r="CR233" t="s">
        <v>84</v>
      </c>
      <c r="CS233" t="s">
        <v>117</v>
      </c>
      <c r="CT233" t="s">
        <v>264</v>
      </c>
      <c r="CU233" t="s">
        <v>3869</v>
      </c>
      <c r="CV233" t="s">
        <v>119</v>
      </c>
      <c r="CW233" t="s">
        <v>407</v>
      </c>
      <c r="CX233" t="s">
        <v>166</v>
      </c>
      <c r="CY233" t="s">
        <v>167</v>
      </c>
      <c r="CZ233" t="s">
        <v>408</v>
      </c>
      <c r="DA233">
        <v>0</v>
      </c>
      <c r="DB233" s="10">
        <v>0</v>
      </c>
      <c r="DC233" t="s">
        <v>123</v>
      </c>
      <c r="DD233" t="s">
        <v>409</v>
      </c>
      <c r="DE233">
        <v>1</v>
      </c>
      <c r="DF233">
        <v>60</v>
      </c>
      <c r="DG233" t="s">
        <v>95</v>
      </c>
      <c r="DH233" t="s">
        <v>95</v>
      </c>
      <c r="DI233" t="s">
        <v>907</v>
      </c>
      <c r="DJ233" t="s">
        <v>907</v>
      </c>
      <c r="DK233" t="s">
        <v>907</v>
      </c>
      <c r="DL233" t="s">
        <v>907</v>
      </c>
      <c r="DM233" t="s">
        <v>125</v>
      </c>
      <c r="DN233" t="s">
        <v>341</v>
      </c>
      <c r="DO233" t="s">
        <v>342</v>
      </c>
      <c r="DP233">
        <v>6</v>
      </c>
      <c r="DQ233" t="s">
        <v>343</v>
      </c>
      <c r="DR233" t="s">
        <v>907</v>
      </c>
      <c r="DS233" t="s">
        <v>172</v>
      </c>
      <c r="DT233" t="s">
        <v>271</v>
      </c>
      <c r="DU233" t="s">
        <v>84</v>
      </c>
      <c r="DV233" t="s">
        <v>344</v>
      </c>
      <c r="DW233" t="s">
        <v>295</v>
      </c>
      <c r="DX233" t="s">
        <v>84</v>
      </c>
      <c r="FQ233">
        <v>565241822</v>
      </c>
      <c r="FR233" t="s">
        <v>410</v>
      </c>
      <c r="FS233" s="1">
        <v>45923.829814814817</v>
      </c>
      <c r="FV233" t="s">
        <v>134</v>
      </c>
      <c r="FW233" t="s">
        <v>135</v>
      </c>
      <c r="FX233" t="s">
        <v>136</v>
      </c>
      <c r="FZ233">
        <v>124</v>
      </c>
    </row>
    <row r="234" spans="1:182" hidden="1" x14ac:dyDescent="0.3">
      <c r="A234" s="1">
        <v>45925.490698182868</v>
      </c>
      <c r="B234" s="1">
        <v>45925.505518541657</v>
      </c>
      <c r="D234" t="s">
        <v>84</v>
      </c>
      <c r="E234" t="s">
        <v>245</v>
      </c>
      <c r="F234" t="s">
        <v>2621</v>
      </c>
      <c r="G234" t="s">
        <v>176</v>
      </c>
      <c r="H234" t="s">
        <v>4122</v>
      </c>
      <c r="I234" t="s">
        <v>2622</v>
      </c>
      <c r="J234" t="s">
        <v>2623</v>
      </c>
      <c r="K234" t="s">
        <v>90</v>
      </c>
      <c r="L234" t="s">
        <v>2624</v>
      </c>
      <c r="M234" t="s">
        <v>1871</v>
      </c>
      <c r="N234" t="s">
        <v>2625</v>
      </c>
      <c r="O234">
        <v>-15.1975055</v>
      </c>
      <c r="P234">
        <v>23.0399067</v>
      </c>
      <c r="Q234">
        <v>1041.502197265625</v>
      </c>
      <c r="R234">
        <v>4.867</v>
      </c>
      <c r="S234" t="s">
        <v>84</v>
      </c>
      <c r="T234" t="s">
        <v>94</v>
      </c>
      <c r="U234">
        <v>7</v>
      </c>
      <c r="V234" t="s">
        <v>95</v>
      </c>
      <c r="W234" t="s">
        <v>907</v>
      </c>
      <c r="X234">
        <v>40</v>
      </c>
      <c r="Y234">
        <v>4</v>
      </c>
      <c r="Z234">
        <v>4</v>
      </c>
      <c r="AA234" t="s">
        <v>504</v>
      </c>
      <c r="AB234" t="s">
        <v>97</v>
      </c>
      <c r="AC234" t="s">
        <v>98</v>
      </c>
      <c r="AD234" t="s">
        <v>280</v>
      </c>
      <c r="AE234" t="s">
        <v>100</v>
      </c>
      <c r="AF234" t="s">
        <v>907</v>
      </c>
      <c r="AG234">
        <v>35000</v>
      </c>
      <c r="AH234" t="s">
        <v>101</v>
      </c>
      <c r="AI234" t="s">
        <v>907</v>
      </c>
      <c r="AJ234" s="5">
        <v>3500</v>
      </c>
      <c r="AK234" t="s">
        <v>102</v>
      </c>
      <c r="AL234" t="s">
        <v>907</v>
      </c>
      <c r="AM234" t="s">
        <v>253</v>
      </c>
      <c r="AN234" t="s">
        <v>907</v>
      </c>
      <c r="AO234" t="s">
        <v>267</v>
      </c>
      <c r="AP234" t="s">
        <v>267</v>
      </c>
      <c r="AQ234" t="s">
        <v>2626</v>
      </c>
      <c r="AR234" t="s">
        <v>95</v>
      </c>
      <c r="AS234">
        <v>0</v>
      </c>
      <c r="AT234">
        <v>0</v>
      </c>
      <c r="AU234">
        <v>0</v>
      </c>
      <c r="AV234">
        <v>0</v>
      </c>
      <c r="AW234">
        <v>0</v>
      </c>
      <c r="AX234">
        <v>0</v>
      </c>
      <c r="AY234">
        <v>0</v>
      </c>
      <c r="AZ234" t="s">
        <v>929</v>
      </c>
      <c r="BA234" t="s">
        <v>95</v>
      </c>
      <c r="BB234" t="s">
        <v>154</v>
      </c>
      <c r="BC234" t="s">
        <v>907</v>
      </c>
      <c r="BD234" t="s">
        <v>107</v>
      </c>
      <c r="BE234" t="s">
        <v>258</v>
      </c>
      <c r="BF234" t="s">
        <v>4001</v>
      </c>
      <c r="BG234" t="s">
        <v>235</v>
      </c>
      <c r="BH234">
        <v>16</v>
      </c>
      <c r="BL234">
        <v>4</v>
      </c>
      <c r="BN234">
        <v>1</v>
      </c>
      <c r="BP234">
        <v>2</v>
      </c>
      <c r="BR234">
        <v>1</v>
      </c>
      <c r="BT234">
        <v>4</v>
      </c>
      <c r="BV234">
        <v>0</v>
      </c>
      <c r="BX234">
        <v>4</v>
      </c>
      <c r="BY234" t="s">
        <v>110</v>
      </c>
      <c r="BZ234" t="s">
        <v>907</v>
      </c>
      <c r="CA234" t="s">
        <v>907</v>
      </c>
      <c r="CB234" t="s">
        <v>84</v>
      </c>
      <c r="CC234" t="s">
        <v>84</v>
      </c>
      <c r="CD234" t="s">
        <v>2627</v>
      </c>
      <c r="CE234" t="s">
        <v>1998</v>
      </c>
      <c r="CF234" t="s">
        <v>4002</v>
      </c>
      <c r="CG234" t="s">
        <v>907</v>
      </c>
      <c r="CH234">
        <v>8</v>
      </c>
      <c r="CI234" t="s">
        <v>84</v>
      </c>
      <c r="CJ234" t="s">
        <v>336</v>
      </c>
      <c r="CK234" t="s">
        <v>289</v>
      </c>
      <c r="CL234" t="s">
        <v>4262</v>
      </c>
      <c r="CM234" t="s">
        <v>193</v>
      </c>
      <c r="CN234" t="s">
        <v>194</v>
      </c>
      <c r="CO234" t="s">
        <v>95</v>
      </c>
      <c r="CP234" t="s">
        <v>907</v>
      </c>
      <c r="CQ234" t="s">
        <v>116</v>
      </c>
      <c r="CR234" t="s">
        <v>84</v>
      </c>
      <c r="CS234" t="s">
        <v>117</v>
      </c>
      <c r="CT234" t="s">
        <v>163</v>
      </c>
      <c r="CU234" t="s">
        <v>438</v>
      </c>
      <c r="CV234" t="s">
        <v>119</v>
      </c>
      <c r="CW234" t="s">
        <v>2628</v>
      </c>
      <c r="CX234" t="s">
        <v>166</v>
      </c>
      <c r="CY234" t="s">
        <v>167</v>
      </c>
      <c r="CZ234" t="s">
        <v>2629</v>
      </c>
      <c r="DA234">
        <v>1</v>
      </c>
      <c r="DB234" s="10">
        <v>4800</v>
      </c>
      <c r="DC234" t="s">
        <v>123</v>
      </c>
      <c r="DD234" t="s">
        <v>2630</v>
      </c>
      <c r="DE234">
        <v>2</v>
      </c>
      <c r="DF234">
        <v>18</v>
      </c>
      <c r="DG234" t="s">
        <v>95</v>
      </c>
      <c r="DH234" t="s">
        <v>95</v>
      </c>
      <c r="DI234" t="s">
        <v>907</v>
      </c>
      <c r="DJ234" t="s">
        <v>907</v>
      </c>
      <c r="DK234" t="s">
        <v>907</v>
      </c>
      <c r="DL234" t="s">
        <v>907</v>
      </c>
      <c r="DM234" t="s">
        <v>291</v>
      </c>
      <c r="DN234" t="s">
        <v>907</v>
      </c>
      <c r="DO234" t="s">
        <v>907</v>
      </c>
      <c r="DP234">
        <v>50</v>
      </c>
      <c r="DQ234" t="s">
        <v>441</v>
      </c>
      <c r="DR234" t="s">
        <v>907</v>
      </c>
      <c r="DS234" t="s">
        <v>2515</v>
      </c>
      <c r="DT234" t="s">
        <v>2562</v>
      </c>
      <c r="DU234" t="s">
        <v>95</v>
      </c>
      <c r="DV234" t="s">
        <v>907</v>
      </c>
      <c r="DW234" t="s">
        <v>907</v>
      </c>
      <c r="DX234" t="s">
        <v>907</v>
      </c>
      <c r="FQ234">
        <v>567124717</v>
      </c>
      <c r="FR234" t="s">
        <v>2631</v>
      </c>
      <c r="FS234" s="1">
        <v>45926.220243055563</v>
      </c>
      <c r="FV234" t="s">
        <v>134</v>
      </c>
      <c r="FW234" t="s">
        <v>135</v>
      </c>
      <c r="FX234" t="s">
        <v>136</v>
      </c>
      <c r="FZ234">
        <v>386</v>
      </c>
    </row>
    <row r="235" spans="1:182" hidden="1" x14ac:dyDescent="0.3">
      <c r="A235" s="1">
        <v>45924.562162025461</v>
      </c>
      <c r="B235" s="1">
        <v>45924.773118020843</v>
      </c>
      <c r="D235" t="s">
        <v>84</v>
      </c>
      <c r="E235" t="s">
        <v>3876</v>
      </c>
      <c r="F235" t="s">
        <v>1149</v>
      </c>
      <c r="G235" t="s">
        <v>176</v>
      </c>
      <c r="H235" t="s">
        <v>4122</v>
      </c>
      <c r="I235" t="s">
        <v>1150</v>
      </c>
      <c r="J235" t="s">
        <v>1151</v>
      </c>
      <c r="K235" t="s">
        <v>90</v>
      </c>
      <c r="L235" t="s">
        <v>1075</v>
      </c>
      <c r="M235" t="s">
        <v>671</v>
      </c>
      <c r="S235" t="s">
        <v>84</v>
      </c>
      <c r="T235" t="s">
        <v>94</v>
      </c>
      <c r="U235">
        <v>15</v>
      </c>
      <c r="V235" t="s">
        <v>95</v>
      </c>
      <c r="W235" t="s">
        <v>907</v>
      </c>
      <c r="X235">
        <v>20</v>
      </c>
      <c r="Y235">
        <v>5</v>
      </c>
      <c r="Z235">
        <v>4</v>
      </c>
      <c r="AA235" t="s">
        <v>504</v>
      </c>
      <c r="AB235" t="s">
        <v>351</v>
      </c>
      <c r="AC235" t="s">
        <v>98</v>
      </c>
      <c r="AD235" t="s">
        <v>99</v>
      </c>
      <c r="AE235" t="s">
        <v>304</v>
      </c>
      <c r="AF235" t="s">
        <v>907</v>
      </c>
      <c r="AG235">
        <v>1500</v>
      </c>
      <c r="AH235" t="s">
        <v>147</v>
      </c>
      <c r="AI235" t="s">
        <v>907</v>
      </c>
      <c r="AJ235" s="5">
        <v>3000</v>
      </c>
      <c r="AK235" t="s">
        <v>148</v>
      </c>
      <c r="AL235" t="s">
        <v>907</v>
      </c>
      <c r="AM235" t="s">
        <v>1152</v>
      </c>
      <c r="AN235" t="s">
        <v>907</v>
      </c>
      <c r="AO235" t="s">
        <v>267</v>
      </c>
      <c r="AP235" t="s">
        <v>1153</v>
      </c>
      <c r="AQ235" t="s">
        <v>1154</v>
      </c>
      <c r="AR235" t="s">
        <v>95</v>
      </c>
      <c r="AS235">
        <v>0</v>
      </c>
      <c r="AT235">
        <v>0</v>
      </c>
      <c r="AU235">
        <v>0</v>
      </c>
      <c r="AV235">
        <v>0</v>
      </c>
      <c r="AW235">
        <v>0</v>
      </c>
      <c r="AX235">
        <v>0</v>
      </c>
      <c r="AY235">
        <v>0</v>
      </c>
      <c r="AZ235" t="s">
        <v>929</v>
      </c>
      <c r="BA235" t="s">
        <v>95</v>
      </c>
      <c r="BB235" t="s">
        <v>154</v>
      </c>
      <c r="BC235" t="s">
        <v>907</v>
      </c>
      <c r="BD235" t="s">
        <v>107</v>
      </c>
      <c r="BE235" t="s">
        <v>258</v>
      </c>
      <c r="BF235" t="s">
        <v>1088</v>
      </c>
      <c r="BG235" t="s">
        <v>156</v>
      </c>
      <c r="BH235">
        <v>26</v>
      </c>
      <c r="BL235">
        <v>15</v>
      </c>
      <c r="BN235">
        <v>3</v>
      </c>
      <c r="BP235">
        <v>4</v>
      </c>
      <c r="BR235">
        <v>0</v>
      </c>
      <c r="BT235">
        <v>0</v>
      </c>
      <c r="BV235">
        <v>0</v>
      </c>
      <c r="BX235">
        <v>4</v>
      </c>
      <c r="BY235" t="s">
        <v>189</v>
      </c>
      <c r="BZ235">
        <v>2</v>
      </c>
      <c r="CA235">
        <v>2</v>
      </c>
      <c r="CB235" t="s">
        <v>84</v>
      </c>
      <c r="CC235" t="s">
        <v>84</v>
      </c>
      <c r="CD235" t="s">
        <v>1155</v>
      </c>
      <c r="CE235" t="s">
        <v>4251</v>
      </c>
      <c r="CF235" t="s">
        <v>1156</v>
      </c>
      <c r="CG235" t="s">
        <v>907</v>
      </c>
      <c r="CH235">
        <v>8</v>
      </c>
      <c r="CI235" t="s">
        <v>84</v>
      </c>
      <c r="CJ235" t="s">
        <v>586</v>
      </c>
      <c r="CK235" t="s">
        <v>289</v>
      </c>
      <c r="CL235" t="s">
        <v>879</v>
      </c>
      <c r="CM235" t="s">
        <v>193</v>
      </c>
      <c r="CN235" t="s">
        <v>3874</v>
      </c>
      <c r="CO235" t="s">
        <v>95</v>
      </c>
      <c r="CP235" t="s">
        <v>907</v>
      </c>
      <c r="CQ235" t="s">
        <v>116</v>
      </c>
      <c r="CR235" t="s">
        <v>95</v>
      </c>
      <c r="CS235" t="s">
        <v>907</v>
      </c>
      <c r="CT235" t="s">
        <v>907</v>
      </c>
      <c r="CU235" t="s">
        <v>907</v>
      </c>
      <c r="CV235" t="s">
        <v>119</v>
      </c>
      <c r="CW235" t="s">
        <v>715</v>
      </c>
      <c r="CX235" t="s">
        <v>166</v>
      </c>
      <c r="CY235" t="s">
        <v>167</v>
      </c>
      <c r="CZ235" t="s">
        <v>382</v>
      </c>
      <c r="DA235">
        <v>2</v>
      </c>
      <c r="DB235" s="10">
        <v>10000</v>
      </c>
      <c r="DC235" t="s">
        <v>169</v>
      </c>
      <c r="DD235" t="s">
        <v>907</v>
      </c>
      <c r="DE235">
        <v>2</v>
      </c>
      <c r="DF235">
        <v>15</v>
      </c>
      <c r="DG235" t="s">
        <v>95</v>
      </c>
      <c r="DH235" t="s">
        <v>95</v>
      </c>
      <c r="DI235" t="s">
        <v>907</v>
      </c>
      <c r="DJ235" t="s">
        <v>907</v>
      </c>
      <c r="DK235" t="s">
        <v>907</v>
      </c>
      <c r="DL235" t="s">
        <v>907</v>
      </c>
      <c r="DM235" t="s">
        <v>291</v>
      </c>
      <c r="DN235" t="s">
        <v>907</v>
      </c>
      <c r="DO235" t="s">
        <v>907</v>
      </c>
      <c r="DP235">
        <v>2</v>
      </c>
      <c r="DQ235" t="s">
        <v>441</v>
      </c>
      <c r="DR235" t="s">
        <v>907</v>
      </c>
      <c r="DS235" t="s">
        <v>882</v>
      </c>
      <c r="DT235" t="s">
        <v>1157</v>
      </c>
      <c r="DU235" t="s">
        <v>95</v>
      </c>
      <c r="DV235" t="s">
        <v>907</v>
      </c>
      <c r="DW235" t="s">
        <v>907</v>
      </c>
      <c r="DX235" t="s">
        <v>907</v>
      </c>
      <c r="FQ235">
        <v>565986493</v>
      </c>
      <c r="FR235" t="s">
        <v>1158</v>
      </c>
      <c r="FS235" s="1">
        <v>45924.707719907397</v>
      </c>
      <c r="FV235" t="s">
        <v>134</v>
      </c>
      <c r="FW235" t="s">
        <v>135</v>
      </c>
      <c r="FX235" t="s">
        <v>136</v>
      </c>
      <c r="FZ235">
        <v>200</v>
      </c>
    </row>
    <row r="236" spans="1:182" hidden="1" x14ac:dyDescent="0.3">
      <c r="A236" s="1">
        <v>45923.430681296297</v>
      </c>
      <c r="B236" s="1">
        <v>45923.490249884257</v>
      </c>
      <c r="D236" t="s">
        <v>84</v>
      </c>
      <c r="E236" t="s">
        <v>497</v>
      </c>
      <c r="F236" t="s">
        <v>515</v>
      </c>
      <c r="G236" t="s">
        <v>176</v>
      </c>
      <c r="H236" t="s">
        <v>4122</v>
      </c>
      <c r="I236" t="s">
        <v>516</v>
      </c>
      <c r="J236" t="s">
        <v>517</v>
      </c>
      <c r="K236" t="s">
        <v>90</v>
      </c>
      <c r="L236" t="s">
        <v>3880</v>
      </c>
      <c r="M236" t="s">
        <v>3881</v>
      </c>
      <c r="N236" t="s">
        <v>518</v>
      </c>
      <c r="O236">
        <v>-15.46434</v>
      </c>
      <c r="P236">
        <v>23.15728</v>
      </c>
      <c r="Q236">
        <v>1024.2</v>
      </c>
      <c r="R236">
        <v>4.9329999999999998</v>
      </c>
      <c r="S236" t="s">
        <v>84</v>
      </c>
      <c r="T236" t="s">
        <v>182</v>
      </c>
      <c r="U236">
        <v>0</v>
      </c>
      <c r="V236" t="s">
        <v>302</v>
      </c>
      <c r="W236" t="s">
        <v>519</v>
      </c>
      <c r="X236">
        <v>15</v>
      </c>
      <c r="Y236">
        <v>2</v>
      </c>
      <c r="Z236">
        <v>1.8</v>
      </c>
      <c r="AA236" t="s">
        <v>504</v>
      </c>
      <c r="AB236" t="s">
        <v>97</v>
      </c>
      <c r="AC236" t="s">
        <v>98</v>
      </c>
      <c r="AD236" t="s">
        <v>520</v>
      </c>
      <c r="AE236" t="s">
        <v>100</v>
      </c>
      <c r="AF236" t="s">
        <v>907</v>
      </c>
      <c r="AG236">
        <v>250</v>
      </c>
      <c r="AH236" t="s">
        <v>521</v>
      </c>
      <c r="AI236" t="s">
        <v>907</v>
      </c>
      <c r="AJ236" s="5">
        <v>150</v>
      </c>
      <c r="AK236" t="s">
        <v>505</v>
      </c>
      <c r="AL236" t="s">
        <v>907</v>
      </c>
      <c r="AM236" t="s">
        <v>185</v>
      </c>
      <c r="AN236" t="s">
        <v>907</v>
      </c>
      <c r="AO236" t="s">
        <v>522</v>
      </c>
      <c r="AP236" t="s">
        <v>523</v>
      </c>
      <c r="AQ236" t="s">
        <v>524</v>
      </c>
      <c r="AR236" t="s">
        <v>84</v>
      </c>
      <c r="AS236">
        <v>7</v>
      </c>
      <c r="AT236">
        <v>7</v>
      </c>
      <c r="AU236">
        <v>0</v>
      </c>
      <c r="AV236">
        <v>15</v>
      </c>
      <c r="AW236">
        <v>15</v>
      </c>
      <c r="AX236">
        <v>0</v>
      </c>
      <c r="AY236">
        <v>0</v>
      </c>
      <c r="AZ236" t="s">
        <v>106</v>
      </c>
      <c r="BA236" t="s">
        <v>452</v>
      </c>
      <c r="BB236" t="s">
        <v>232</v>
      </c>
      <c r="BC236" t="s">
        <v>95</v>
      </c>
      <c r="BD236" t="s">
        <v>107</v>
      </c>
      <c r="BE236" t="s">
        <v>363</v>
      </c>
      <c r="BF236" t="s">
        <v>525</v>
      </c>
      <c r="BG236" t="s">
        <v>526</v>
      </c>
      <c r="BH236">
        <v>76</v>
      </c>
      <c r="BL236">
        <v>24</v>
      </c>
      <c r="BN236">
        <v>4</v>
      </c>
      <c r="BP236">
        <v>17</v>
      </c>
      <c r="BR236">
        <v>7</v>
      </c>
      <c r="BT236">
        <v>6</v>
      </c>
      <c r="BV236">
        <v>8</v>
      </c>
      <c r="BX236">
        <v>12</v>
      </c>
      <c r="BY236" t="s">
        <v>189</v>
      </c>
      <c r="BZ236">
        <v>2</v>
      </c>
      <c r="CA236">
        <v>42</v>
      </c>
      <c r="CB236" t="s">
        <v>84</v>
      </c>
      <c r="CC236" t="s">
        <v>84</v>
      </c>
      <c r="CD236" t="s">
        <v>527</v>
      </c>
      <c r="CE236" t="s">
        <v>4249</v>
      </c>
      <c r="CF236" t="s">
        <v>528</v>
      </c>
      <c r="CG236" t="s">
        <v>907</v>
      </c>
      <c r="CH236">
        <v>8</v>
      </c>
      <c r="CI236" t="s">
        <v>84</v>
      </c>
      <c r="CJ236" t="s">
        <v>160</v>
      </c>
      <c r="CK236" t="s">
        <v>113</v>
      </c>
      <c r="CL236" t="s">
        <v>263</v>
      </c>
      <c r="CM236" t="s">
        <v>193</v>
      </c>
      <c r="CN236" t="s">
        <v>3874</v>
      </c>
      <c r="CO236" t="s">
        <v>95</v>
      </c>
      <c r="CP236" t="s">
        <v>907</v>
      </c>
      <c r="CQ236" t="s">
        <v>116</v>
      </c>
      <c r="CR236" t="s">
        <v>84</v>
      </c>
      <c r="CS236" t="s">
        <v>117</v>
      </c>
      <c r="CT236" t="s">
        <v>907</v>
      </c>
      <c r="CU236" t="s">
        <v>3869</v>
      </c>
      <c r="CV236" t="s">
        <v>119</v>
      </c>
      <c r="CW236" t="s">
        <v>529</v>
      </c>
      <c r="CX236" t="s">
        <v>166</v>
      </c>
      <c r="CY236" t="s">
        <v>167</v>
      </c>
      <c r="CZ236" t="s">
        <v>530</v>
      </c>
      <c r="DA236">
        <v>5</v>
      </c>
      <c r="DB236" s="10">
        <v>17500</v>
      </c>
      <c r="DC236" t="s">
        <v>169</v>
      </c>
      <c r="DD236" t="s">
        <v>907</v>
      </c>
      <c r="DE236">
        <v>1</v>
      </c>
      <c r="DF236">
        <v>20</v>
      </c>
      <c r="DG236" t="s">
        <v>95</v>
      </c>
      <c r="DH236" t="s">
        <v>95</v>
      </c>
      <c r="DI236" t="s">
        <v>907</v>
      </c>
      <c r="DJ236" t="s">
        <v>907</v>
      </c>
      <c r="DK236" t="s">
        <v>907</v>
      </c>
      <c r="DL236" t="s">
        <v>907</v>
      </c>
      <c r="DM236" t="s">
        <v>291</v>
      </c>
      <c r="DN236" t="s">
        <v>907</v>
      </c>
      <c r="DO236" t="s">
        <v>907</v>
      </c>
      <c r="DP236">
        <v>3</v>
      </c>
      <c r="DQ236" t="s">
        <v>128</v>
      </c>
      <c r="DR236" t="s">
        <v>907</v>
      </c>
      <c r="DS236" t="s">
        <v>172</v>
      </c>
      <c r="DT236" t="s">
        <v>531</v>
      </c>
      <c r="DU236" t="s">
        <v>84</v>
      </c>
      <c r="DV236" t="s">
        <v>532</v>
      </c>
      <c r="DW236" t="s">
        <v>533</v>
      </c>
      <c r="DX236" t="s">
        <v>95</v>
      </c>
      <c r="FQ236">
        <v>565418672</v>
      </c>
      <c r="FR236" t="s">
        <v>534</v>
      </c>
      <c r="FS236" s="1">
        <v>45924.222511574073</v>
      </c>
      <c r="FV236" t="s">
        <v>134</v>
      </c>
      <c r="FW236" t="s">
        <v>135</v>
      </c>
      <c r="FX236" t="s">
        <v>136</v>
      </c>
      <c r="FZ236">
        <v>145</v>
      </c>
    </row>
    <row r="237" spans="1:182" hidden="1" x14ac:dyDescent="0.3">
      <c r="A237" s="1">
        <v>45925.470103495369</v>
      </c>
      <c r="B237" s="1">
        <v>45925.490171215279</v>
      </c>
      <c r="D237" t="s">
        <v>84</v>
      </c>
      <c r="E237" t="s">
        <v>297</v>
      </c>
      <c r="F237" t="s">
        <v>2611</v>
      </c>
      <c r="G237" t="s">
        <v>176</v>
      </c>
      <c r="H237" t="s">
        <v>4122</v>
      </c>
      <c r="I237" t="s">
        <v>2612</v>
      </c>
      <c r="J237" t="s">
        <v>2613</v>
      </c>
      <c r="K237" t="s">
        <v>90</v>
      </c>
      <c r="L237" t="s">
        <v>2614</v>
      </c>
      <c r="M237" t="s">
        <v>1871</v>
      </c>
      <c r="N237" t="s">
        <v>2615</v>
      </c>
      <c r="O237">
        <v>-15.1975183</v>
      </c>
      <c r="P237">
        <v>22.973623100000001</v>
      </c>
      <c r="Q237">
        <v>1030.6962890625</v>
      </c>
      <c r="R237">
        <v>4.9880000000000004</v>
      </c>
      <c r="S237" t="s">
        <v>84</v>
      </c>
      <c r="T237" t="s">
        <v>182</v>
      </c>
      <c r="U237">
        <v>6</v>
      </c>
      <c r="V237" t="s">
        <v>95</v>
      </c>
      <c r="W237" t="s">
        <v>907</v>
      </c>
      <c r="X237">
        <v>56</v>
      </c>
      <c r="Y237">
        <v>2</v>
      </c>
      <c r="Z237">
        <v>2</v>
      </c>
      <c r="AA237" t="s">
        <v>504</v>
      </c>
      <c r="AB237" t="s">
        <v>97</v>
      </c>
      <c r="AC237" t="s">
        <v>98</v>
      </c>
      <c r="AD237" t="s">
        <v>280</v>
      </c>
      <c r="AE237" t="s">
        <v>100</v>
      </c>
      <c r="AF237" t="s">
        <v>907</v>
      </c>
      <c r="AG237">
        <v>25000</v>
      </c>
      <c r="AH237" t="s">
        <v>101</v>
      </c>
      <c r="AI237" t="s">
        <v>907</v>
      </c>
      <c r="AJ237" s="5">
        <v>2350</v>
      </c>
      <c r="AK237" t="s">
        <v>102</v>
      </c>
      <c r="AL237" t="s">
        <v>907</v>
      </c>
      <c r="AM237" t="s">
        <v>2616</v>
      </c>
      <c r="AN237" t="s">
        <v>907</v>
      </c>
      <c r="AO237" t="s">
        <v>2617</v>
      </c>
      <c r="AP237" t="s">
        <v>2617</v>
      </c>
      <c r="AQ237" t="s">
        <v>466</v>
      </c>
      <c r="AR237" t="s">
        <v>95</v>
      </c>
      <c r="AS237">
        <v>0</v>
      </c>
      <c r="AT237">
        <v>0</v>
      </c>
      <c r="AU237">
        <v>10</v>
      </c>
      <c r="AV237">
        <v>0</v>
      </c>
      <c r="AW237">
        <v>0</v>
      </c>
      <c r="AX237">
        <v>10</v>
      </c>
      <c r="AY237">
        <v>0</v>
      </c>
      <c r="AZ237" t="s">
        <v>929</v>
      </c>
      <c r="BA237" t="s">
        <v>1065</v>
      </c>
      <c r="BB237" t="s">
        <v>154</v>
      </c>
      <c r="BC237" t="s">
        <v>907</v>
      </c>
      <c r="BD237" t="s">
        <v>285</v>
      </c>
      <c r="BE237" t="s">
        <v>258</v>
      </c>
      <c r="BF237" t="s">
        <v>3964</v>
      </c>
      <c r="BG237" t="s">
        <v>235</v>
      </c>
      <c r="BH237">
        <v>70</v>
      </c>
      <c r="BL237">
        <v>28</v>
      </c>
      <c r="BN237">
        <v>3</v>
      </c>
      <c r="BP237">
        <v>10</v>
      </c>
      <c r="BR237">
        <v>17</v>
      </c>
      <c r="BT237">
        <v>4</v>
      </c>
      <c r="BV237">
        <v>20</v>
      </c>
      <c r="BX237">
        <v>18</v>
      </c>
      <c r="BY237" t="s">
        <v>189</v>
      </c>
      <c r="BZ237">
        <v>1</v>
      </c>
      <c r="CA237">
        <v>2</v>
      </c>
      <c r="CB237" t="s">
        <v>84</v>
      </c>
      <c r="CC237" t="s">
        <v>84</v>
      </c>
      <c r="CD237" t="s">
        <v>2599</v>
      </c>
      <c r="CE237" t="s">
        <v>4249</v>
      </c>
      <c r="CF237" t="s">
        <v>4000</v>
      </c>
      <c r="CG237" t="s">
        <v>907</v>
      </c>
      <c r="CH237">
        <v>8</v>
      </c>
      <c r="CI237" t="s">
        <v>84</v>
      </c>
      <c r="CJ237" t="s">
        <v>262</v>
      </c>
      <c r="CK237" t="s">
        <v>289</v>
      </c>
      <c r="CL237" t="s">
        <v>456</v>
      </c>
      <c r="CM237" t="s">
        <v>193</v>
      </c>
      <c r="CN237" t="s">
        <v>3874</v>
      </c>
      <c r="CO237" t="s">
        <v>95</v>
      </c>
      <c r="CP237" t="s">
        <v>907</v>
      </c>
      <c r="CQ237" t="s">
        <v>116</v>
      </c>
      <c r="CR237" t="s">
        <v>84</v>
      </c>
      <c r="CS237" t="s">
        <v>117</v>
      </c>
      <c r="CT237" t="s">
        <v>264</v>
      </c>
      <c r="CU237" t="s">
        <v>3869</v>
      </c>
      <c r="CV237" t="s">
        <v>812</v>
      </c>
      <c r="CW237" t="s">
        <v>2618</v>
      </c>
      <c r="CX237" t="s">
        <v>166</v>
      </c>
      <c r="CY237" t="s">
        <v>167</v>
      </c>
      <c r="CZ237" t="s">
        <v>2619</v>
      </c>
      <c r="DA237">
        <v>7</v>
      </c>
      <c r="DB237" s="10">
        <v>35000</v>
      </c>
      <c r="DC237" t="s">
        <v>169</v>
      </c>
      <c r="DD237" t="s">
        <v>907</v>
      </c>
      <c r="DE237">
        <v>1</v>
      </c>
      <c r="DF237">
        <v>17</v>
      </c>
      <c r="DG237" t="s">
        <v>95</v>
      </c>
      <c r="DH237" t="s">
        <v>95</v>
      </c>
      <c r="DI237" t="s">
        <v>907</v>
      </c>
      <c r="DJ237" t="s">
        <v>907</v>
      </c>
      <c r="DK237" t="s">
        <v>907</v>
      </c>
      <c r="DL237" t="s">
        <v>907</v>
      </c>
      <c r="DM237" t="s">
        <v>291</v>
      </c>
      <c r="DN237" t="s">
        <v>907</v>
      </c>
      <c r="DO237" t="s">
        <v>907</v>
      </c>
      <c r="DP237">
        <v>45</v>
      </c>
      <c r="DQ237" t="s">
        <v>441</v>
      </c>
      <c r="DR237" t="s">
        <v>907</v>
      </c>
      <c r="DS237" t="s">
        <v>2505</v>
      </c>
      <c r="DT237" t="s">
        <v>2486</v>
      </c>
      <c r="DU237" t="s">
        <v>95</v>
      </c>
      <c r="DV237" t="s">
        <v>907</v>
      </c>
      <c r="DW237" t="s">
        <v>907</v>
      </c>
      <c r="DX237" t="s">
        <v>907</v>
      </c>
      <c r="FQ237">
        <v>567124712</v>
      </c>
      <c r="FR237" t="s">
        <v>2620</v>
      </c>
      <c r="FS237" s="1">
        <v>45926.220219907409</v>
      </c>
      <c r="FV237" t="s">
        <v>134</v>
      </c>
      <c r="FW237" t="s">
        <v>135</v>
      </c>
      <c r="FX237" t="s">
        <v>136</v>
      </c>
      <c r="FZ237">
        <v>385</v>
      </c>
    </row>
    <row r="238" spans="1:182" hidden="1" x14ac:dyDescent="0.3">
      <c r="A238" s="1">
        <v>45930.381489259264</v>
      </c>
      <c r="B238" s="1">
        <v>45930.932968773152</v>
      </c>
      <c r="D238" t="s">
        <v>84</v>
      </c>
      <c r="E238" t="s">
        <v>3876</v>
      </c>
      <c r="F238" t="s">
        <v>3218</v>
      </c>
      <c r="G238" t="s">
        <v>176</v>
      </c>
      <c r="H238" t="s">
        <v>4122</v>
      </c>
      <c r="I238" t="s">
        <v>3219</v>
      </c>
      <c r="J238" t="s">
        <v>3220</v>
      </c>
      <c r="K238" t="s">
        <v>90</v>
      </c>
      <c r="L238" t="s">
        <v>3221</v>
      </c>
      <c r="M238" t="s">
        <v>4066</v>
      </c>
      <c r="S238" t="s">
        <v>84</v>
      </c>
      <c r="T238" t="s">
        <v>94</v>
      </c>
      <c r="U238">
        <v>10</v>
      </c>
      <c r="V238" t="s">
        <v>302</v>
      </c>
      <c r="W238" t="s">
        <v>3222</v>
      </c>
      <c r="X238">
        <v>30</v>
      </c>
      <c r="Y238">
        <v>5</v>
      </c>
      <c r="Z238">
        <v>2</v>
      </c>
      <c r="AA238" t="s">
        <v>504</v>
      </c>
      <c r="AB238" t="s">
        <v>97</v>
      </c>
      <c r="AC238" t="s">
        <v>98</v>
      </c>
      <c r="AD238" t="s">
        <v>280</v>
      </c>
      <c r="AE238" t="s">
        <v>100</v>
      </c>
      <c r="AF238" t="s">
        <v>907</v>
      </c>
      <c r="AG238">
        <v>5000</v>
      </c>
      <c r="AH238" t="s">
        <v>304</v>
      </c>
      <c r="AI238" t="s">
        <v>907</v>
      </c>
      <c r="AJ238" s="5">
        <v>10000</v>
      </c>
      <c r="AK238" t="s">
        <v>102</v>
      </c>
      <c r="AL238" t="s">
        <v>907</v>
      </c>
      <c r="AM238" t="s">
        <v>3223</v>
      </c>
      <c r="AN238" t="s">
        <v>907</v>
      </c>
      <c r="AO238" t="s">
        <v>267</v>
      </c>
      <c r="AP238" t="s">
        <v>3224</v>
      </c>
      <c r="AQ238" t="s">
        <v>3225</v>
      </c>
      <c r="AR238" t="s">
        <v>95</v>
      </c>
      <c r="AS238">
        <v>0</v>
      </c>
      <c r="AT238">
        <v>0</v>
      </c>
      <c r="AU238">
        <v>0</v>
      </c>
      <c r="AV238">
        <v>0</v>
      </c>
      <c r="AW238">
        <v>0</v>
      </c>
      <c r="AX238">
        <v>0</v>
      </c>
      <c r="AY238">
        <v>0</v>
      </c>
      <c r="AZ238" t="s">
        <v>1003</v>
      </c>
      <c r="BA238" t="s">
        <v>95</v>
      </c>
      <c r="BB238" t="s">
        <v>154</v>
      </c>
      <c r="BC238" t="s">
        <v>907</v>
      </c>
      <c r="BD238" t="s">
        <v>107</v>
      </c>
      <c r="BE238" t="s">
        <v>363</v>
      </c>
      <c r="BF238" t="s">
        <v>1224</v>
      </c>
      <c r="BG238" t="s">
        <v>156</v>
      </c>
      <c r="BH238">
        <v>35</v>
      </c>
      <c r="BL238">
        <v>15</v>
      </c>
      <c r="BN238">
        <v>3</v>
      </c>
      <c r="BP238">
        <v>0</v>
      </c>
      <c r="BR238">
        <v>1</v>
      </c>
      <c r="BT238">
        <v>6</v>
      </c>
      <c r="BV238">
        <v>0</v>
      </c>
      <c r="BX238">
        <v>10</v>
      </c>
      <c r="BY238" t="s">
        <v>189</v>
      </c>
      <c r="BZ238">
        <v>3</v>
      </c>
      <c r="CA238">
        <v>25</v>
      </c>
      <c r="CB238" t="s">
        <v>84</v>
      </c>
      <c r="CC238" t="s">
        <v>84</v>
      </c>
      <c r="CD238" t="s">
        <v>822</v>
      </c>
      <c r="CE238" t="s">
        <v>4252</v>
      </c>
      <c r="CF238" t="s">
        <v>3226</v>
      </c>
      <c r="CG238" t="s">
        <v>907</v>
      </c>
      <c r="CH238">
        <v>8</v>
      </c>
      <c r="CI238" t="s">
        <v>84</v>
      </c>
      <c r="CJ238" t="s">
        <v>336</v>
      </c>
      <c r="CK238" t="s">
        <v>113</v>
      </c>
      <c r="CL238" t="s">
        <v>895</v>
      </c>
      <c r="CM238" t="s">
        <v>162</v>
      </c>
      <c r="CN238" t="s">
        <v>3868</v>
      </c>
      <c r="CO238" t="s">
        <v>95</v>
      </c>
      <c r="CP238" t="s">
        <v>907</v>
      </c>
      <c r="CQ238" t="s">
        <v>116</v>
      </c>
      <c r="CR238" t="s">
        <v>95</v>
      </c>
      <c r="CS238" t="s">
        <v>907</v>
      </c>
      <c r="CT238" t="s">
        <v>907</v>
      </c>
      <c r="CU238" t="s">
        <v>907</v>
      </c>
      <c r="CV238" t="s">
        <v>482</v>
      </c>
      <c r="CW238" t="s">
        <v>1137</v>
      </c>
      <c r="CX238" t="s">
        <v>166</v>
      </c>
      <c r="CY238" t="s">
        <v>167</v>
      </c>
      <c r="CZ238" t="s">
        <v>2232</v>
      </c>
      <c r="DA238">
        <v>3</v>
      </c>
      <c r="DB238" s="10">
        <v>245000</v>
      </c>
      <c r="DC238" t="s">
        <v>169</v>
      </c>
      <c r="DD238" t="s">
        <v>907</v>
      </c>
      <c r="DE238">
        <v>5</v>
      </c>
      <c r="DF238">
        <v>35</v>
      </c>
      <c r="DG238" t="s">
        <v>95</v>
      </c>
      <c r="DH238" t="s">
        <v>95</v>
      </c>
      <c r="DI238" t="s">
        <v>907</v>
      </c>
      <c r="DJ238" t="s">
        <v>907</v>
      </c>
      <c r="DK238" t="s">
        <v>907</v>
      </c>
      <c r="DL238" t="s">
        <v>907</v>
      </c>
      <c r="DM238" t="s">
        <v>291</v>
      </c>
      <c r="DN238" t="s">
        <v>907</v>
      </c>
      <c r="DO238" t="s">
        <v>907</v>
      </c>
      <c r="DP238">
        <v>2</v>
      </c>
      <c r="DQ238" t="s">
        <v>441</v>
      </c>
      <c r="DR238" t="s">
        <v>907</v>
      </c>
      <c r="DS238" t="s">
        <v>1204</v>
      </c>
      <c r="DT238" t="s">
        <v>2406</v>
      </c>
      <c r="DU238" t="s">
        <v>95</v>
      </c>
      <c r="DV238" t="s">
        <v>907</v>
      </c>
      <c r="DW238" t="s">
        <v>907</v>
      </c>
      <c r="DX238" t="s">
        <v>907</v>
      </c>
      <c r="FQ238">
        <v>570408217</v>
      </c>
      <c r="FR238" t="s">
        <v>3227</v>
      </c>
      <c r="FS238" s="1">
        <v>45930.850185185183</v>
      </c>
      <c r="FV238" t="s">
        <v>134</v>
      </c>
      <c r="FW238" t="s">
        <v>135</v>
      </c>
      <c r="FX238" t="s">
        <v>136</v>
      </c>
      <c r="FZ238">
        <v>593</v>
      </c>
    </row>
    <row r="239" spans="1:182" hidden="1" x14ac:dyDescent="0.3">
      <c r="A239" s="1">
        <v>45926.477740219911</v>
      </c>
      <c r="B239" s="1">
        <v>45926.489521759257</v>
      </c>
      <c r="D239" t="s">
        <v>84</v>
      </c>
      <c r="E239" t="s">
        <v>3878</v>
      </c>
      <c r="F239" t="s">
        <v>2900</v>
      </c>
      <c r="G239" t="s">
        <v>176</v>
      </c>
      <c r="H239" t="s">
        <v>4122</v>
      </c>
      <c r="I239" t="s">
        <v>267</v>
      </c>
      <c r="J239" t="s">
        <v>2901</v>
      </c>
      <c r="K239" t="s">
        <v>90</v>
      </c>
      <c r="L239" t="s">
        <v>2902</v>
      </c>
      <c r="M239" t="s">
        <v>1731</v>
      </c>
      <c r="N239" t="s">
        <v>2903</v>
      </c>
      <c r="O239">
        <v>-15.2143853</v>
      </c>
      <c r="P239">
        <v>22.935037099999999</v>
      </c>
      <c r="Q239">
        <v>1009.1</v>
      </c>
      <c r="R239">
        <v>4.88</v>
      </c>
      <c r="S239" t="s">
        <v>84</v>
      </c>
      <c r="T239" t="s">
        <v>94</v>
      </c>
      <c r="U239">
        <v>10</v>
      </c>
      <c r="V239" t="s">
        <v>95</v>
      </c>
      <c r="W239" t="s">
        <v>907</v>
      </c>
      <c r="X239">
        <v>32</v>
      </c>
      <c r="Y239">
        <v>1</v>
      </c>
      <c r="Z239">
        <v>1</v>
      </c>
      <c r="AA239" t="s">
        <v>504</v>
      </c>
      <c r="AB239" t="s">
        <v>489</v>
      </c>
      <c r="AC239" t="s">
        <v>98</v>
      </c>
      <c r="AD239" t="s">
        <v>280</v>
      </c>
      <c r="AE239" t="s">
        <v>304</v>
      </c>
      <c r="AF239" t="s">
        <v>907</v>
      </c>
      <c r="AG239">
        <v>3000</v>
      </c>
      <c r="AH239" t="s">
        <v>3873</v>
      </c>
      <c r="AI239" t="s">
        <v>907</v>
      </c>
      <c r="AJ239" t="s">
        <v>907</v>
      </c>
      <c r="AK239" t="s">
        <v>102</v>
      </c>
      <c r="AL239" t="s">
        <v>907</v>
      </c>
      <c r="AM239" t="s">
        <v>4130</v>
      </c>
      <c r="AN239" t="s">
        <v>907</v>
      </c>
      <c r="AQ239" t="s">
        <v>466</v>
      </c>
      <c r="AR239" t="s">
        <v>95</v>
      </c>
      <c r="AS239">
        <v>0</v>
      </c>
      <c r="AT239">
        <v>0</v>
      </c>
      <c r="AU239">
        <v>0</v>
      </c>
      <c r="AV239">
        <v>0</v>
      </c>
      <c r="AW239">
        <v>0</v>
      </c>
      <c r="AX239">
        <v>0</v>
      </c>
      <c r="AY239">
        <v>0</v>
      </c>
      <c r="AZ239" t="s">
        <v>929</v>
      </c>
      <c r="BA239" t="s">
        <v>95</v>
      </c>
      <c r="BB239" t="s">
        <v>154</v>
      </c>
      <c r="BC239" t="s">
        <v>907</v>
      </c>
      <c r="BD239" t="s">
        <v>107</v>
      </c>
      <c r="BE239" t="s">
        <v>258</v>
      </c>
      <c r="BF239" t="s">
        <v>2904</v>
      </c>
      <c r="BG239" t="s">
        <v>235</v>
      </c>
      <c r="BH239">
        <v>70</v>
      </c>
      <c r="BL239">
        <v>47</v>
      </c>
      <c r="BN239">
        <v>2</v>
      </c>
      <c r="BP239">
        <v>0</v>
      </c>
      <c r="BR239">
        <v>0</v>
      </c>
      <c r="BT239">
        <v>9</v>
      </c>
      <c r="BV239">
        <v>0</v>
      </c>
      <c r="BX239">
        <v>12</v>
      </c>
      <c r="BY239" t="s">
        <v>189</v>
      </c>
      <c r="BZ239">
        <v>1</v>
      </c>
      <c r="CA239">
        <v>55</v>
      </c>
      <c r="CB239" t="s">
        <v>84</v>
      </c>
      <c r="CC239" t="s">
        <v>84</v>
      </c>
      <c r="CD239" t="s">
        <v>1167</v>
      </c>
      <c r="CE239" t="s">
        <v>4251</v>
      </c>
      <c r="CF239" t="s">
        <v>2905</v>
      </c>
      <c r="CG239" t="s">
        <v>907</v>
      </c>
      <c r="CH239">
        <v>9</v>
      </c>
      <c r="CI239" t="s">
        <v>84</v>
      </c>
      <c r="CJ239" t="s">
        <v>160</v>
      </c>
      <c r="CK239" t="s">
        <v>1005</v>
      </c>
      <c r="CL239" t="s">
        <v>879</v>
      </c>
      <c r="CM239" t="s">
        <v>193</v>
      </c>
      <c r="CN239" t="s">
        <v>3874</v>
      </c>
      <c r="CO239" t="s">
        <v>95</v>
      </c>
      <c r="CP239" t="s">
        <v>907</v>
      </c>
      <c r="CQ239" t="s">
        <v>116</v>
      </c>
      <c r="CR239" t="s">
        <v>95</v>
      </c>
      <c r="CS239" t="s">
        <v>907</v>
      </c>
      <c r="CT239" t="s">
        <v>907</v>
      </c>
      <c r="CU239" t="s">
        <v>907</v>
      </c>
      <c r="CV239" t="s">
        <v>812</v>
      </c>
      <c r="CW239" t="s">
        <v>4235</v>
      </c>
      <c r="CX239" t="s">
        <v>166</v>
      </c>
      <c r="CY239" t="s">
        <v>167</v>
      </c>
      <c r="CZ239" t="s">
        <v>2906</v>
      </c>
      <c r="DA239">
        <v>2</v>
      </c>
      <c r="DB239" s="10">
        <v>10000</v>
      </c>
      <c r="DC239" t="s">
        <v>169</v>
      </c>
      <c r="DD239" t="s">
        <v>907</v>
      </c>
      <c r="DE239">
        <v>4</v>
      </c>
      <c r="DF239">
        <v>25</v>
      </c>
      <c r="DG239" t="s">
        <v>95</v>
      </c>
      <c r="DH239" t="s">
        <v>95</v>
      </c>
      <c r="DI239" t="s">
        <v>907</v>
      </c>
      <c r="DJ239" t="s">
        <v>907</v>
      </c>
      <c r="DK239" t="s">
        <v>907</v>
      </c>
      <c r="DL239" t="s">
        <v>907</v>
      </c>
      <c r="DM239" t="s">
        <v>291</v>
      </c>
      <c r="DN239" t="s">
        <v>907</v>
      </c>
      <c r="DO239" t="s">
        <v>907</v>
      </c>
      <c r="DP239">
        <v>4</v>
      </c>
      <c r="DQ239" t="s">
        <v>441</v>
      </c>
      <c r="DR239" t="s">
        <v>907</v>
      </c>
      <c r="DS239" t="s">
        <v>2907</v>
      </c>
      <c r="DT239" t="s">
        <v>863</v>
      </c>
      <c r="DU239" t="s">
        <v>95</v>
      </c>
      <c r="DV239" t="s">
        <v>907</v>
      </c>
      <c r="DW239" t="s">
        <v>907</v>
      </c>
      <c r="DX239" t="s">
        <v>907</v>
      </c>
      <c r="FQ239">
        <v>567443331</v>
      </c>
      <c r="FR239" t="s">
        <v>2908</v>
      </c>
      <c r="FS239" s="1">
        <v>45926.568206018521</v>
      </c>
      <c r="FV239" t="s">
        <v>134</v>
      </c>
      <c r="FW239" t="s">
        <v>135</v>
      </c>
      <c r="FX239" t="s">
        <v>136</v>
      </c>
      <c r="FZ239">
        <v>415</v>
      </c>
    </row>
    <row r="240" spans="1:182" hidden="1" x14ac:dyDescent="0.3">
      <c r="A240" s="1">
        <v>45929.482569328713</v>
      </c>
      <c r="B240" s="1">
        <v>45930.283210416666</v>
      </c>
      <c r="D240" t="s">
        <v>84</v>
      </c>
      <c r="E240" t="s">
        <v>3876</v>
      </c>
      <c r="F240" t="s">
        <v>3254</v>
      </c>
      <c r="G240" t="s">
        <v>176</v>
      </c>
      <c r="H240" t="s">
        <v>4122</v>
      </c>
      <c r="I240" t="s">
        <v>3255</v>
      </c>
      <c r="J240" t="s">
        <v>3256</v>
      </c>
      <c r="K240" t="s">
        <v>90</v>
      </c>
      <c r="L240" t="s">
        <v>3248</v>
      </c>
      <c r="M240" t="s">
        <v>3242</v>
      </c>
      <c r="S240" t="s">
        <v>84</v>
      </c>
      <c r="T240" t="s">
        <v>94</v>
      </c>
      <c r="U240">
        <v>6</v>
      </c>
      <c r="V240" t="s">
        <v>95</v>
      </c>
      <c r="W240" t="s">
        <v>907</v>
      </c>
      <c r="X240">
        <v>6</v>
      </c>
      <c r="Y240">
        <v>3</v>
      </c>
      <c r="Z240">
        <v>2</v>
      </c>
      <c r="AA240" t="s">
        <v>504</v>
      </c>
      <c r="AB240" t="s">
        <v>351</v>
      </c>
      <c r="AC240" t="s">
        <v>98</v>
      </c>
      <c r="AD240" t="s">
        <v>252</v>
      </c>
      <c r="AE240" t="s">
        <v>101</v>
      </c>
      <c r="AF240" t="s">
        <v>907</v>
      </c>
      <c r="AG240">
        <v>2000</v>
      </c>
      <c r="AH240" t="s">
        <v>908</v>
      </c>
      <c r="AI240" t="s">
        <v>907</v>
      </c>
      <c r="AJ240" s="5">
        <v>5000</v>
      </c>
      <c r="AK240" t="s">
        <v>102</v>
      </c>
      <c r="AL240" t="s">
        <v>907</v>
      </c>
      <c r="AM240" t="s">
        <v>4130</v>
      </c>
      <c r="AN240" t="s">
        <v>907</v>
      </c>
      <c r="AQ240" t="s">
        <v>418</v>
      </c>
      <c r="AR240" t="s">
        <v>95</v>
      </c>
      <c r="AS240">
        <v>0</v>
      </c>
      <c r="AT240">
        <v>0</v>
      </c>
      <c r="AU240">
        <v>0</v>
      </c>
      <c r="AV240">
        <v>0</v>
      </c>
      <c r="AW240">
        <v>0</v>
      </c>
      <c r="AX240">
        <v>0</v>
      </c>
      <c r="AY240">
        <v>0</v>
      </c>
      <c r="AZ240" t="s">
        <v>1003</v>
      </c>
      <c r="BA240" t="s">
        <v>95</v>
      </c>
      <c r="BB240" t="s">
        <v>154</v>
      </c>
      <c r="BC240" t="s">
        <v>907</v>
      </c>
      <c r="BD240" t="s">
        <v>107</v>
      </c>
      <c r="BE240" t="s">
        <v>258</v>
      </c>
      <c r="BF240" t="s">
        <v>3233</v>
      </c>
      <c r="BG240" t="s">
        <v>156</v>
      </c>
      <c r="BH240">
        <v>33</v>
      </c>
      <c r="BL240">
        <v>9</v>
      </c>
      <c r="BN240">
        <v>5</v>
      </c>
      <c r="BP240">
        <v>3</v>
      </c>
      <c r="BR240">
        <v>3</v>
      </c>
      <c r="BT240">
        <v>4</v>
      </c>
      <c r="BV240">
        <v>3</v>
      </c>
      <c r="BX240">
        <v>6</v>
      </c>
      <c r="BY240" t="s">
        <v>189</v>
      </c>
      <c r="BZ240">
        <v>4</v>
      </c>
      <c r="CA240">
        <v>5</v>
      </c>
      <c r="CB240" t="s">
        <v>84</v>
      </c>
      <c r="CC240" t="s">
        <v>95</v>
      </c>
      <c r="CD240" t="s">
        <v>1066</v>
      </c>
      <c r="CE240" t="s">
        <v>4252</v>
      </c>
      <c r="CF240" t="s">
        <v>3257</v>
      </c>
      <c r="CG240" t="s">
        <v>907</v>
      </c>
      <c r="CH240">
        <v>9</v>
      </c>
      <c r="CI240" t="s">
        <v>84</v>
      </c>
      <c r="CJ240" t="s">
        <v>262</v>
      </c>
      <c r="CK240" t="s">
        <v>113</v>
      </c>
      <c r="CL240" t="s">
        <v>895</v>
      </c>
      <c r="CM240" t="s">
        <v>162</v>
      </c>
      <c r="CN240" t="s">
        <v>3903</v>
      </c>
      <c r="CO240" t="s">
        <v>95</v>
      </c>
      <c r="CP240" t="s">
        <v>907</v>
      </c>
      <c r="CQ240" t="s">
        <v>116</v>
      </c>
      <c r="CR240" t="s">
        <v>95</v>
      </c>
      <c r="CS240" t="s">
        <v>907</v>
      </c>
      <c r="CT240" t="s">
        <v>907</v>
      </c>
      <c r="CU240" t="s">
        <v>907</v>
      </c>
      <c r="CV240" t="s">
        <v>812</v>
      </c>
      <c r="CW240" t="s">
        <v>907</v>
      </c>
      <c r="CX240" t="s">
        <v>166</v>
      </c>
      <c r="CY240" t="s">
        <v>167</v>
      </c>
      <c r="CZ240" t="s">
        <v>440</v>
      </c>
      <c r="DA240">
        <v>1</v>
      </c>
      <c r="DB240" s="10">
        <v>3000</v>
      </c>
      <c r="DC240" t="s">
        <v>169</v>
      </c>
      <c r="DD240" t="s">
        <v>907</v>
      </c>
      <c r="DE240">
        <v>5</v>
      </c>
      <c r="DF240">
        <v>20</v>
      </c>
      <c r="DG240" t="s">
        <v>95</v>
      </c>
      <c r="DH240" t="s">
        <v>95</v>
      </c>
      <c r="DI240" t="s">
        <v>907</v>
      </c>
      <c r="DJ240" t="s">
        <v>907</v>
      </c>
      <c r="DK240" t="s">
        <v>907</v>
      </c>
      <c r="DL240" t="s">
        <v>907</v>
      </c>
      <c r="DM240" t="s">
        <v>291</v>
      </c>
      <c r="DN240" t="s">
        <v>907</v>
      </c>
      <c r="DO240" t="s">
        <v>907</v>
      </c>
      <c r="DP240">
        <v>1</v>
      </c>
      <c r="DQ240" t="s">
        <v>441</v>
      </c>
      <c r="DR240" t="s">
        <v>907</v>
      </c>
      <c r="DS240" t="s">
        <v>996</v>
      </c>
      <c r="DT240" t="s">
        <v>863</v>
      </c>
      <c r="DU240" t="s">
        <v>84</v>
      </c>
      <c r="DV240" t="s">
        <v>294</v>
      </c>
      <c r="DW240" t="s">
        <v>295</v>
      </c>
      <c r="DX240" t="s">
        <v>95</v>
      </c>
      <c r="FQ240">
        <v>569746363</v>
      </c>
      <c r="FR240" t="s">
        <v>3258</v>
      </c>
      <c r="FS240" s="1">
        <v>45930.200231481482</v>
      </c>
      <c r="FV240" t="s">
        <v>134</v>
      </c>
      <c r="FW240" t="s">
        <v>135</v>
      </c>
      <c r="FX240" t="s">
        <v>136</v>
      </c>
      <c r="FZ240">
        <v>524</v>
      </c>
    </row>
    <row r="241" spans="1:182" hidden="1" x14ac:dyDescent="0.3">
      <c r="A241" s="1">
        <v>45925.360695451389</v>
      </c>
      <c r="B241" s="1">
        <v>45925.376252685193</v>
      </c>
      <c r="D241" t="s">
        <v>84</v>
      </c>
      <c r="E241" t="s">
        <v>901</v>
      </c>
      <c r="F241" t="s">
        <v>1580</v>
      </c>
      <c r="G241" t="s">
        <v>176</v>
      </c>
      <c r="H241" t="s">
        <v>4122</v>
      </c>
      <c r="I241" t="s">
        <v>1581</v>
      </c>
      <c r="J241" t="s">
        <v>1582</v>
      </c>
      <c r="K241" t="s">
        <v>90</v>
      </c>
      <c r="L241" t="s">
        <v>3946</v>
      </c>
      <c r="M241" t="s">
        <v>349</v>
      </c>
      <c r="N241" t="s">
        <v>1583</v>
      </c>
      <c r="O241">
        <v>-15.3652684</v>
      </c>
      <c r="P241" t="s">
        <v>182</v>
      </c>
      <c r="Q241">
        <v>1015.10888671875</v>
      </c>
      <c r="R241">
        <v>4.8109999999999999</v>
      </c>
      <c r="S241" t="s">
        <v>84</v>
      </c>
      <c r="T241" t="s">
        <v>182</v>
      </c>
      <c r="U241">
        <v>10</v>
      </c>
      <c r="V241" t="s">
        <v>95</v>
      </c>
      <c r="W241" t="s">
        <v>907</v>
      </c>
      <c r="X241">
        <v>40</v>
      </c>
      <c r="Y241">
        <v>10</v>
      </c>
      <c r="Z241">
        <v>10</v>
      </c>
      <c r="AA241" t="s">
        <v>96</v>
      </c>
      <c r="AB241" t="s">
        <v>351</v>
      </c>
      <c r="AC241" t="s">
        <v>98</v>
      </c>
      <c r="AD241" t="s">
        <v>520</v>
      </c>
      <c r="AE241" t="s">
        <v>100</v>
      </c>
      <c r="AF241" t="s">
        <v>907</v>
      </c>
      <c r="AG241" s="3">
        <v>30000</v>
      </c>
      <c r="AH241" t="s">
        <v>147</v>
      </c>
      <c r="AI241" t="s">
        <v>907</v>
      </c>
      <c r="AJ241" s="5">
        <v>0</v>
      </c>
      <c r="AK241" t="s">
        <v>102</v>
      </c>
      <c r="AL241" t="s">
        <v>907</v>
      </c>
      <c r="AM241" t="s">
        <v>1584</v>
      </c>
      <c r="AN241" t="s">
        <v>907</v>
      </c>
      <c r="AO241" t="s">
        <v>1585</v>
      </c>
      <c r="AP241" t="s">
        <v>1586</v>
      </c>
      <c r="AQ241" t="s">
        <v>1587</v>
      </c>
      <c r="AR241" t="s">
        <v>95</v>
      </c>
      <c r="AS241">
        <v>30</v>
      </c>
      <c r="AT241">
        <v>0</v>
      </c>
      <c r="AU241">
        <v>0</v>
      </c>
      <c r="AV241">
        <v>30</v>
      </c>
      <c r="AW241">
        <v>32</v>
      </c>
      <c r="AX241">
        <v>0</v>
      </c>
      <c r="AY241">
        <v>0</v>
      </c>
      <c r="AZ241" t="s">
        <v>153</v>
      </c>
      <c r="BA241" t="s">
        <v>95</v>
      </c>
      <c r="BB241" t="s">
        <v>308</v>
      </c>
      <c r="BC241" t="s">
        <v>907</v>
      </c>
      <c r="BD241" t="s">
        <v>107</v>
      </c>
      <c r="BE241" t="s">
        <v>258</v>
      </c>
      <c r="BF241" t="s">
        <v>1588</v>
      </c>
      <c r="BG241" t="s">
        <v>156</v>
      </c>
      <c r="BH241">
        <v>28</v>
      </c>
      <c r="BL241">
        <v>12</v>
      </c>
      <c r="BN241">
        <v>0</v>
      </c>
      <c r="BP241">
        <v>2</v>
      </c>
      <c r="BR241">
        <v>2</v>
      </c>
      <c r="BT241">
        <v>6</v>
      </c>
      <c r="BV241">
        <v>4</v>
      </c>
      <c r="BX241">
        <v>2</v>
      </c>
      <c r="BY241" t="s">
        <v>110</v>
      </c>
      <c r="BZ241" t="s">
        <v>907</v>
      </c>
      <c r="CA241" t="s">
        <v>907</v>
      </c>
      <c r="CB241" t="s">
        <v>84</v>
      </c>
      <c r="CC241" t="s">
        <v>84</v>
      </c>
      <c r="CD241" t="s">
        <v>822</v>
      </c>
      <c r="CE241" t="s">
        <v>4251</v>
      </c>
      <c r="CF241" t="s">
        <v>1589</v>
      </c>
      <c r="CG241" t="s">
        <v>907</v>
      </c>
      <c r="CH241">
        <v>9</v>
      </c>
      <c r="CI241" t="s">
        <v>84</v>
      </c>
      <c r="CJ241" t="s">
        <v>586</v>
      </c>
      <c r="CK241" t="s">
        <v>289</v>
      </c>
      <c r="CL241" t="s">
        <v>1590</v>
      </c>
      <c r="CM241" t="s">
        <v>162</v>
      </c>
      <c r="CN241" t="s">
        <v>194</v>
      </c>
      <c r="CO241" t="s">
        <v>95</v>
      </c>
      <c r="CP241" t="s">
        <v>907</v>
      </c>
      <c r="CQ241" t="s">
        <v>116</v>
      </c>
      <c r="CR241" t="s">
        <v>84</v>
      </c>
      <c r="CS241" t="s">
        <v>117</v>
      </c>
      <c r="CT241" t="s">
        <v>163</v>
      </c>
      <c r="CU241" t="s">
        <v>3869</v>
      </c>
      <c r="CV241" t="s">
        <v>119</v>
      </c>
      <c r="CW241" t="s">
        <v>916</v>
      </c>
      <c r="CX241" t="s">
        <v>166</v>
      </c>
      <c r="CY241" t="s">
        <v>167</v>
      </c>
      <c r="CZ241" t="s">
        <v>1591</v>
      </c>
      <c r="DA241">
        <v>0</v>
      </c>
      <c r="DB241" s="10">
        <v>0</v>
      </c>
      <c r="DC241" t="s">
        <v>169</v>
      </c>
      <c r="DD241" t="s">
        <v>907</v>
      </c>
      <c r="DE241">
        <v>1</v>
      </c>
      <c r="DF241">
        <v>12</v>
      </c>
      <c r="DG241" t="s">
        <v>95</v>
      </c>
      <c r="DH241" t="s">
        <v>95</v>
      </c>
      <c r="DI241" t="s">
        <v>907</v>
      </c>
      <c r="DJ241" t="s">
        <v>907</v>
      </c>
      <c r="DK241" t="s">
        <v>907</v>
      </c>
      <c r="DL241" t="s">
        <v>907</v>
      </c>
      <c r="DM241" t="s">
        <v>291</v>
      </c>
      <c r="DN241" t="s">
        <v>907</v>
      </c>
      <c r="DO241" t="s">
        <v>907</v>
      </c>
      <c r="DP241">
        <v>5</v>
      </c>
      <c r="DQ241" t="s">
        <v>128</v>
      </c>
      <c r="DR241" t="s">
        <v>907</v>
      </c>
      <c r="DS241" t="s">
        <v>917</v>
      </c>
      <c r="DT241" t="s">
        <v>863</v>
      </c>
      <c r="DU241" t="s">
        <v>84</v>
      </c>
      <c r="DV241" t="s">
        <v>205</v>
      </c>
      <c r="DW241" t="s">
        <v>295</v>
      </c>
      <c r="DX241" t="s">
        <v>95</v>
      </c>
      <c r="FQ241">
        <v>566737590</v>
      </c>
      <c r="FR241" t="s">
        <v>1592</v>
      </c>
      <c r="FS241" s="1">
        <v>45925.624861111108</v>
      </c>
      <c r="FV241" t="s">
        <v>134</v>
      </c>
      <c r="FW241" t="s">
        <v>135</v>
      </c>
      <c r="FX241" t="s">
        <v>136</v>
      </c>
      <c r="FZ241">
        <v>255</v>
      </c>
    </row>
    <row r="242" spans="1:182" hidden="1" x14ac:dyDescent="0.3">
      <c r="A242" s="1">
        <v>45930.376934444437</v>
      </c>
      <c r="B242" s="1">
        <v>45930.410875185182</v>
      </c>
      <c r="D242" t="s">
        <v>84</v>
      </c>
      <c r="E242" t="s">
        <v>901</v>
      </c>
      <c r="F242" t="s">
        <v>3542</v>
      </c>
      <c r="G242" t="s">
        <v>87</v>
      </c>
      <c r="H242" t="s">
        <v>4122</v>
      </c>
      <c r="I242" t="s">
        <v>3543</v>
      </c>
      <c r="J242" t="s">
        <v>3544</v>
      </c>
      <c r="K242" t="s">
        <v>90</v>
      </c>
      <c r="L242" t="s">
        <v>3545</v>
      </c>
      <c r="M242" t="s">
        <v>3501</v>
      </c>
      <c r="N242" t="s">
        <v>3546</v>
      </c>
      <c r="O242">
        <v>-15.242373499999999</v>
      </c>
      <c r="P242">
        <v>22.8773749</v>
      </c>
      <c r="Q242">
        <v>1023.5302734375</v>
      </c>
      <c r="R242">
        <v>5.3440000000000003</v>
      </c>
      <c r="S242" t="s">
        <v>95</v>
      </c>
      <c r="T242" t="s">
        <v>907</v>
      </c>
      <c r="U242" t="s">
        <v>907</v>
      </c>
      <c r="V242" t="s">
        <v>95</v>
      </c>
      <c r="W242" t="s">
        <v>907</v>
      </c>
      <c r="X242">
        <v>22</v>
      </c>
      <c r="Y242">
        <v>14</v>
      </c>
      <c r="Z242">
        <v>4</v>
      </c>
      <c r="AA242" t="s">
        <v>279</v>
      </c>
      <c r="AB242" t="s">
        <v>351</v>
      </c>
      <c r="AC242" t="s">
        <v>98</v>
      </c>
      <c r="AD242" t="s">
        <v>252</v>
      </c>
      <c r="AE242" t="s">
        <v>101</v>
      </c>
      <c r="AF242" t="s">
        <v>907</v>
      </c>
      <c r="AG242">
        <v>3000</v>
      </c>
      <c r="AH242" t="s">
        <v>100</v>
      </c>
      <c r="AI242" t="s">
        <v>907</v>
      </c>
      <c r="AJ242" s="5">
        <v>3000</v>
      </c>
      <c r="AK242" t="s">
        <v>102</v>
      </c>
      <c r="AL242" t="s">
        <v>907</v>
      </c>
      <c r="AM242" t="s">
        <v>3547</v>
      </c>
      <c r="AN242" t="s">
        <v>907</v>
      </c>
      <c r="AO242" t="s">
        <v>1113</v>
      </c>
      <c r="AP242" t="s">
        <v>4132</v>
      </c>
      <c r="AQ242" t="s">
        <v>3548</v>
      </c>
      <c r="AR242" t="s">
        <v>95</v>
      </c>
      <c r="AS242">
        <v>0</v>
      </c>
      <c r="AT242">
        <v>0</v>
      </c>
      <c r="AU242">
        <v>0</v>
      </c>
      <c r="AV242">
        <v>0</v>
      </c>
      <c r="AW242">
        <v>0</v>
      </c>
      <c r="AX242">
        <v>0</v>
      </c>
      <c r="AY242">
        <v>0</v>
      </c>
      <c r="AZ242" t="s">
        <v>929</v>
      </c>
      <c r="BA242" t="s">
        <v>452</v>
      </c>
      <c r="BB242" t="s">
        <v>308</v>
      </c>
      <c r="BC242" t="s">
        <v>907</v>
      </c>
      <c r="BD242" t="s">
        <v>107</v>
      </c>
      <c r="BE242" t="s">
        <v>810</v>
      </c>
      <c r="BF242" t="s">
        <v>3549</v>
      </c>
      <c r="BG242" t="s">
        <v>109</v>
      </c>
      <c r="BH242">
        <v>83</v>
      </c>
      <c r="BL242">
        <v>30</v>
      </c>
      <c r="BN242">
        <v>3</v>
      </c>
      <c r="BP242">
        <v>9</v>
      </c>
      <c r="BR242">
        <v>8</v>
      </c>
      <c r="BT242">
        <v>4</v>
      </c>
      <c r="BV242">
        <v>6</v>
      </c>
      <c r="BX242">
        <v>23</v>
      </c>
      <c r="BY242" t="s">
        <v>110</v>
      </c>
      <c r="BZ242" t="s">
        <v>907</v>
      </c>
      <c r="CA242" t="s">
        <v>907</v>
      </c>
      <c r="CB242" t="s">
        <v>84</v>
      </c>
      <c r="CC242" t="s">
        <v>84</v>
      </c>
      <c r="CD242" t="s">
        <v>3550</v>
      </c>
      <c r="CE242" t="s">
        <v>4250</v>
      </c>
      <c r="CF242" t="s">
        <v>4100</v>
      </c>
      <c r="CG242" t="s">
        <v>3551</v>
      </c>
      <c r="CH242">
        <v>6</v>
      </c>
      <c r="CI242" t="s">
        <v>84</v>
      </c>
      <c r="CJ242" t="s">
        <v>405</v>
      </c>
      <c r="CK242" t="s">
        <v>289</v>
      </c>
      <c r="CL242" t="s">
        <v>3552</v>
      </c>
      <c r="CM242" t="s">
        <v>193</v>
      </c>
      <c r="CN242" t="s">
        <v>3903</v>
      </c>
      <c r="CO242" t="s">
        <v>95</v>
      </c>
      <c r="CP242" t="s">
        <v>907</v>
      </c>
      <c r="CQ242" t="s">
        <v>116</v>
      </c>
      <c r="CR242" t="s">
        <v>84</v>
      </c>
      <c r="CS242" t="s">
        <v>117</v>
      </c>
      <c r="CT242" t="s">
        <v>163</v>
      </c>
      <c r="CU242" t="s">
        <v>3869</v>
      </c>
      <c r="CV242" t="s">
        <v>119</v>
      </c>
      <c r="CW242" t="s">
        <v>715</v>
      </c>
      <c r="CX242" t="s">
        <v>119</v>
      </c>
      <c r="CY242" t="s">
        <v>121</v>
      </c>
      <c r="CZ242" t="s">
        <v>916</v>
      </c>
      <c r="DA242">
        <v>6</v>
      </c>
      <c r="DB242" s="10">
        <v>47000</v>
      </c>
      <c r="DC242" t="s">
        <v>169</v>
      </c>
      <c r="DD242" t="s">
        <v>907</v>
      </c>
      <c r="DE242" t="s">
        <v>907</v>
      </c>
      <c r="DF242">
        <v>23</v>
      </c>
      <c r="DG242" t="s">
        <v>95</v>
      </c>
      <c r="DH242" t="s">
        <v>95</v>
      </c>
      <c r="DI242" t="s">
        <v>907</v>
      </c>
      <c r="DJ242" t="s">
        <v>907</v>
      </c>
      <c r="DK242" t="s">
        <v>907</v>
      </c>
      <c r="DL242" t="s">
        <v>907</v>
      </c>
      <c r="DM242" t="s">
        <v>125</v>
      </c>
      <c r="DN242" t="s">
        <v>1378</v>
      </c>
      <c r="DO242" t="s">
        <v>3553</v>
      </c>
      <c r="DP242">
        <v>1</v>
      </c>
      <c r="DQ242" t="s">
        <v>441</v>
      </c>
      <c r="DR242" t="s">
        <v>907</v>
      </c>
      <c r="DS242" t="s">
        <v>3554</v>
      </c>
      <c r="DT242" t="s">
        <v>650</v>
      </c>
      <c r="DU242" t="s">
        <v>84</v>
      </c>
      <c r="DV242" t="s">
        <v>3555</v>
      </c>
      <c r="DW242" t="s">
        <v>3556</v>
      </c>
      <c r="DX242" t="s">
        <v>95</v>
      </c>
      <c r="FQ242">
        <v>569919365</v>
      </c>
      <c r="FR242" t="s">
        <v>3557</v>
      </c>
      <c r="FS242" s="1">
        <v>45930.397418981483</v>
      </c>
      <c r="FV242" t="s">
        <v>134</v>
      </c>
      <c r="FW242" t="s">
        <v>135</v>
      </c>
      <c r="FX242" t="s">
        <v>136</v>
      </c>
      <c r="FZ242">
        <v>558</v>
      </c>
    </row>
    <row r="243" spans="1:182" x14ac:dyDescent="0.3">
      <c r="A243" s="1">
        <v>45924.60120355324</v>
      </c>
      <c r="B243" s="1">
        <v>45924.610219872688</v>
      </c>
      <c r="D243" t="s">
        <v>84</v>
      </c>
      <c r="E243" t="s">
        <v>535</v>
      </c>
      <c r="F243" t="s">
        <v>3885</v>
      </c>
      <c r="G243" t="s">
        <v>176</v>
      </c>
      <c r="H243" t="s">
        <v>4122</v>
      </c>
      <c r="I243" t="s">
        <v>563</v>
      </c>
      <c r="J243" t="s">
        <v>564</v>
      </c>
      <c r="K243" t="s">
        <v>90</v>
      </c>
      <c r="L243" t="s">
        <v>539</v>
      </c>
      <c r="M243" t="s">
        <v>540</v>
      </c>
      <c r="N243" t="s">
        <v>565</v>
      </c>
      <c r="O243">
        <v>-15.3457262</v>
      </c>
      <c r="P243">
        <v>23.128883900000002</v>
      </c>
      <c r="Q243">
        <v>1028.833618164062</v>
      </c>
      <c r="R243">
        <v>4.835</v>
      </c>
      <c r="S243" t="s">
        <v>84</v>
      </c>
      <c r="T243" t="s">
        <v>182</v>
      </c>
      <c r="U243">
        <v>12</v>
      </c>
      <c r="V243" t="s">
        <v>95</v>
      </c>
      <c r="W243" t="s">
        <v>907</v>
      </c>
      <c r="X243">
        <v>15</v>
      </c>
      <c r="Y243">
        <v>30</v>
      </c>
      <c r="Z243">
        <v>2.5</v>
      </c>
      <c r="AA243" t="s">
        <v>96</v>
      </c>
      <c r="AB243" t="s">
        <v>97</v>
      </c>
      <c r="AC243" t="s">
        <v>98</v>
      </c>
      <c r="AD243" t="s">
        <v>99</v>
      </c>
      <c r="AE243" t="s">
        <v>100</v>
      </c>
      <c r="AF243" t="s">
        <v>907</v>
      </c>
      <c r="AG243">
        <v>0</v>
      </c>
      <c r="AH243" t="s">
        <v>100</v>
      </c>
      <c r="AI243" t="s">
        <v>907</v>
      </c>
      <c r="AJ243" s="5">
        <v>0</v>
      </c>
      <c r="AK243" t="s">
        <v>148</v>
      </c>
      <c r="AL243" t="s">
        <v>907</v>
      </c>
      <c r="AM243" t="s">
        <v>149</v>
      </c>
      <c r="AN243" t="s">
        <v>907</v>
      </c>
      <c r="AO243" t="s">
        <v>566</v>
      </c>
      <c r="AP243">
        <v>0</v>
      </c>
      <c r="AQ243" t="s">
        <v>149</v>
      </c>
      <c r="AR243" t="s">
        <v>95</v>
      </c>
      <c r="AS243">
        <v>0</v>
      </c>
      <c r="AT243">
        <v>15</v>
      </c>
      <c r="AU243">
        <v>0</v>
      </c>
      <c r="AV243">
        <v>0</v>
      </c>
      <c r="AW243">
        <v>0</v>
      </c>
      <c r="AX243">
        <v>0</v>
      </c>
      <c r="AY243">
        <v>0</v>
      </c>
      <c r="AZ243" t="s">
        <v>284</v>
      </c>
      <c r="BA243" t="s">
        <v>95</v>
      </c>
      <c r="BB243" t="s">
        <v>3866</v>
      </c>
      <c r="BC243" t="s">
        <v>907</v>
      </c>
      <c r="BD243" t="s">
        <v>107</v>
      </c>
      <c r="BE243" t="s">
        <v>108</v>
      </c>
      <c r="BF243" t="s">
        <v>544</v>
      </c>
      <c r="BG243" t="s">
        <v>235</v>
      </c>
      <c r="BH243">
        <v>33</v>
      </c>
      <c r="BY243" t="s">
        <v>110</v>
      </c>
      <c r="BZ243" t="s">
        <v>907</v>
      </c>
      <c r="CA243" t="s">
        <v>907</v>
      </c>
      <c r="CB243" t="s">
        <v>84</v>
      </c>
      <c r="CC243" t="s">
        <v>84</v>
      </c>
      <c r="CD243" t="s">
        <v>545</v>
      </c>
      <c r="CE243" t="s">
        <v>4250</v>
      </c>
      <c r="CF243" t="s">
        <v>567</v>
      </c>
      <c r="CG243" t="s">
        <v>907</v>
      </c>
      <c r="CH243">
        <v>1</v>
      </c>
      <c r="CI243" t="s">
        <v>95</v>
      </c>
      <c r="CJ243" t="s">
        <v>907</v>
      </c>
      <c r="CK243" t="s">
        <v>289</v>
      </c>
      <c r="CL243" t="s">
        <v>568</v>
      </c>
      <c r="CM243" t="s">
        <v>547</v>
      </c>
      <c r="CN243" t="s">
        <v>3886</v>
      </c>
      <c r="CO243" t="s">
        <v>95</v>
      </c>
      <c r="CP243" t="s">
        <v>907</v>
      </c>
      <c r="CQ243" t="s">
        <v>116</v>
      </c>
      <c r="CR243" t="s">
        <v>84</v>
      </c>
      <c r="CS243" t="s">
        <v>117</v>
      </c>
      <c r="CT243" t="s">
        <v>163</v>
      </c>
      <c r="CU243" t="s">
        <v>3869</v>
      </c>
      <c r="CV243" t="s">
        <v>119</v>
      </c>
      <c r="CW243" t="s">
        <v>569</v>
      </c>
      <c r="CX243" t="s">
        <v>119</v>
      </c>
      <c r="CY243" t="s">
        <v>549</v>
      </c>
      <c r="CZ243" t="s">
        <v>570</v>
      </c>
      <c r="DA243">
        <v>0</v>
      </c>
      <c r="DB243" s="10">
        <v>0</v>
      </c>
      <c r="DC243" t="s">
        <v>169</v>
      </c>
      <c r="DD243" t="s">
        <v>907</v>
      </c>
      <c r="DE243">
        <v>3</v>
      </c>
      <c r="DF243">
        <v>15</v>
      </c>
      <c r="DG243" t="s">
        <v>95</v>
      </c>
      <c r="DH243" t="s">
        <v>95</v>
      </c>
      <c r="DI243" t="s">
        <v>907</v>
      </c>
      <c r="DJ243" t="s">
        <v>907</v>
      </c>
      <c r="DK243" t="s">
        <v>907</v>
      </c>
      <c r="DL243" t="s">
        <v>907</v>
      </c>
      <c r="DM243" t="s">
        <v>125</v>
      </c>
      <c r="DN243" t="s">
        <v>170</v>
      </c>
      <c r="DO243" t="s">
        <v>324</v>
      </c>
      <c r="DP243">
        <v>7</v>
      </c>
      <c r="DQ243" t="s">
        <v>128</v>
      </c>
      <c r="DR243" t="s">
        <v>907</v>
      </c>
      <c r="DS243" t="s">
        <v>551</v>
      </c>
      <c r="DT243" t="s">
        <v>571</v>
      </c>
      <c r="DU243" t="s">
        <v>84</v>
      </c>
      <c r="DV243" t="s">
        <v>225</v>
      </c>
      <c r="DW243" t="s">
        <v>533</v>
      </c>
      <c r="DX243" t="s">
        <v>95</v>
      </c>
      <c r="FQ243">
        <v>565908865</v>
      </c>
      <c r="FR243" t="s">
        <v>572</v>
      </c>
      <c r="FS243" s="1">
        <v>45924.64472222222</v>
      </c>
      <c r="FV243" t="s">
        <v>134</v>
      </c>
      <c r="FW243" t="s">
        <v>135</v>
      </c>
      <c r="FX243" t="s">
        <v>136</v>
      </c>
      <c r="FZ243">
        <v>148</v>
      </c>
    </row>
    <row r="244" spans="1:182" hidden="1" x14ac:dyDescent="0.3">
      <c r="A244" s="1">
        <v>45925.492901886573</v>
      </c>
      <c r="B244" s="1">
        <v>45925.516227928238</v>
      </c>
      <c r="D244" t="s">
        <v>84</v>
      </c>
      <c r="E244" t="s">
        <v>1878</v>
      </c>
      <c r="F244" t="s">
        <v>1892</v>
      </c>
      <c r="G244" t="s">
        <v>176</v>
      </c>
      <c r="H244" t="s">
        <v>4122</v>
      </c>
      <c r="I244" t="s">
        <v>1893</v>
      </c>
      <c r="J244" t="s">
        <v>1894</v>
      </c>
      <c r="K244" t="s">
        <v>90</v>
      </c>
      <c r="L244" t="s">
        <v>1895</v>
      </c>
      <c r="M244" t="s">
        <v>1896</v>
      </c>
      <c r="N244" t="s">
        <v>1897</v>
      </c>
      <c r="O244">
        <v>-15.1646512</v>
      </c>
      <c r="P244">
        <v>22.9976904</v>
      </c>
      <c r="Q244">
        <v>1020.6</v>
      </c>
      <c r="R244">
        <v>4.8659999999999997</v>
      </c>
      <c r="S244" t="s">
        <v>84</v>
      </c>
      <c r="T244" t="s">
        <v>182</v>
      </c>
      <c r="U244">
        <v>6</v>
      </c>
      <c r="V244" t="s">
        <v>95</v>
      </c>
      <c r="W244" t="s">
        <v>907</v>
      </c>
      <c r="X244">
        <v>40</v>
      </c>
      <c r="Y244">
        <v>2.5</v>
      </c>
      <c r="Z244">
        <v>2.5</v>
      </c>
      <c r="AA244" t="s">
        <v>96</v>
      </c>
      <c r="AB244" t="s">
        <v>351</v>
      </c>
      <c r="AC244" t="s">
        <v>98</v>
      </c>
      <c r="AD244" t="s">
        <v>280</v>
      </c>
      <c r="AE244" t="s">
        <v>100</v>
      </c>
      <c r="AF244" t="s">
        <v>907</v>
      </c>
      <c r="AG244">
        <v>500</v>
      </c>
      <c r="AH244" t="s">
        <v>521</v>
      </c>
      <c r="AI244" t="s">
        <v>907</v>
      </c>
      <c r="AJ244" s="5">
        <v>1250</v>
      </c>
      <c r="AK244" t="s">
        <v>102</v>
      </c>
      <c r="AL244" t="s">
        <v>907</v>
      </c>
      <c r="AM244" t="s">
        <v>1154</v>
      </c>
      <c r="AN244" t="s">
        <v>907</v>
      </c>
      <c r="AO244" t="s">
        <v>1898</v>
      </c>
      <c r="AP244" t="s">
        <v>1899</v>
      </c>
      <c r="AQ244" t="s">
        <v>466</v>
      </c>
      <c r="AR244" t="s">
        <v>95</v>
      </c>
      <c r="AS244">
        <v>80</v>
      </c>
      <c r="AT244">
        <v>0</v>
      </c>
      <c r="AU244">
        <v>0</v>
      </c>
      <c r="AV244">
        <v>40</v>
      </c>
      <c r="AW244">
        <v>0</v>
      </c>
      <c r="AX244">
        <v>0</v>
      </c>
      <c r="AY244">
        <v>0</v>
      </c>
      <c r="AZ244" t="s">
        <v>929</v>
      </c>
      <c r="BA244" t="s">
        <v>95</v>
      </c>
      <c r="BB244" t="s">
        <v>154</v>
      </c>
      <c r="BC244" t="s">
        <v>907</v>
      </c>
      <c r="BD244" t="s">
        <v>257</v>
      </c>
      <c r="BE244" t="s">
        <v>363</v>
      </c>
      <c r="BF244" t="s">
        <v>1900</v>
      </c>
      <c r="BG244" t="s">
        <v>156</v>
      </c>
      <c r="BH244">
        <v>160</v>
      </c>
      <c r="BL244">
        <v>58</v>
      </c>
      <c r="BN244">
        <v>4</v>
      </c>
      <c r="BP244">
        <v>38</v>
      </c>
      <c r="BR244">
        <v>17</v>
      </c>
      <c r="BT244">
        <v>4</v>
      </c>
      <c r="BV244">
        <v>13</v>
      </c>
      <c r="BX244">
        <v>30</v>
      </c>
      <c r="BY244" t="s">
        <v>189</v>
      </c>
      <c r="BZ244">
        <v>2</v>
      </c>
      <c r="CA244">
        <v>15</v>
      </c>
      <c r="CB244" t="s">
        <v>84</v>
      </c>
      <c r="CC244" t="s">
        <v>84</v>
      </c>
      <c r="CD244" t="s">
        <v>1901</v>
      </c>
      <c r="CE244" t="s">
        <v>4249</v>
      </c>
      <c r="CF244" t="s">
        <v>1902</v>
      </c>
      <c r="CG244" t="s">
        <v>907</v>
      </c>
      <c r="CH244">
        <v>10</v>
      </c>
      <c r="CI244" t="s">
        <v>84</v>
      </c>
      <c r="CJ244" t="s">
        <v>405</v>
      </c>
      <c r="CK244" t="s">
        <v>289</v>
      </c>
      <c r="CL244" t="s">
        <v>263</v>
      </c>
      <c r="CM244" t="s">
        <v>193</v>
      </c>
      <c r="CN244" t="s">
        <v>3874</v>
      </c>
      <c r="CO244" t="s">
        <v>95</v>
      </c>
      <c r="CP244" t="s">
        <v>907</v>
      </c>
      <c r="CQ244" t="s">
        <v>116</v>
      </c>
      <c r="CR244" t="s">
        <v>84</v>
      </c>
      <c r="CS244" t="s">
        <v>117</v>
      </c>
      <c r="CT244" t="s">
        <v>907</v>
      </c>
      <c r="CU244" t="s">
        <v>793</v>
      </c>
      <c r="CV244" t="s">
        <v>812</v>
      </c>
      <c r="CW244" t="s">
        <v>715</v>
      </c>
      <c r="CX244" t="s">
        <v>166</v>
      </c>
      <c r="CY244" t="s">
        <v>167</v>
      </c>
      <c r="CZ244" t="s">
        <v>495</v>
      </c>
      <c r="DA244">
        <v>0</v>
      </c>
      <c r="DB244" s="10">
        <v>0</v>
      </c>
      <c r="DC244" t="s">
        <v>169</v>
      </c>
      <c r="DD244" t="s">
        <v>907</v>
      </c>
      <c r="DE244">
        <v>1</v>
      </c>
      <c r="DF244">
        <v>21</v>
      </c>
      <c r="DG244" t="s">
        <v>95</v>
      </c>
      <c r="DH244" t="s">
        <v>95</v>
      </c>
      <c r="DI244" t="s">
        <v>907</v>
      </c>
      <c r="DJ244" t="s">
        <v>907</v>
      </c>
      <c r="DK244" t="s">
        <v>907</v>
      </c>
      <c r="DL244" t="s">
        <v>907</v>
      </c>
      <c r="DM244" t="s">
        <v>291</v>
      </c>
      <c r="DN244" t="s">
        <v>907</v>
      </c>
      <c r="DO244" t="s">
        <v>907</v>
      </c>
      <c r="DP244">
        <v>2</v>
      </c>
      <c r="DQ244" t="s">
        <v>128</v>
      </c>
      <c r="DR244" t="s">
        <v>907</v>
      </c>
      <c r="DS244" t="s">
        <v>172</v>
      </c>
      <c r="DT244" t="s">
        <v>224</v>
      </c>
      <c r="DU244" t="s">
        <v>95</v>
      </c>
      <c r="DV244" t="s">
        <v>907</v>
      </c>
      <c r="DW244" t="s">
        <v>907</v>
      </c>
      <c r="DX244" t="s">
        <v>907</v>
      </c>
      <c r="FQ244">
        <v>566859530</v>
      </c>
      <c r="FR244" t="s">
        <v>1903</v>
      </c>
      <c r="FS244" s="1">
        <v>45925.726886574077</v>
      </c>
      <c r="FV244" t="s">
        <v>134</v>
      </c>
      <c r="FW244" t="s">
        <v>135</v>
      </c>
      <c r="FX244" t="s">
        <v>136</v>
      </c>
      <c r="FZ244">
        <v>287</v>
      </c>
    </row>
    <row r="245" spans="1:182" hidden="1" x14ac:dyDescent="0.3">
      <c r="A245" s="1">
        <v>45923.553332650466</v>
      </c>
      <c r="B245" s="1">
        <v>45923.571439178239</v>
      </c>
      <c r="D245" t="s">
        <v>84</v>
      </c>
      <c r="E245" t="s">
        <v>886</v>
      </c>
      <c r="F245" t="s">
        <v>1009</v>
      </c>
      <c r="G245" t="s">
        <v>176</v>
      </c>
      <c r="H245" t="s">
        <v>4121</v>
      </c>
      <c r="I245" t="s">
        <v>1010</v>
      </c>
      <c r="J245" t="s">
        <v>1011</v>
      </c>
      <c r="K245" t="s">
        <v>90</v>
      </c>
      <c r="L245" t="s">
        <v>3910</v>
      </c>
      <c r="M245" t="s">
        <v>1012</v>
      </c>
      <c r="N245" t="s">
        <v>1013</v>
      </c>
      <c r="O245">
        <v>-15.4710967</v>
      </c>
      <c r="P245">
        <v>23.167331699999998</v>
      </c>
      <c r="Q245">
        <v>1012.6</v>
      </c>
      <c r="R245">
        <v>4.32</v>
      </c>
      <c r="S245" t="s">
        <v>84</v>
      </c>
      <c r="T245" t="s">
        <v>182</v>
      </c>
      <c r="U245">
        <v>6</v>
      </c>
      <c r="V245" t="s">
        <v>95</v>
      </c>
      <c r="W245" t="s">
        <v>907</v>
      </c>
      <c r="X245">
        <v>3</v>
      </c>
      <c r="Y245">
        <v>6</v>
      </c>
      <c r="Z245">
        <v>3</v>
      </c>
      <c r="AA245" t="s">
        <v>504</v>
      </c>
      <c r="AB245" t="s">
        <v>351</v>
      </c>
      <c r="AC245" t="s">
        <v>98</v>
      </c>
      <c r="AD245" t="s">
        <v>145</v>
      </c>
      <c r="AE245" t="s">
        <v>100</v>
      </c>
      <c r="AF245" t="s">
        <v>907</v>
      </c>
      <c r="AG245">
        <v>10000</v>
      </c>
      <c r="AH245" t="s">
        <v>147</v>
      </c>
      <c r="AI245" t="s">
        <v>907</v>
      </c>
      <c r="AJ245" s="5">
        <v>400</v>
      </c>
      <c r="AK245" t="s">
        <v>102</v>
      </c>
      <c r="AL245" t="s">
        <v>907</v>
      </c>
      <c r="AM245" t="s">
        <v>253</v>
      </c>
      <c r="AN245" t="s">
        <v>907</v>
      </c>
      <c r="AO245" t="s">
        <v>267</v>
      </c>
      <c r="AP245" t="s">
        <v>1014</v>
      </c>
      <c r="AQ245" t="s">
        <v>149</v>
      </c>
      <c r="AR245" t="s">
        <v>95</v>
      </c>
      <c r="AS245">
        <v>0</v>
      </c>
      <c r="AT245">
        <v>0</v>
      </c>
      <c r="AU245">
        <v>0</v>
      </c>
      <c r="AV245">
        <v>0</v>
      </c>
      <c r="AW245">
        <v>12</v>
      </c>
      <c r="AX245">
        <v>0</v>
      </c>
      <c r="AY245">
        <v>0</v>
      </c>
      <c r="AZ245" t="s">
        <v>106</v>
      </c>
      <c r="BA245" t="s">
        <v>95</v>
      </c>
      <c r="BB245" t="s">
        <v>308</v>
      </c>
      <c r="BC245" t="s">
        <v>907</v>
      </c>
      <c r="BD245" t="s">
        <v>107</v>
      </c>
      <c r="BE245" t="s">
        <v>363</v>
      </c>
      <c r="BF245" t="s">
        <v>968</v>
      </c>
      <c r="BG245" t="s">
        <v>156</v>
      </c>
      <c r="BH245">
        <v>31</v>
      </c>
      <c r="BL245">
        <v>14</v>
      </c>
      <c r="BN245">
        <v>1</v>
      </c>
      <c r="BP245">
        <v>5</v>
      </c>
      <c r="BR245">
        <v>0</v>
      </c>
      <c r="BT245">
        <v>3</v>
      </c>
      <c r="BV245">
        <v>3</v>
      </c>
      <c r="BX245">
        <v>5</v>
      </c>
      <c r="BY245" t="s">
        <v>110</v>
      </c>
      <c r="BZ245" t="s">
        <v>907</v>
      </c>
      <c r="CA245" t="s">
        <v>907</v>
      </c>
      <c r="CB245" t="s">
        <v>84</v>
      </c>
      <c r="CC245" t="s">
        <v>84</v>
      </c>
      <c r="CD245" t="s">
        <v>1015</v>
      </c>
      <c r="CE245" t="s">
        <v>4250</v>
      </c>
      <c r="CF245" t="s">
        <v>3911</v>
      </c>
      <c r="CG245" t="s">
        <v>907</v>
      </c>
      <c r="CH245">
        <v>10</v>
      </c>
      <c r="CI245" t="s">
        <v>95</v>
      </c>
      <c r="CJ245" t="s">
        <v>907</v>
      </c>
      <c r="CK245" t="s">
        <v>289</v>
      </c>
      <c r="CL245" t="s">
        <v>879</v>
      </c>
      <c r="CM245" t="s">
        <v>193</v>
      </c>
      <c r="CN245" t="s">
        <v>421</v>
      </c>
      <c r="CO245" t="s">
        <v>95</v>
      </c>
      <c r="CP245" t="s">
        <v>907</v>
      </c>
      <c r="CQ245" t="s">
        <v>116</v>
      </c>
      <c r="CR245" t="s">
        <v>84</v>
      </c>
      <c r="CS245" t="s">
        <v>117</v>
      </c>
      <c r="CT245" t="s">
        <v>163</v>
      </c>
      <c r="CU245" t="s">
        <v>3869</v>
      </c>
      <c r="CV245" t="s">
        <v>119</v>
      </c>
      <c r="CW245" t="s">
        <v>696</v>
      </c>
      <c r="CX245" t="s">
        <v>166</v>
      </c>
      <c r="CY245" t="s">
        <v>167</v>
      </c>
      <c r="CZ245" t="s">
        <v>1016</v>
      </c>
      <c r="DA245">
        <v>0</v>
      </c>
      <c r="DB245" s="10">
        <v>0</v>
      </c>
      <c r="DC245" t="s">
        <v>169</v>
      </c>
      <c r="DD245" t="s">
        <v>907</v>
      </c>
      <c r="DE245">
        <v>2</v>
      </c>
      <c r="DF245">
        <v>21</v>
      </c>
      <c r="DG245" t="s">
        <v>95</v>
      </c>
      <c r="DH245" t="s">
        <v>95</v>
      </c>
      <c r="DI245" t="s">
        <v>907</v>
      </c>
      <c r="DJ245" t="s">
        <v>907</v>
      </c>
      <c r="DK245" t="s">
        <v>907</v>
      </c>
      <c r="DL245" t="s">
        <v>907</v>
      </c>
      <c r="DM245" t="s">
        <v>291</v>
      </c>
      <c r="DN245" t="s">
        <v>907</v>
      </c>
      <c r="DO245" t="s">
        <v>907</v>
      </c>
      <c r="DP245">
        <v>4</v>
      </c>
      <c r="DQ245" t="s">
        <v>441</v>
      </c>
      <c r="DR245" t="s">
        <v>907</v>
      </c>
      <c r="DS245" t="s">
        <v>882</v>
      </c>
      <c r="DT245" t="s">
        <v>1017</v>
      </c>
      <c r="DU245" t="s">
        <v>84</v>
      </c>
      <c r="DV245" t="s">
        <v>532</v>
      </c>
      <c r="DW245" t="s">
        <v>533</v>
      </c>
      <c r="DX245" t="s">
        <v>95</v>
      </c>
      <c r="FQ245">
        <v>565935483</v>
      </c>
      <c r="FR245" t="s">
        <v>1018</v>
      </c>
      <c r="FS245" s="1">
        <v>45924.666365740741</v>
      </c>
      <c r="FV245" t="s">
        <v>134</v>
      </c>
      <c r="FW245" t="s">
        <v>135</v>
      </c>
      <c r="FX245" t="s">
        <v>136</v>
      </c>
      <c r="FZ245">
        <v>187</v>
      </c>
    </row>
    <row r="246" spans="1:182" hidden="1" x14ac:dyDescent="0.3">
      <c r="A246" s="1">
        <v>45923.361985358802</v>
      </c>
      <c r="B246" s="1">
        <v>45923.398428541666</v>
      </c>
      <c r="D246" t="s">
        <v>84</v>
      </c>
      <c r="E246" t="s">
        <v>3876</v>
      </c>
      <c r="F246" t="s">
        <v>411</v>
      </c>
      <c r="G246" t="s">
        <v>176</v>
      </c>
      <c r="H246" t="s">
        <v>4122</v>
      </c>
      <c r="I246" t="s">
        <v>412</v>
      </c>
      <c r="J246" t="s">
        <v>413</v>
      </c>
      <c r="K246" t="s">
        <v>90</v>
      </c>
      <c r="L246" t="s">
        <v>3877</v>
      </c>
      <c r="M246" t="s">
        <v>414</v>
      </c>
      <c r="N246" t="s">
        <v>415</v>
      </c>
      <c r="O246">
        <v>-15.4403706</v>
      </c>
      <c r="P246">
        <v>23.216891499999999</v>
      </c>
      <c r="Q246">
        <v>1020.717529296875</v>
      </c>
      <c r="R246">
        <v>4.8540000000000001</v>
      </c>
      <c r="S246" t="s">
        <v>84</v>
      </c>
      <c r="T246" t="s">
        <v>182</v>
      </c>
      <c r="U246">
        <v>6</v>
      </c>
      <c r="V246" t="s">
        <v>95</v>
      </c>
      <c r="W246" t="s">
        <v>907</v>
      </c>
      <c r="X246">
        <v>20</v>
      </c>
      <c r="Y246">
        <v>4</v>
      </c>
      <c r="Z246">
        <v>3</v>
      </c>
      <c r="AA246" t="s">
        <v>251</v>
      </c>
      <c r="AB246" t="s">
        <v>351</v>
      </c>
      <c r="AC246" t="s">
        <v>98</v>
      </c>
      <c r="AD246" t="s">
        <v>252</v>
      </c>
      <c r="AE246" t="s">
        <v>100</v>
      </c>
      <c r="AF246" t="s">
        <v>907</v>
      </c>
      <c r="AG246">
        <v>100000</v>
      </c>
      <c r="AH246" t="s">
        <v>3873</v>
      </c>
      <c r="AI246" t="s">
        <v>907</v>
      </c>
      <c r="AJ246" t="s">
        <v>907</v>
      </c>
      <c r="AK246" t="s">
        <v>102</v>
      </c>
      <c r="AL246" t="s">
        <v>907</v>
      </c>
      <c r="AM246" t="s">
        <v>253</v>
      </c>
      <c r="AN246" t="s">
        <v>907</v>
      </c>
      <c r="AO246" t="s">
        <v>416</v>
      </c>
      <c r="AP246" t="s">
        <v>417</v>
      </c>
      <c r="AQ246" t="s">
        <v>418</v>
      </c>
      <c r="AR246" t="s">
        <v>95</v>
      </c>
      <c r="AS246">
        <v>0</v>
      </c>
      <c r="AT246">
        <v>30</v>
      </c>
      <c r="AU246">
        <v>0</v>
      </c>
      <c r="AV246">
        <v>0</v>
      </c>
      <c r="AW246">
        <v>60</v>
      </c>
      <c r="AX246">
        <v>0</v>
      </c>
      <c r="AY246">
        <v>0</v>
      </c>
      <c r="AZ246" t="s">
        <v>256</v>
      </c>
      <c r="BA246" t="s">
        <v>95</v>
      </c>
      <c r="BB246" t="s">
        <v>154</v>
      </c>
      <c r="BC246" t="s">
        <v>907</v>
      </c>
      <c r="BD246" t="s">
        <v>257</v>
      </c>
      <c r="BE246" t="s">
        <v>258</v>
      </c>
      <c r="BF246" t="s">
        <v>419</v>
      </c>
      <c r="BG246" t="s">
        <v>235</v>
      </c>
      <c r="BH246">
        <v>6</v>
      </c>
      <c r="BL246">
        <v>1</v>
      </c>
      <c r="BN246">
        <v>1</v>
      </c>
      <c r="BP246">
        <v>3</v>
      </c>
      <c r="BR246">
        <v>0</v>
      </c>
      <c r="BT246">
        <v>0</v>
      </c>
      <c r="BV246">
        <v>0</v>
      </c>
      <c r="BX246">
        <v>1</v>
      </c>
      <c r="BY246" t="s">
        <v>110</v>
      </c>
      <c r="BZ246" t="s">
        <v>907</v>
      </c>
      <c r="CA246" t="s">
        <v>907</v>
      </c>
      <c r="CB246" t="s">
        <v>84</v>
      </c>
      <c r="CC246" t="s">
        <v>84</v>
      </c>
      <c r="CD246" t="s">
        <v>420</v>
      </c>
      <c r="CE246" t="s">
        <v>4251</v>
      </c>
      <c r="CF246" t="s">
        <v>261</v>
      </c>
      <c r="CG246" t="s">
        <v>907</v>
      </c>
      <c r="CH246">
        <v>10</v>
      </c>
      <c r="CI246" t="s">
        <v>84</v>
      </c>
      <c r="CJ246" t="s">
        <v>262</v>
      </c>
      <c r="CK246" t="s">
        <v>113</v>
      </c>
      <c r="CL246" t="s">
        <v>263</v>
      </c>
      <c r="CM246" t="s">
        <v>193</v>
      </c>
      <c r="CN246" t="s">
        <v>421</v>
      </c>
      <c r="CO246" t="s">
        <v>95</v>
      </c>
      <c r="CP246" t="s">
        <v>907</v>
      </c>
      <c r="CQ246" t="s">
        <v>116</v>
      </c>
      <c r="CR246" t="s">
        <v>84</v>
      </c>
      <c r="CS246" t="s">
        <v>117</v>
      </c>
      <c r="CT246" t="s">
        <v>264</v>
      </c>
      <c r="CU246" t="s">
        <v>3869</v>
      </c>
      <c r="CV246" t="s">
        <v>812</v>
      </c>
      <c r="CW246" t="s">
        <v>907</v>
      </c>
      <c r="CX246" t="s">
        <v>166</v>
      </c>
      <c r="CY246" t="s">
        <v>167</v>
      </c>
      <c r="CZ246" t="s">
        <v>266</v>
      </c>
      <c r="DA246">
        <v>0</v>
      </c>
      <c r="DB246" s="10">
        <v>0</v>
      </c>
      <c r="DC246" t="s">
        <v>123</v>
      </c>
      <c r="DD246" t="s">
        <v>422</v>
      </c>
      <c r="DE246">
        <v>1</v>
      </c>
      <c r="DF246">
        <v>50</v>
      </c>
      <c r="DG246" t="s">
        <v>95</v>
      </c>
      <c r="DH246" t="s">
        <v>95</v>
      </c>
      <c r="DI246" t="s">
        <v>907</v>
      </c>
      <c r="DJ246" t="s">
        <v>907</v>
      </c>
      <c r="DK246" t="s">
        <v>907</v>
      </c>
      <c r="DL246" t="s">
        <v>907</v>
      </c>
      <c r="DM246" t="s">
        <v>125</v>
      </c>
      <c r="DN246" t="s">
        <v>268</v>
      </c>
      <c r="DO246" t="s">
        <v>423</v>
      </c>
      <c r="DP246">
        <v>6</v>
      </c>
      <c r="DQ246" t="s">
        <v>343</v>
      </c>
      <c r="DR246" t="s">
        <v>907</v>
      </c>
      <c r="DS246" t="s">
        <v>270</v>
      </c>
      <c r="DT246" t="s">
        <v>424</v>
      </c>
      <c r="DU246" t="s">
        <v>95</v>
      </c>
      <c r="DV246" t="s">
        <v>907</v>
      </c>
      <c r="DW246" t="s">
        <v>907</v>
      </c>
      <c r="DX246" t="s">
        <v>907</v>
      </c>
      <c r="FQ246">
        <v>565242492</v>
      </c>
      <c r="FR246" t="s">
        <v>425</v>
      </c>
      <c r="FS246" s="1">
        <v>45923.830787037034</v>
      </c>
      <c r="FV246" t="s">
        <v>134</v>
      </c>
      <c r="FW246" t="s">
        <v>135</v>
      </c>
      <c r="FX246" t="s">
        <v>136</v>
      </c>
      <c r="FZ246">
        <v>125</v>
      </c>
    </row>
    <row r="247" spans="1:182" x14ac:dyDescent="0.3">
      <c r="A247" s="1">
        <v>45930.360362476851</v>
      </c>
      <c r="B247" s="1">
        <v>45930.385788240739</v>
      </c>
      <c r="D247" t="s">
        <v>84</v>
      </c>
      <c r="E247" t="s">
        <v>1397</v>
      </c>
      <c r="F247" t="s">
        <v>3734</v>
      </c>
      <c r="G247" t="s">
        <v>176</v>
      </c>
      <c r="H247" t="s">
        <v>4122</v>
      </c>
      <c r="I247" t="s">
        <v>3735</v>
      </c>
      <c r="J247" t="s">
        <v>3736</v>
      </c>
      <c r="K247" t="s">
        <v>90</v>
      </c>
      <c r="L247" t="s">
        <v>3737</v>
      </c>
      <c r="M247" t="s">
        <v>3738</v>
      </c>
      <c r="N247" t="s">
        <v>3739</v>
      </c>
      <c r="O247">
        <v>-15.194108099999999</v>
      </c>
      <c r="P247">
        <v>22.914143500000002</v>
      </c>
      <c r="Q247">
        <v>1032.77880859375</v>
      </c>
      <c r="R247">
        <v>3.79</v>
      </c>
      <c r="S247" t="s">
        <v>84</v>
      </c>
      <c r="T247" t="s">
        <v>94</v>
      </c>
      <c r="U247">
        <v>11</v>
      </c>
      <c r="V247" t="s">
        <v>95</v>
      </c>
      <c r="W247" t="s">
        <v>907</v>
      </c>
      <c r="X247">
        <v>46</v>
      </c>
      <c r="Y247">
        <v>80</v>
      </c>
      <c r="Z247">
        <v>1</v>
      </c>
      <c r="AA247" t="s">
        <v>251</v>
      </c>
      <c r="AB247" t="s">
        <v>351</v>
      </c>
      <c r="AC247" t="s">
        <v>98</v>
      </c>
      <c r="AD247" t="s">
        <v>252</v>
      </c>
      <c r="AE247" t="s">
        <v>304</v>
      </c>
      <c r="AF247" t="s">
        <v>907</v>
      </c>
      <c r="AG247">
        <v>2000</v>
      </c>
      <c r="AH247" t="s">
        <v>1047</v>
      </c>
      <c r="AI247" t="s">
        <v>907</v>
      </c>
      <c r="AJ247" s="5">
        <v>5000</v>
      </c>
      <c r="AK247" t="s">
        <v>102</v>
      </c>
      <c r="AL247" t="s">
        <v>907</v>
      </c>
      <c r="AM247" t="s">
        <v>4130</v>
      </c>
      <c r="AN247" t="s">
        <v>907</v>
      </c>
      <c r="AQ247" t="s">
        <v>2913</v>
      </c>
      <c r="AR247" t="s">
        <v>95</v>
      </c>
      <c r="AS247">
        <v>0</v>
      </c>
      <c r="AT247">
        <v>0</v>
      </c>
      <c r="AU247">
        <v>0</v>
      </c>
      <c r="AV247">
        <v>0</v>
      </c>
      <c r="AW247">
        <v>0</v>
      </c>
      <c r="AX247">
        <v>0</v>
      </c>
      <c r="AY247">
        <v>0</v>
      </c>
      <c r="AZ247" t="s">
        <v>284</v>
      </c>
      <c r="BA247" t="s">
        <v>452</v>
      </c>
      <c r="BB247" t="s">
        <v>154</v>
      </c>
      <c r="BC247" t="s">
        <v>907</v>
      </c>
      <c r="BD247" t="s">
        <v>107</v>
      </c>
      <c r="BE247" t="s">
        <v>258</v>
      </c>
      <c r="BF247" t="s">
        <v>3980</v>
      </c>
      <c r="BG247" t="s">
        <v>156</v>
      </c>
      <c r="BH247">
        <v>97</v>
      </c>
      <c r="BL247">
        <v>36</v>
      </c>
      <c r="BN247">
        <v>4</v>
      </c>
      <c r="BP247">
        <v>11</v>
      </c>
      <c r="BR247">
        <v>4</v>
      </c>
      <c r="BT247">
        <v>5</v>
      </c>
      <c r="BV247">
        <v>12</v>
      </c>
      <c r="BX247">
        <v>25</v>
      </c>
      <c r="BY247" t="s">
        <v>189</v>
      </c>
      <c r="BZ247">
        <v>3</v>
      </c>
      <c r="CA247">
        <v>5</v>
      </c>
      <c r="CB247" t="s">
        <v>84</v>
      </c>
      <c r="CC247" t="s">
        <v>84</v>
      </c>
      <c r="CD247" t="s">
        <v>334</v>
      </c>
      <c r="CE247" t="s">
        <v>4251</v>
      </c>
      <c r="CF247" t="s">
        <v>4113</v>
      </c>
      <c r="CG247" t="s">
        <v>907</v>
      </c>
      <c r="CH247">
        <v>10</v>
      </c>
      <c r="CI247" t="s">
        <v>95</v>
      </c>
      <c r="CJ247" t="s">
        <v>907</v>
      </c>
      <c r="CK247" t="s">
        <v>289</v>
      </c>
      <c r="CL247" t="s">
        <v>367</v>
      </c>
      <c r="CM247" t="s">
        <v>193</v>
      </c>
      <c r="CN247" t="s">
        <v>3903</v>
      </c>
      <c r="CO247" t="s">
        <v>95</v>
      </c>
      <c r="CP247" t="s">
        <v>907</v>
      </c>
      <c r="CQ247" t="s">
        <v>116</v>
      </c>
      <c r="CR247" t="s">
        <v>84</v>
      </c>
      <c r="CS247" t="s">
        <v>117</v>
      </c>
      <c r="CT247" t="s">
        <v>118</v>
      </c>
      <c r="CU247" t="s">
        <v>3869</v>
      </c>
      <c r="CV247" t="s">
        <v>812</v>
      </c>
      <c r="CW247" t="s">
        <v>907</v>
      </c>
      <c r="CX247" t="s">
        <v>166</v>
      </c>
      <c r="CY247" t="s">
        <v>167</v>
      </c>
      <c r="CZ247" t="s">
        <v>2300</v>
      </c>
      <c r="DA247">
        <v>1</v>
      </c>
      <c r="DB247" s="10">
        <v>3000</v>
      </c>
      <c r="DC247" t="s">
        <v>169</v>
      </c>
      <c r="DD247" t="s">
        <v>907</v>
      </c>
      <c r="DE247">
        <v>2</v>
      </c>
      <c r="DF247">
        <v>25</v>
      </c>
      <c r="DG247" t="s">
        <v>95</v>
      </c>
      <c r="DH247" t="s">
        <v>95</v>
      </c>
      <c r="DI247" t="s">
        <v>907</v>
      </c>
      <c r="DJ247" t="s">
        <v>907</v>
      </c>
      <c r="DK247" t="s">
        <v>907</v>
      </c>
      <c r="DL247" t="s">
        <v>907</v>
      </c>
      <c r="DM247" t="s">
        <v>291</v>
      </c>
      <c r="DN247" t="s">
        <v>907</v>
      </c>
      <c r="DO247" t="s">
        <v>907</v>
      </c>
      <c r="DP247">
        <v>3</v>
      </c>
      <c r="DQ247" t="s">
        <v>441</v>
      </c>
      <c r="DR247" t="s">
        <v>907</v>
      </c>
      <c r="DS247" t="s">
        <v>898</v>
      </c>
      <c r="DT247" t="s">
        <v>1408</v>
      </c>
      <c r="DU247" t="s">
        <v>84</v>
      </c>
      <c r="DV247" t="s">
        <v>3740</v>
      </c>
      <c r="DW247" t="s">
        <v>2686</v>
      </c>
      <c r="DX247" t="s">
        <v>95</v>
      </c>
      <c r="FQ247">
        <v>570586221</v>
      </c>
      <c r="FR247" t="s">
        <v>3741</v>
      </c>
      <c r="FS247" s="1">
        <v>45931.27685185185</v>
      </c>
      <c r="FV247" t="s">
        <v>134</v>
      </c>
      <c r="FW247" t="s">
        <v>135</v>
      </c>
      <c r="FX247" t="s">
        <v>136</v>
      </c>
      <c r="FZ247">
        <v>637</v>
      </c>
    </row>
    <row r="248" spans="1:182" hidden="1" x14ac:dyDescent="0.3">
      <c r="A248" s="1">
        <v>45923.507333518523</v>
      </c>
      <c r="B248" s="1">
        <v>45923.529775196759</v>
      </c>
      <c r="D248" t="s">
        <v>84</v>
      </c>
      <c r="E248" t="s">
        <v>901</v>
      </c>
      <c r="F248" t="s">
        <v>3907</v>
      </c>
      <c r="G248" t="s">
        <v>176</v>
      </c>
      <c r="H248" t="s">
        <v>4122</v>
      </c>
      <c r="I248" t="s">
        <v>998</v>
      </c>
      <c r="J248" t="s">
        <v>999</v>
      </c>
      <c r="K248" t="s">
        <v>90</v>
      </c>
      <c r="L248" t="s">
        <v>3908</v>
      </c>
      <c r="M248" t="s">
        <v>277</v>
      </c>
      <c r="N248" t="s">
        <v>1000</v>
      </c>
      <c r="O248">
        <v>-15.4768767</v>
      </c>
      <c r="P248">
        <v>23.153051699999999</v>
      </c>
      <c r="Q248">
        <v>1032</v>
      </c>
      <c r="R248">
        <v>4.7</v>
      </c>
      <c r="S248" t="s">
        <v>84</v>
      </c>
      <c r="T248" t="s">
        <v>182</v>
      </c>
      <c r="U248">
        <v>12</v>
      </c>
      <c r="V248" t="s">
        <v>95</v>
      </c>
      <c r="W248" t="s">
        <v>907</v>
      </c>
      <c r="X248">
        <v>5</v>
      </c>
      <c r="Y248">
        <v>4</v>
      </c>
      <c r="Z248">
        <v>4</v>
      </c>
      <c r="AA248" t="s">
        <v>465</v>
      </c>
      <c r="AB248" t="s">
        <v>351</v>
      </c>
      <c r="AC248" t="s">
        <v>98</v>
      </c>
      <c r="AD248" t="s">
        <v>145</v>
      </c>
      <c r="AE248" t="s">
        <v>304</v>
      </c>
      <c r="AF248" t="s">
        <v>907</v>
      </c>
      <c r="AG248">
        <v>10000</v>
      </c>
      <c r="AH248" t="s">
        <v>214</v>
      </c>
      <c r="AI248" t="s">
        <v>907</v>
      </c>
      <c r="AJ248" s="5">
        <v>2000</v>
      </c>
      <c r="AK248" t="s">
        <v>102</v>
      </c>
      <c r="AL248" t="s">
        <v>907</v>
      </c>
      <c r="AM248" t="s">
        <v>149</v>
      </c>
      <c r="AN248" t="s">
        <v>907</v>
      </c>
      <c r="AO248" t="s">
        <v>1001</v>
      </c>
      <c r="AP248" t="s">
        <v>1002</v>
      </c>
      <c r="AQ248" t="s">
        <v>909</v>
      </c>
      <c r="AR248" t="s">
        <v>95</v>
      </c>
      <c r="AS248">
        <v>40</v>
      </c>
      <c r="AT248">
        <v>0</v>
      </c>
      <c r="AU248">
        <v>0</v>
      </c>
      <c r="AV248">
        <v>60</v>
      </c>
      <c r="AW248">
        <v>0</v>
      </c>
      <c r="AX248">
        <v>0</v>
      </c>
      <c r="AY248">
        <v>0</v>
      </c>
      <c r="AZ248" t="s">
        <v>1003</v>
      </c>
      <c r="BA248" t="s">
        <v>95</v>
      </c>
      <c r="BB248" t="s">
        <v>308</v>
      </c>
      <c r="BC248" t="s">
        <v>907</v>
      </c>
      <c r="BD248" t="s">
        <v>107</v>
      </c>
      <c r="BE248" t="s">
        <v>363</v>
      </c>
      <c r="BF248" t="s">
        <v>155</v>
      </c>
      <c r="BG248" t="s">
        <v>790</v>
      </c>
      <c r="BH248">
        <v>95</v>
      </c>
      <c r="BL248">
        <v>45</v>
      </c>
      <c r="BN248">
        <v>2</v>
      </c>
      <c r="BP248">
        <v>10</v>
      </c>
      <c r="BR248">
        <v>3</v>
      </c>
      <c r="BT248">
        <v>5</v>
      </c>
      <c r="BV248">
        <v>7</v>
      </c>
      <c r="BX248">
        <v>23</v>
      </c>
      <c r="BY248" t="s">
        <v>110</v>
      </c>
      <c r="BZ248" t="s">
        <v>907</v>
      </c>
      <c r="CA248" t="s">
        <v>907</v>
      </c>
      <c r="CB248" t="s">
        <v>84</v>
      </c>
      <c r="CC248" t="s">
        <v>84</v>
      </c>
      <c r="CD248" t="s">
        <v>1004</v>
      </c>
      <c r="CE248" t="s">
        <v>4250</v>
      </c>
      <c r="CF248" t="s">
        <v>3909</v>
      </c>
      <c r="CG248" t="s">
        <v>907</v>
      </c>
      <c r="CH248">
        <v>10</v>
      </c>
      <c r="CI248" t="s">
        <v>84</v>
      </c>
      <c r="CJ248" t="s">
        <v>586</v>
      </c>
      <c r="CK248" t="s">
        <v>1005</v>
      </c>
      <c r="CL248" t="s">
        <v>1006</v>
      </c>
      <c r="CM248" t="s">
        <v>193</v>
      </c>
      <c r="CN248" t="s">
        <v>421</v>
      </c>
      <c r="CO248" t="s">
        <v>95</v>
      </c>
      <c r="CP248" t="s">
        <v>907</v>
      </c>
      <c r="CQ248" t="s">
        <v>116</v>
      </c>
      <c r="CR248" t="s">
        <v>84</v>
      </c>
      <c r="CS248" t="s">
        <v>117</v>
      </c>
      <c r="CT248" t="s">
        <v>163</v>
      </c>
      <c r="CU248" t="s">
        <v>3869</v>
      </c>
      <c r="CV248" t="s">
        <v>812</v>
      </c>
      <c r="CW248" t="s">
        <v>696</v>
      </c>
      <c r="CX248" t="s">
        <v>166</v>
      </c>
      <c r="CY248" t="s">
        <v>167</v>
      </c>
      <c r="CZ248" t="s">
        <v>696</v>
      </c>
      <c r="DA248">
        <v>2</v>
      </c>
      <c r="DB248" s="10">
        <v>13500</v>
      </c>
      <c r="DC248" t="s">
        <v>169</v>
      </c>
      <c r="DD248" t="s">
        <v>907</v>
      </c>
      <c r="DE248">
        <v>2</v>
      </c>
      <c r="DF248">
        <v>21</v>
      </c>
      <c r="DG248" t="s">
        <v>95</v>
      </c>
      <c r="DH248" t="s">
        <v>95</v>
      </c>
      <c r="DI248" t="s">
        <v>907</v>
      </c>
      <c r="DJ248" t="s">
        <v>907</v>
      </c>
      <c r="DK248" t="s">
        <v>907</v>
      </c>
      <c r="DL248" t="s">
        <v>907</v>
      </c>
      <c r="DM248" t="s">
        <v>291</v>
      </c>
      <c r="DN248" t="s">
        <v>907</v>
      </c>
      <c r="DO248" t="s">
        <v>907</v>
      </c>
      <c r="DP248">
        <v>3</v>
      </c>
      <c r="DQ248" t="s">
        <v>441</v>
      </c>
      <c r="DR248" t="s">
        <v>907</v>
      </c>
      <c r="DS248" t="s">
        <v>442</v>
      </c>
      <c r="DT248" t="s">
        <v>932</v>
      </c>
      <c r="DU248" t="s">
        <v>84</v>
      </c>
      <c r="DV248" t="s">
        <v>884</v>
      </c>
      <c r="DW248" t="s">
        <v>1007</v>
      </c>
      <c r="DX248" t="s">
        <v>95</v>
      </c>
      <c r="FQ248">
        <v>565935475</v>
      </c>
      <c r="FR248" t="s">
        <v>1008</v>
      </c>
      <c r="FS248" s="1">
        <v>45924.666354166657</v>
      </c>
      <c r="FV248" t="s">
        <v>134</v>
      </c>
      <c r="FW248" t="s">
        <v>135</v>
      </c>
      <c r="FX248" t="s">
        <v>136</v>
      </c>
      <c r="FZ248">
        <v>186</v>
      </c>
    </row>
    <row r="249" spans="1:182" hidden="1" x14ac:dyDescent="0.3">
      <c r="A249" s="1">
        <v>45924.531257222217</v>
      </c>
      <c r="B249" s="1">
        <v>45924.550344618059</v>
      </c>
      <c r="D249" t="s">
        <v>84</v>
      </c>
      <c r="E249" t="s">
        <v>798</v>
      </c>
      <c r="F249" t="s">
        <v>825</v>
      </c>
      <c r="G249" t="s">
        <v>176</v>
      </c>
      <c r="H249" t="s">
        <v>4122</v>
      </c>
      <c r="I249" t="s">
        <v>826</v>
      </c>
      <c r="J249" t="s">
        <v>827</v>
      </c>
      <c r="K249" t="s">
        <v>90</v>
      </c>
      <c r="L249" t="s">
        <v>828</v>
      </c>
      <c r="M249" t="s">
        <v>829</v>
      </c>
      <c r="N249" t="s">
        <v>830</v>
      </c>
      <c r="O249">
        <v>-15.296964900000001</v>
      </c>
      <c r="P249">
        <v>23.032033500000001</v>
      </c>
      <c r="Q249">
        <v>1029.416137695312</v>
      </c>
      <c r="R249">
        <v>4.5140000000000002</v>
      </c>
      <c r="S249" t="s">
        <v>84</v>
      </c>
      <c r="T249" t="s">
        <v>182</v>
      </c>
      <c r="U249">
        <v>6</v>
      </c>
      <c r="V249" t="s">
        <v>95</v>
      </c>
      <c r="W249" t="s">
        <v>907</v>
      </c>
      <c r="X249">
        <v>25</v>
      </c>
      <c r="Y249">
        <v>1</v>
      </c>
      <c r="Z249">
        <v>0.5</v>
      </c>
      <c r="AA249" t="s">
        <v>504</v>
      </c>
      <c r="AB249" t="s">
        <v>489</v>
      </c>
      <c r="AC249" t="s">
        <v>98</v>
      </c>
      <c r="AD249" t="s">
        <v>280</v>
      </c>
      <c r="AE249" t="s">
        <v>304</v>
      </c>
      <c r="AF249" t="s">
        <v>907</v>
      </c>
      <c r="AG249">
        <v>1000</v>
      </c>
      <c r="AH249" t="s">
        <v>101</v>
      </c>
      <c r="AI249" t="s">
        <v>907</v>
      </c>
      <c r="AJ249" s="5">
        <v>833</v>
      </c>
      <c r="AK249" t="s">
        <v>183</v>
      </c>
      <c r="AL249" t="s">
        <v>907</v>
      </c>
      <c r="AM249" t="s">
        <v>466</v>
      </c>
      <c r="AN249" t="s">
        <v>907</v>
      </c>
      <c r="AQ249" t="s">
        <v>907</v>
      </c>
      <c r="AR249" t="s">
        <v>907</v>
      </c>
      <c r="AS249">
        <v>0</v>
      </c>
      <c r="AT249">
        <v>0</v>
      </c>
      <c r="AU249">
        <v>0</v>
      </c>
      <c r="AV249">
        <v>0</v>
      </c>
      <c r="AW249">
        <v>0</v>
      </c>
      <c r="AX249">
        <v>0</v>
      </c>
      <c r="AY249">
        <v>0</v>
      </c>
      <c r="AZ249" t="s">
        <v>106</v>
      </c>
      <c r="BA249" t="s">
        <v>907</v>
      </c>
      <c r="BB249" t="s">
        <v>3866</v>
      </c>
      <c r="BC249" t="s">
        <v>907</v>
      </c>
      <c r="BD249" t="s">
        <v>107</v>
      </c>
      <c r="BE249" t="s">
        <v>907</v>
      </c>
      <c r="BF249" t="s">
        <v>907</v>
      </c>
      <c r="BG249" t="s">
        <v>156</v>
      </c>
      <c r="BH249">
        <v>33</v>
      </c>
      <c r="BL249">
        <v>10</v>
      </c>
      <c r="BN249">
        <v>1</v>
      </c>
      <c r="BP249">
        <v>3</v>
      </c>
      <c r="BR249">
        <v>3</v>
      </c>
      <c r="BT249">
        <v>2</v>
      </c>
      <c r="BV249">
        <v>0</v>
      </c>
      <c r="BX249">
        <v>7</v>
      </c>
      <c r="BY249" t="s">
        <v>189</v>
      </c>
      <c r="BZ249">
        <v>4</v>
      </c>
      <c r="CA249">
        <v>6</v>
      </c>
      <c r="CB249" t="s">
        <v>84</v>
      </c>
      <c r="CC249" t="s">
        <v>84</v>
      </c>
      <c r="CD249" t="s">
        <v>831</v>
      </c>
      <c r="CE249" t="s">
        <v>4252</v>
      </c>
      <c r="CF249" t="s">
        <v>832</v>
      </c>
      <c r="CG249" t="s">
        <v>907</v>
      </c>
      <c r="CH249">
        <v>10</v>
      </c>
      <c r="CI249" t="s">
        <v>84</v>
      </c>
      <c r="CJ249" t="s">
        <v>586</v>
      </c>
      <c r="CK249" t="s">
        <v>289</v>
      </c>
      <c r="CL249" t="s">
        <v>456</v>
      </c>
      <c r="CM249" t="s">
        <v>115</v>
      </c>
      <c r="CN249" t="s">
        <v>3874</v>
      </c>
      <c r="CO249" t="s">
        <v>95</v>
      </c>
      <c r="CP249" t="s">
        <v>907</v>
      </c>
      <c r="CQ249" t="s">
        <v>116</v>
      </c>
      <c r="CR249" t="s">
        <v>84</v>
      </c>
      <c r="CS249" t="s">
        <v>117</v>
      </c>
      <c r="CT249" t="s">
        <v>163</v>
      </c>
      <c r="CU249" t="s">
        <v>3869</v>
      </c>
      <c r="CV249" t="s">
        <v>907</v>
      </c>
      <c r="CW249" t="s">
        <v>907</v>
      </c>
      <c r="CX249" t="s">
        <v>119</v>
      </c>
      <c r="CY249" t="s">
        <v>121</v>
      </c>
      <c r="CZ249" t="s">
        <v>512</v>
      </c>
      <c r="DA249">
        <v>3</v>
      </c>
      <c r="DB249" s="10">
        <v>12000</v>
      </c>
      <c r="DC249" t="s">
        <v>169</v>
      </c>
      <c r="DD249" t="s">
        <v>907</v>
      </c>
      <c r="DE249">
        <v>10</v>
      </c>
      <c r="DF249">
        <v>10</v>
      </c>
      <c r="DG249" t="s">
        <v>95</v>
      </c>
      <c r="DH249" t="s">
        <v>95</v>
      </c>
      <c r="DI249" t="s">
        <v>907</v>
      </c>
      <c r="DJ249" t="s">
        <v>907</v>
      </c>
      <c r="DK249" t="s">
        <v>907</v>
      </c>
      <c r="DL249" t="s">
        <v>907</v>
      </c>
      <c r="DM249" t="s">
        <v>291</v>
      </c>
      <c r="DN249" t="s">
        <v>907</v>
      </c>
      <c r="DO249" t="s">
        <v>907</v>
      </c>
      <c r="DP249">
        <v>2</v>
      </c>
      <c r="DQ249" t="s">
        <v>128</v>
      </c>
      <c r="DR249" t="s">
        <v>907</v>
      </c>
      <c r="DS249" t="s">
        <v>172</v>
      </c>
      <c r="DT249" t="s">
        <v>833</v>
      </c>
      <c r="DU249" t="s">
        <v>95</v>
      </c>
      <c r="DV249" t="s">
        <v>907</v>
      </c>
      <c r="DW249" t="s">
        <v>907</v>
      </c>
      <c r="DX249" t="s">
        <v>907</v>
      </c>
      <c r="FQ249">
        <v>565915892</v>
      </c>
      <c r="FR249" t="s">
        <v>834</v>
      </c>
      <c r="FS249" s="1">
        <v>45924.650324074071</v>
      </c>
      <c r="FV249" t="s">
        <v>134</v>
      </c>
      <c r="FW249" t="s">
        <v>135</v>
      </c>
      <c r="FX249" t="s">
        <v>136</v>
      </c>
      <c r="FZ249">
        <v>172</v>
      </c>
    </row>
    <row r="250" spans="1:182" hidden="1" x14ac:dyDescent="0.3">
      <c r="A250" s="1">
        <v>45924.458935925933</v>
      </c>
      <c r="B250" s="1">
        <v>45924.503802118059</v>
      </c>
      <c r="D250" t="s">
        <v>84</v>
      </c>
      <c r="E250" t="s">
        <v>798</v>
      </c>
      <c r="F250" t="s">
        <v>799</v>
      </c>
      <c r="G250" t="s">
        <v>176</v>
      </c>
      <c r="H250" t="s">
        <v>4122</v>
      </c>
      <c r="I250" t="s">
        <v>800</v>
      </c>
      <c r="J250" t="s">
        <v>801</v>
      </c>
      <c r="K250" t="s">
        <v>90</v>
      </c>
      <c r="L250" t="s">
        <v>802</v>
      </c>
      <c r="M250" t="s">
        <v>803</v>
      </c>
      <c r="N250" t="s">
        <v>804</v>
      </c>
      <c r="O250">
        <v>-15.2940022</v>
      </c>
      <c r="P250">
        <v>23.029693900000002</v>
      </c>
      <c r="Q250">
        <v>1024.373779296875</v>
      </c>
      <c r="R250">
        <v>4.7779999999999996</v>
      </c>
      <c r="S250" t="s">
        <v>84</v>
      </c>
      <c r="T250" t="s">
        <v>182</v>
      </c>
      <c r="U250">
        <v>5</v>
      </c>
      <c r="V250" t="s">
        <v>95</v>
      </c>
      <c r="W250" t="s">
        <v>907</v>
      </c>
      <c r="X250">
        <v>40</v>
      </c>
      <c r="Y250">
        <v>2</v>
      </c>
      <c r="Z250">
        <v>1.8</v>
      </c>
      <c r="AA250" t="s">
        <v>504</v>
      </c>
      <c r="AB250" t="s">
        <v>351</v>
      </c>
      <c r="AC250" t="s">
        <v>98</v>
      </c>
      <c r="AD250" t="s">
        <v>280</v>
      </c>
      <c r="AE250" t="s">
        <v>304</v>
      </c>
      <c r="AF250" t="s">
        <v>907</v>
      </c>
      <c r="AG250">
        <v>1100</v>
      </c>
      <c r="AH250" t="s">
        <v>805</v>
      </c>
      <c r="AI250" t="s">
        <v>907</v>
      </c>
      <c r="AJ250" s="5">
        <v>200</v>
      </c>
      <c r="AK250" t="s">
        <v>505</v>
      </c>
      <c r="AL250" t="s">
        <v>907</v>
      </c>
      <c r="AM250" t="s">
        <v>806</v>
      </c>
      <c r="AN250" t="s">
        <v>907</v>
      </c>
      <c r="AO250" t="s">
        <v>807</v>
      </c>
      <c r="AP250" t="s">
        <v>808</v>
      </c>
      <c r="AQ250" t="s">
        <v>809</v>
      </c>
      <c r="AR250" t="s">
        <v>84</v>
      </c>
      <c r="AS250">
        <v>10</v>
      </c>
      <c r="AT250">
        <v>0</v>
      </c>
      <c r="AU250">
        <v>0</v>
      </c>
      <c r="AV250">
        <v>8</v>
      </c>
      <c r="AW250">
        <v>0</v>
      </c>
      <c r="AX250">
        <v>0</v>
      </c>
      <c r="AY250">
        <v>0</v>
      </c>
      <c r="AZ250" t="s">
        <v>153</v>
      </c>
      <c r="BA250" t="s">
        <v>452</v>
      </c>
      <c r="BB250" t="s">
        <v>154</v>
      </c>
      <c r="BC250" t="s">
        <v>907</v>
      </c>
      <c r="BD250" t="s">
        <v>257</v>
      </c>
      <c r="BE250" t="s">
        <v>810</v>
      </c>
      <c r="BF250" t="s">
        <v>3896</v>
      </c>
      <c r="BG250" t="s">
        <v>156</v>
      </c>
      <c r="BH250">
        <v>89</v>
      </c>
      <c r="BL250">
        <v>28</v>
      </c>
      <c r="BN250">
        <v>2</v>
      </c>
      <c r="BP250">
        <v>18</v>
      </c>
      <c r="BR250">
        <v>14</v>
      </c>
      <c r="BT250">
        <v>8</v>
      </c>
      <c r="BV250">
        <v>17</v>
      </c>
      <c r="BX250">
        <v>16</v>
      </c>
      <c r="BY250" t="s">
        <v>189</v>
      </c>
      <c r="BZ250">
        <v>3</v>
      </c>
      <c r="CA250">
        <v>23</v>
      </c>
      <c r="CB250" t="s">
        <v>84</v>
      </c>
      <c r="CC250" t="s">
        <v>84</v>
      </c>
      <c r="CD250" t="s">
        <v>811</v>
      </c>
      <c r="CE250" t="s">
        <v>4252</v>
      </c>
      <c r="CF250" t="s">
        <v>3897</v>
      </c>
      <c r="CG250" t="s">
        <v>907</v>
      </c>
      <c r="CH250">
        <v>10</v>
      </c>
      <c r="CI250" t="s">
        <v>84</v>
      </c>
      <c r="CJ250" t="s">
        <v>586</v>
      </c>
      <c r="CK250" t="s">
        <v>289</v>
      </c>
      <c r="CL250" t="s">
        <v>456</v>
      </c>
      <c r="CM250" t="s">
        <v>193</v>
      </c>
      <c r="CN250" t="s">
        <v>3874</v>
      </c>
      <c r="CO250" t="s">
        <v>95</v>
      </c>
      <c r="CP250" t="s">
        <v>907</v>
      </c>
      <c r="CQ250" t="s">
        <v>116</v>
      </c>
      <c r="CR250" t="s">
        <v>84</v>
      </c>
      <c r="CS250" t="s">
        <v>117</v>
      </c>
      <c r="CT250" t="s">
        <v>163</v>
      </c>
      <c r="CU250" t="s">
        <v>3869</v>
      </c>
      <c r="CV250" t="s">
        <v>812</v>
      </c>
      <c r="CW250" t="s">
        <v>530</v>
      </c>
      <c r="CX250" t="s">
        <v>166</v>
      </c>
      <c r="CY250" t="s">
        <v>167</v>
      </c>
      <c r="CZ250" t="s">
        <v>780</v>
      </c>
      <c r="DA250">
        <v>2</v>
      </c>
      <c r="DB250" s="10">
        <v>14000</v>
      </c>
      <c r="DC250" t="s">
        <v>169</v>
      </c>
      <c r="DD250" t="s">
        <v>907</v>
      </c>
      <c r="DE250">
        <v>1</v>
      </c>
      <c r="DF250">
        <v>15</v>
      </c>
      <c r="DG250" t="s">
        <v>95</v>
      </c>
      <c r="DH250" t="s">
        <v>95</v>
      </c>
      <c r="DI250" t="s">
        <v>907</v>
      </c>
      <c r="DJ250" t="s">
        <v>907</v>
      </c>
      <c r="DK250" t="s">
        <v>907</v>
      </c>
      <c r="DL250" t="s">
        <v>907</v>
      </c>
      <c r="DM250" t="s">
        <v>291</v>
      </c>
      <c r="DN250" t="s">
        <v>907</v>
      </c>
      <c r="DO250" t="s">
        <v>907</v>
      </c>
      <c r="DP250">
        <v>2</v>
      </c>
      <c r="DQ250" t="s">
        <v>128</v>
      </c>
      <c r="DR250" t="s">
        <v>907</v>
      </c>
      <c r="DS250" t="s">
        <v>813</v>
      </c>
      <c r="DT250" t="s">
        <v>814</v>
      </c>
      <c r="DU250" t="s">
        <v>95</v>
      </c>
      <c r="DV250" t="s">
        <v>907</v>
      </c>
      <c r="DW250" t="s">
        <v>907</v>
      </c>
      <c r="DX250" t="s">
        <v>907</v>
      </c>
      <c r="FQ250">
        <v>565915872</v>
      </c>
      <c r="FR250" t="s">
        <v>815</v>
      </c>
      <c r="FS250" s="1">
        <v>45924.650312500002</v>
      </c>
      <c r="FV250" t="s">
        <v>134</v>
      </c>
      <c r="FW250" t="s">
        <v>135</v>
      </c>
      <c r="FX250" t="s">
        <v>136</v>
      </c>
      <c r="FZ250">
        <v>170</v>
      </c>
    </row>
    <row r="251" spans="1:182" hidden="1" x14ac:dyDescent="0.3">
      <c r="A251" s="1">
        <v>45926.45399141204</v>
      </c>
      <c r="B251" s="1">
        <v>45926.466101678241</v>
      </c>
      <c r="D251" t="s">
        <v>84</v>
      </c>
      <c r="E251" t="s">
        <v>3878</v>
      </c>
      <c r="F251" t="s">
        <v>2887</v>
      </c>
      <c r="G251" t="s">
        <v>176</v>
      </c>
      <c r="H251" t="s">
        <v>4122</v>
      </c>
      <c r="I251" t="s">
        <v>2888</v>
      </c>
      <c r="J251" t="s">
        <v>2889</v>
      </c>
      <c r="K251" t="s">
        <v>90</v>
      </c>
      <c r="L251" t="s">
        <v>2867</v>
      </c>
      <c r="M251" t="s">
        <v>2868</v>
      </c>
      <c r="N251" t="s">
        <v>2890</v>
      </c>
      <c r="O251">
        <v>-15.214377000000001</v>
      </c>
      <c r="P251">
        <v>22.9350433</v>
      </c>
      <c r="Q251">
        <v>1011.2</v>
      </c>
      <c r="R251">
        <v>4.516</v>
      </c>
      <c r="S251" t="s">
        <v>84</v>
      </c>
      <c r="T251" t="s">
        <v>94</v>
      </c>
      <c r="U251">
        <v>10</v>
      </c>
      <c r="V251" t="s">
        <v>95</v>
      </c>
      <c r="W251" t="s">
        <v>907</v>
      </c>
      <c r="X251">
        <v>30</v>
      </c>
      <c r="Y251">
        <v>1</v>
      </c>
      <c r="Z251">
        <v>1</v>
      </c>
      <c r="AA251" t="s">
        <v>504</v>
      </c>
      <c r="AB251" t="s">
        <v>351</v>
      </c>
      <c r="AC251" t="s">
        <v>98</v>
      </c>
      <c r="AD251" t="s">
        <v>252</v>
      </c>
      <c r="AE251" t="s">
        <v>101</v>
      </c>
      <c r="AF251" t="s">
        <v>907</v>
      </c>
      <c r="AG251">
        <v>3000</v>
      </c>
      <c r="AH251" t="s">
        <v>304</v>
      </c>
      <c r="AI251" t="s">
        <v>907</v>
      </c>
      <c r="AJ251" s="5">
        <v>7000</v>
      </c>
      <c r="AK251" t="s">
        <v>304</v>
      </c>
      <c r="AL251" t="s">
        <v>907</v>
      </c>
      <c r="AM251" t="s">
        <v>907</v>
      </c>
      <c r="AN251" t="s">
        <v>907</v>
      </c>
      <c r="AQ251" t="s">
        <v>907</v>
      </c>
      <c r="AR251" t="s">
        <v>907</v>
      </c>
      <c r="AS251">
        <v>0</v>
      </c>
      <c r="AT251">
        <v>0</v>
      </c>
      <c r="AU251">
        <v>0</v>
      </c>
      <c r="AV251">
        <v>0</v>
      </c>
      <c r="AW251">
        <v>0</v>
      </c>
      <c r="AX251">
        <v>0</v>
      </c>
      <c r="AY251">
        <v>0</v>
      </c>
      <c r="AZ251" t="s">
        <v>106</v>
      </c>
      <c r="BA251" t="s">
        <v>907</v>
      </c>
      <c r="BB251" t="s">
        <v>308</v>
      </c>
      <c r="BC251" t="s">
        <v>907</v>
      </c>
      <c r="BD251" t="s">
        <v>907</v>
      </c>
      <c r="BE251" t="s">
        <v>907</v>
      </c>
      <c r="BF251" t="s">
        <v>907</v>
      </c>
      <c r="BG251" t="s">
        <v>156</v>
      </c>
      <c r="BH251">
        <v>50</v>
      </c>
      <c r="BL251">
        <v>30</v>
      </c>
      <c r="BN251">
        <v>2</v>
      </c>
      <c r="BP251">
        <v>4</v>
      </c>
      <c r="BT251">
        <v>4</v>
      </c>
      <c r="BX251">
        <v>10</v>
      </c>
      <c r="BY251" t="s">
        <v>189</v>
      </c>
      <c r="BZ251">
        <v>3</v>
      </c>
      <c r="CA251">
        <v>30</v>
      </c>
      <c r="CB251" t="s">
        <v>84</v>
      </c>
      <c r="CC251" t="s">
        <v>95</v>
      </c>
      <c r="CD251" t="s">
        <v>978</v>
      </c>
      <c r="CE251" t="s">
        <v>4251</v>
      </c>
      <c r="CF251" t="s">
        <v>2891</v>
      </c>
      <c r="CG251" t="s">
        <v>907</v>
      </c>
      <c r="CH251">
        <v>10</v>
      </c>
      <c r="CI251" t="s">
        <v>84</v>
      </c>
      <c r="CJ251" t="s">
        <v>262</v>
      </c>
      <c r="CK251" t="s">
        <v>113</v>
      </c>
      <c r="CL251" t="s">
        <v>1196</v>
      </c>
      <c r="CM251" t="s">
        <v>162</v>
      </c>
      <c r="CN251" t="s">
        <v>3874</v>
      </c>
      <c r="CO251" t="s">
        <v>95</v>
      </c>
      <c r="CP251" t="s">
        <v>907</v>
      </c>
      <c r="CQ251" t="s">
        <v>116</v>
      </c>
      <c r="CR251" t="s">
        <v>95</v>
      </c>
      <c r="CS251" t="s">
        <v>907</v>
      </c>
      <c r="CT251" t="s">
        <v>907</v>
      </c>
      <c r="CU251" t="s">
        <v>907</v>
      </c>
      <c r="CV251" t="s">
        <v>907</v>
      </c>
      <c r="CW251" t="s">
        <v>907</v>
      </c>
      <c r="CX251" t="s">
        <v>166</v>
      </c>
      <c r="CY251" t="s">
        <v>167</v>
      </c>
      <c r="CZ251" t="s">
        <v>2232</v>
      </c>
      <c r="DA251">
        <v>4</v>
      </c>
      <c r="DB251" s="10">
        <v>28000</v>
      </c>
      <c r="DC251" t="s">
        <v>169</v>
      </c>
      <c r="DD251" t="s">
        <v>907</v>
      </c>
      <c r="DE251">
        <v>2</v>
      </c>
      <c r="DF251">
        <v>25</v>
      </c>
      <c r="DG251" t="s">
        <v>95</v>
      </c>
      <c r="DH251" t="s">
        <v>95</v>
      </c>
      <c r="DI251" t="s">
        <v>907</v>
      </c>
      <c r="DJ251" t="s">
        <v>907</v>
      </c>
      <c r="DK251" t="s">
        <v>907</v>
      </c>
      <c r="DL251" t="s">
        <v>907</v>
      </c>
      <c r="DM251" t="s">
        <v>291</v>
      </c>
      <c r="DN251" t="s">
        <v>907</v>
      </c>
      <c r="DO251" t="s">
        <v>907</v>
      </c>
      <c r="DP251">
        <v>1</v>
      </c>
      <c r="DQ251" t="s">
        <v>441</v>
      </c>
      <c r="DR251" t="s">
        <v>907</v>
      </c>
      <c r="DS251" t="s">
        <v>368</v>
      </c>
      <c r="DT251" t="s">
        <v>552</v>
      </c>
      <c r="DU251" t="s">
        <v>95</v>
      </c>
      <c r="DV251" t="s">
        <v>907</v>
      </c>
      <c r="DW251" t="s">
        <v>907</v>
      </c>
      <c r="DX251" t="s">
        <v>907</v>
      </c>
      <c r="FQ251">
        <v>567443301</v>
      </c>
      <c r="FR251" t="s">
        <v>2892</v>
      </c>
      <c r="FS251" s="1">
        <v>45926.568171296298</v>
      </c>
      <c r="FV251" t="s">
        <v>134</v>
      </c>
      <c r="FW251" t="s">
        <v>135</v>
      </c>
      <c r="FX251" t="s">
        <v>136</v>
      </c>
      <c r="FZ251">
        <v>413</v>
      </c>
    </row>
    <row r="252" spans="1:182" hidden="1" x14ac:dyDescent="0.3">
      <c r="A252" s="1">
        <v>45930.415519837959</v>
      </c>
      <c r="B252" s="1">
        <v>45930.438849953702</v>
      </c>
      <c r="D252" t="s">
        <v>84</v>
      </c>
      <c r="E252" t="s">
        <v>901</v>
      </c>
      <c r="F252" t="s">
        <v>3558</v>
      </c>
      <c r="G252" t="s">
        <v>176</v>
      </c>
      <c r="H252" t="s">
        <v>4122</v>
      </c>
      <c r="I252" t="s">
        <v>3559</v>
      </c>
      <c r="J252" t="s">
        <v>3560</v>
      </c>
      <c r="K252" t="s">
        <v>90</v>
      </c>
      <c r="L252" t="s">
        <v>3561</v>
      </c>
      <c r="M252" t="s">
        <v>3501</v>
      </c>
      <c r="N252" t="s">
        <v>3562</v>
      </c>
      <c r="O252">
        <v>-15.2424745</v>
      </c>
      <c r="P252">
        <v>22.877579300000001</v>
      </c>
      <c r="Q252">
        <v>1047.3388671875</v>
      </c>
      <c r="R252">
        <v>4.9889999999999999</v>
      </c>
      <c r="S252" t="s">
        <v>84</v>
      </c>
      <c r="T252" t="s">
        <v>182</v>
      </c>
      <c r="U252">
        <v>6</v>
      </c>
      <c r="V252" t="s">
        <v>95</v>
      </c>
      <c r="W252" t="s">
        <v>907</v>
      </c>
      <c r="X252">
        <v>40</v>
      </c>
      <c r="Y252">
        <v>12</v>
      </c>
      <c r="Z252">
        <v>4</v>
      </c>
      <c r="AA252" t="s">
        <v>96</v>
      </c>
      <c r="AB252" t="s">
        <v>351</v>
      </c>
      <c r="AC252" t="s">
        <v>98</v>
      </c>
      <c r="AD252" t="s">
        <v>252</v>
      </c>
      <c r="AE252" t="s">
        <v>101</v>
      </c>
      <c r="AF252" t="s">
        <v>907</v>
      </c>
      <c r="AG252">
        <v>7000</v>
      </c>
      <c r="AH252" t="s">
        <v>3873</v>
      </c>
      <c r="AI252" t="s">
        <v>907</v>
      </c>
      <c r="AJ252" t="s">
        <v>907</v>
      </c>
      <c r="AK252" t="s">
        <v>102</v>
      </c>
      <c r="AL252" t="s">
        <v>907</v>
      </c>
      <c r="AM252" t="s">
        <v>4130</v>
      </c>
      <c r="AN252" t="s">
        <v>907</v>
      </c>
      <c r="AQ252" t="s">
        <v>3563</v>
      </c>
      <c r="AR252" t="s">
        <v>95</v>
      </c>
      <c r="AS252">
        <v>0</v>
      </c>
      <c r="AT252">
        <v>0</v>
      </c>
      <c r="AU252">
        <v>0</v>
      </c>
      <c r="AV252">
        <v>0</v>
      </c>
      <c r="AW252">
        <v>0</v>
      </c>
      <c r="AX252">
        <v>0</v>
      </c>
      <c r="AY252">
        <v>0</v>
      </c>
      <c r="AZ252" t="s">
        <v>929</v>
      </c>
      <c r="BA252" t="s">
        <v>95</v>
      </c>
      <c r="BB252" t="s">
        <v>308</v>
      </c>
      <c r="BC252" t="s">
        <v>907</v>
      </c>
      <c r="BD252" t="s">
        <v>107</v>
      </c>
      <c r="BE252" t="s">
        <v>258</v>
      </c>
      <c r="BF252" t="s">
        <v>3438</v>
      </c>
      <c r="BG252" t="s">
        <v>526</v>
      </c>
      <c r="BH252">
        <v>25</v>
      </c>
      <c r="BL252">
        <v>6</v>
      </c>
      <c r="BN252">
        <v>1</v>
      </c>
      <c r="BP252">
        <v>8</v>
      </c>
      <c r="BR252">
        <v>2</v>
      </c>
      <c r="BT252">
        <v>2</v>
      </c>
      <c r="BV252">
        <v>0</v>
      </c>
      <c r="BX252">
        <v>6</v>
      </c>
      <c r="BY252" t="s">
        <v>110</v>
      </c>
      <c r="BZ252" t="s">
        <v>907</v>
      </c>
      <c r="CA252" t="s">
        <v>907</v>
      </c>
      <c r="CB252" t="s">
        <v>84</v>
      </c>
      <c r="CC252" t="s">
        <v>84</v>
      </c>
      <c r="CD252" t="s">
        <v>811</v>
      </c>
      <c r="CE252" t="s">
        <v>4251</v>
      </c>
      <c r="CF252" t="s">
        <v>3564</v>
      </c>
      <c r="CG252" t="s">
        <v>907</v>
      </c>
      <c r="CH252">
        <v>10</v>
      </c>
      <c r="CI252" t="s">
        <v>95</v>
      </c>
      <c r="CJ252" t="s">
        <v>907</v>
      </c>
      <c r="CK252" t="s">
        <v>289</v>
      </c>
      <c r="CL252" t="s">
        <v>263</v>
      </c>
      <c r="CM252" t="s">
        <v>547</v>
      </c>
      <c r="CN252" t="s">
        <v>421</v>
      </c>
      <c r="CO252" t="s">
        <v>95</v>
      </c>
      <c r="CP252" t="s">
        <v>907</v>
      </c>
      <c r="CQ252" t="s">
        <v>116</v>
      </c>
      <c r="CR252" t="s">
        <v>95</v>
      </c>
      <c r="CS252" t="s">
        <v>907</v>
      </c>
      <c r="CT252" t="s">
        <v>907</v>
      </c>
      <c r="CU252" t="s">
        <v>907</v>
      </c>
      <c r="CV252" t="s">
        <v>812</v>
      </c>
      <c r="CW252" t="s">
        <v>696</v>
      </c>
      <c r="CX252" t="s">
        <v>166</v>
      </c>
      <c r="CY252" t="s">
        <v>167</v>
      </c>
      <c r="CZ252" t="s">
        <v>916</v>
      </c>
      <c r="DA252">
        <v>2</v>
      </c>
      <c r="DB252" s="10">
        <v>16000</v>
      </c>
      <c r="DC252" t="s">
        <v>169</v>
      </c>
      <c r="DD252" t="s">
        <v>907</v>
      </c>
      <c r="DE252">
        <v>2</v>
      </c>
      <c r="DF252">
        <v>25</v>
      </c>
      <c r="DG252" t="s">
        <v>95</v>
      </c>
      <c r="DH252" t="s">
        <v>95</v>
      </c>
      <c r="DI252" t="s">
        <v>907</v>
      </c>
      <c r="DJ252" t="s">
        <v>907</v>
      </c>
      <c r="DK252" t="s">
        <v>907</v>
      </c>
      <c r="DL252" t="s">
        <v>907</v>
      </c>
      <c r="DM252" t="s">
        <v>291</v>
      </c>
      <c r="DN252" t="s">
        <v>907</v>
      </c>
      <c r="DO252" t="s">
        <v>907</v>
      </c>
      <c r="DP252">
        <v>0.5</v>
      </c>
      <c r="DQ252" t="s">
        <v>441</v>
      </c>
      <c r="DR252" t="s">
        <v>907</v>
      </c>
      <c r="DS252" t="s">
        <v>917</v>
      </c>
      <c r="DT252" t="s">
        <v>636</v>
      </c>
      <c r="DU252" t="s">
        <v>84</v>
      </c>
      <c r="DV252" t="s">
        <v>294</v>
      </c>
      <c r="DW252" t="s">
        <v>132</v>
      </c>
      <c r="DX252" t="s">
        <v>95</v>
      </c>
      <c r="FQ252">
        <v>569919381</v>
      </c>
      <c r="FR252" t="s">
        <v>3565</v>
      </c>
      <c r="FS252" s="1">
        <v>45930.397430555553</v>
      </c>
      <c r="FV252" t="s">
        <v>134</v>
      </c>
      <c r="FW252" t="s">
        <v>135</v>
      </c>
      <c r="FX252" t="s">
        <v>136</v>
      </c>
      <c r="FZ252">
        <v>559</v>
      </c>
    </row>
    <row r="253" spans="1:182" hidden="1" x14ac:dyDescent="0.3">
      <c r="A253" s="1">
        <v>45925.394453564812</v>
      </c>
      <c r="B253" s="1">
        <v>45925.416949236111</v>
      </c>
      <c r="D253" t="s">
        <v>84</v>
      </c>
      <c r="E253" t="s">
        <v>901</v>
      </c>
      <c r="F253" t="s">
        <v>1659</v>
      </c>
      <c r="G253" t="s">
        <v>176</v>
      </c>
      <c r="H253" t="s">
        <v>4122</v>
      </c>
      <c r="I253" t="s">
        <v>1660</v>
      </c>
      <c r="J253" t="s">
        <v>1661</v>
      </c>
      <c r="K253" t="s">
        <v>90</v>
      </c>
      <c r="L253" t="s">
        <v>3954</v>
      </c>
      <c r="M253" t="s">
        <v>277</v>
      </c>
      <c r="N253" t="s">
        <v>1662</v>
      </c>
      <c r="O253">
        <v>-15.364281699999999</v>
      </c>
      <c r="P253">
        <v>23.1652767</v>
      </c>
      <c r="Q253">
        <v>1044.4000000000001</v>
      </c>
      <c r="R253">
        <v>4.633</v>
      </c>
      <c r="S253" t="s">
        <v>84</v>
      </c>
      <c r="T253" t="s">
        <v>182</v>
      </c>
      <c r="U253">
        <v>8</v>
      </c>
      <c r="V253" t="s">
        <v>302</v>
      </c>
      <c r="W253" t="s">
        <v>232</v>
      </c>
      <c r="X253">
        <v>20</v>
      </c>
      <c r="Y253">
        <v>2</v>
      </c>
      <c r="Z253">
        <v>2</v>
      </c>
      <c r="AA253" t="s">
        <v>96</v>
      </c>
      <c r="AB253" t="s">
        <v>351</v>
      </c>
      <c r="AC253" t="s">
        <v>98</v>
      </c>
      <c r="AD253" t="s">
        <v>520</v>
      </c>
      <c r="AE253" t="s">
        <v>100</v>
      </c>
      <c r="AF253" t="s">
        <v>907</v>
      </c>
      <c r="AG253">
        <v>200</v>
      </c>
      <c r="AH253" t="s">
        <v>925</v>
      </c>
      <c r="AI253" t="s">
        <v>907</v>
      </c>
      <c r="AJ253" s="5">
        <v>500</v>
      </c>
      <c r="AK253" t="s">
        <v>102</v>
      </c>
      <c r="AL253" t="s">
        <v>907</v>
      </c>
      <c r="AM253" t="s">
        <v>253</v>
      </c>
      <c r="AN253" t="s">
        <v>907</v>
      </c>
      <c r="AO253" t="s">
        <v>1663</v>
      </c>
      <c r="AP253" t="s">
        <v>1664</v>
      </c>
      <c r="AQ253" t="s">
        <v>1665</v>
      </c>
      <c r="AR253" t="s">
        <v>95</v>
      </c>
      <c r="AS253">
        <v>0</v>
      </c>
      <c r="AT253">
        <v>10</v>
      </c>
      <c r="AU253">
        <v>0</v>
      </c>
      <c r="AV253">
        <v>0</v>
      </c>
      <c r="AW253">
        <v>50</v>
      </c>
      <c r="AX253">
        <v>0</v>
      </c>
      <c r="AY253">
        <v>0</v>
      </c>
      <c r="AZ253" t="s">
        <v>106</v>
      </c>
      <c r="BA253" t="s">
        <v>452</v>
      </c>
      <c r="BB253" t="s">
        <v>308</v>
      </c>
      <c r="BC253" t="s">
        <v>907</v>
      </c>
      <c r="BD253" t="s">
        <v>107</v>
      </c>
      <c r="BE253" t="s">
        <v>258</v>
      </c>
      <c r="BF253" t="s">
        <v>1666</v>
      </c>
      <c r="BG253" t="s">
        <v>156</v>
      </c>
      <c r="BH253">
        <v>54</v>
      </c>
      <c r="BL253">
        <v>29</v>
      </c>
      <c r="BN253">
        <v>4</v>
      </c>
      <c r="BP253">
        <v>0</v>
      </c>
      <c r="BR253">
        <v>0</v>
      </c>
      <c r="BT253">
        <v>4</v>
      </c>
      <c r="BV253">
        <v>6</v>
      </c>
      <c r="BX253">
        <v>11</v>
      </c>
      <c r="BY253" t="s">
        <v>110</v>
      </c>
      <c r="BZ253" t="s">
        <v>907</v>
      </c>
      <c r="CA253" t="s">
        <v>907</v>
      </c>
      <c r="CB253" t="s">
        <v>84</v>
      </c>
      <c r="CC253" t="s">
        <v>84</v>
      </c>
      <c r="CD253" t="s">
        <v>1167</v>
      </c>
      <c r="CE253" t="s">
        <v>4251</v>
      </c>
      <c r="CF253" t="s">
        <v>1667</v>
      </c>
      <c r="CG253" t="s">
        <v>907</v>
      </c>
      <c r="CH253">
        <v>10</v>
      </c>
      <c r="CI253" t="s">
        <v>84</v>
      </c>
      <c r="CJ253" t="s">
        <v>160</v>
      </c>
      <c r="CK253" t="s">
        <v>289</v>
      </c>
      <c r="CL253" t="s">
        <v>895</v>
      </c>
      <c r="CM253" t="s">
        <v>193</v>
      </c>
      <c r="CN253" t="s">
        <v>3874</v>
      </c>
      <c r="CO253" t="s">
        <v>95</v>
      </c>
      <c r="CP253" t="s">
        <v>907</v>
      </c>
      <c r="CQ253" t="s">
        <v>116</v>
      </c>
      <c r="CR253" t="s">
        <v>84</v>
      </c>
      <c r="CS253" t="s">
        <v>117</v>
      </c>
      <c r="CT253" t="s">
        <v>163</v>
      </c>
      <c r="CU253" t="s">
        <v>3869</v>
      </c>
      <c r="CV253" t="s">
        <v>119</v>
      </c>
      <c r="CW253" t="s">
        <v>696</v>
      </c>
      <c r="CX253" t="s">
        <v>166</v>
      </c>
      <c r="CY253" t="s">
        <v>167</v>
      </c>
      <c r="CZ253" t="s">
        <v>1668</v>
      </c>
      <c r="DA253">
        <v>0</v>
      </c>
      <c r="DB253" s="10">
        <v>0</v>
      </c>
      <c r="DC253" t="s">
        <v>169</v>
      </c>
      <c r="DD253" t="s">
        <v>907</v>
      </c>
      <c r="DE253">
        <v>1</v>
      </c>
      <c r="DF253">
        <v>12</v>
      </c>
      <c r="DG253" t="s">
        <v>95</v>
      </c>
      <c r="DH253" t="s">
        <v>95</v>
      </c>
      <c r="DI253" t="s">
        <v>907</v>
      </c>
      <c r="DJ253" t="s">
        <v>907</v>
      </c>
      <c r="DK253" t="s">
        <v>907</v>
      </c>
      <c r="DL253" t="s">
        <v>907</v>
      </c>
      <c r="DM253" t="s">
        <v>291</v>
      </c>
      <c r="DN253" t="s">
        <v>907</v>
      </c>
      <c r="DO253" t="s">
        <v>907</v>
      </c>
      <c r="DP253">
        <v>5</v>
      </c>
      <c r="DQ253" t="s">
        <v>202</v>
      </c>
      <c r="DR253" t="s">
        <v>907</v>
      </c>
      <c r="DS253" t="s">
        <v>1362</v>
      </c>
      <c r="DT253" t="s">
        <v>863</v>
      </c>
      <c r="DU253" t="s">
        <v>84</v>
      </c>
      <c r="DV253" t="s">
        <v>294</v>
      </c>
      <c r="DW253" t="s">
        <v>533</v>
      </c>
      <c r="DX253" t="s">
        <v>95</v>
      </c>
      <c r="FQ253">
        <v>566741384</v>
      </c>
      <c r="FR253" t="s">
        <v>1669</v>
      </c>
      <c r="FS253" s="1">
        <v>45925.627187500002</v>
      </c>
      <c r="FV253" t="s">
        <v>134</v>
      </c>
      <c r="FW253" t="s">
        <v>135</v>
      </c>
      <c r="FX253" t="s">
        <v>136</v>
      </c>
      <c r="FZ253">
        <v>262</v>
      </c>
    </row>
    <row r="254" spans="1:182" hidden="1" x14ac:dyDescent="0.3">
      <c r="A254" s="1">
        <v>45923.39867667824</v>
      </c>
      <c r="B254" s="1">
        <v>45923.431014236106</v>
      </c>
      <c r="D254" t="s">
        <v>84</v>
      </c>
      <c r="E254" t="s">
        <v>3878</v>
      </c>
      <c r="F254" t="s">
        <v>426</v>
      </c>
      <c r="G254" t="s">
        <v>176</v>
      </c>
      <c r="H254" t="s">
        <v>4122</v>
      </c>
      <c r="I254" t="s">
        <v>427</v>
      </c>
      <c r="J254" t="s">
        <v>428</v>
      </c>
      <c r="K254" t="s">
        <v>90</v>
      </c>
      <c r="L254" t="s">
        <v>429</v>
      </c>
      <c r="M254" t="s">
        <v>414</v>
      </c>
      <c r="N254" t="s">
        <v>430</v>
      </c>
      <c r="O254">
        <v>-15.4403349</v>
      </c>
      <c r="P254">
        <v>23.216899699999999</v>
      </c>
      <c r="Q254">
        <v>1037.163818359375</v>
      </c>
      <c r="R254">
        <v>4.9269999999999996</v>
      </c>
      <c r="S254" t="s">
        <v>84</v>
      </c>
      <c r="T254" t="s">
        <v>182</v>
      </c>
      <c r="U254">
        <v>10</v>
      </c>
      <c r="V254" t="s">
        <v>95</v>
      </c>
      <c r="W254" t="s">
        <v>907</v>
      </c>
      <c r="X254">
        <v>20</v>
      </c>
      <c r="Y254">
        <v>8</v>
      </c>
      <c r="Z254">
        <v>5</v>
      </c>
      <c r="AA254" t="s">
        <v>251</v>
      </c>
      <c r="AB254" t="s">
        <v>351</v>
      </c>
      <c r="AC254" t="s">
        <v>98</v>
      </c>
      <c r="AD254" t="s">
        <v>252</v>
      </c>
      <c r="AE254" t="s">
        <v>100</v>
      </c>
      <c r="AF254" t="s">
        <v>907</v>
      </c>
      <c r="AG254">
        <v>15000</v>
      </c>
      <c r="AH254" t="s">
        <v>431</v>
      </c>
      <c r="AI254" t="s">
        <v>907</v>
      </c>
      <c r="AJ254" s="5">
        <v>500</v>
      </c>
      <c r="AK254" t="s">
        <v>102</v>
      </c>
      <c r="AL254" t="s">
        <v>907</v>
      </c>
      <c r="AM254" t="s">
        <v>253</v>
      </c>
      <c r="AN254" t="s">
        <v>907</v>
      </c>
      <c r="AO254" t="s">
        <v>432</v>
      </c>
      <c r="AP254" t="s">
        <v>433</v>
      </c>
      <c r="AQ254" t="s">
        <v>434</v>
      </c>
      <c r="AR254" t="s">
        <v>95</v>
      </c>
      <c r="AS254">
        <v>0</v>
      </c>
      <c r="AT254">
        <v>0</v>
      </c>
      <c r="AU254">
        <v>0</v>
      </c>
      <c r="AV254">
        <v>0</v>
      </c>
      <c r="AW254">
        <v>0</v>
      </c>
      <c r="AX254">
        <v>0</v>
      </c>
      <c r="AY254">
        <v>0</v>
      </c>
      <c r="AZ254" t="s">
        <v>284</v>
      </c>
      <c r="BA254" t="s">
        <v>95</v>
      </c>
      <c r="BB254" t="s">
        <v>154</v>
      </c>
      <c r="BC254" t="s">
        <v>907</v>
      </c>
      <c r="BD254" t="s">
        <v>257</v>
      </c>
      <c r="BE254" t="s">
        <v>363</v>
      </c>
      <c r="BF254" t="s">
        <v>435</v>
      </c>
      <c r="BG254" t="s">
        <v>235</v>
      </c>
      <c r="BH254">
        <v>95</v>
      </c>
      <c r="BL254">
        <v>9</v>
      </c>
      <c r="BN254">
        <v>2</v>
      </c>
      <c r="BP254">
        <v>20</v>
      </c>
      <c r="BR254">
        <v>6</v>
      </c>
      <c r="BT254">
        <v>14</v>
      </c>
      <c r="BV254">
        <v>35</v>
      </c>
      <c r="BX254">
        <v>9</v>
      </c>
      <c r="BY254" t="s">
        <v>189</v>
      </c>
      <c r="BZ254">
        <v>2</v>
      </c>
      <c r="CA254">
        <v>85</v>
      </c>
      <c r="CB254" t="s">
        <v>84</v>
      </c>
      <c r="CC254" t="s">
        <v>84</v>
      </c>
      <c r="CD254" t="s">
        <v>436</v>
      </c>
      <c r="CE254" t="s">
        <v>4250</v>
      </c>
      <c r="CF254" t="s">
        <v>437</v>
      </c>
      <c r="CG254" t="s">
        <v>907</v>
      </c>
      <c r="CH254">
        <v>10</v>
      </c>
      <c r="CI254" t="s">
        <v>84</v>
      </c>
      <c r="CJ254" t="s">
        <v>336</v>
      </c>
      <c r="CK254" t="s">
        <v>289</v>
      </c>
      <c r="CL254" t="s">
        <v>263</v>
      </c>
      <c r="CM254" t="s">
        <v>193</v>
      </c>
      <c r="CN254" t="s">
        <v>3874</v>
      </c>
      <c r="CO254" t="s">
        <v>95</v>
      </c>
      <c r="CP254" t="s">
        <v>907</v>
      </c>
      <c r="CQ254" t="s">
        <v>116</v>
      </c>
      <c r="CR254" t="s">
        <v>84</v>
      </c>
      <c r="CS254" t="s">
        <v>117</v>
      </c>
      <c r="CT254" t="s">
        <v>907</v>
      </c>
      <c r="CU254" t="s">
        <v>438</v>
      </c>
      <c r="CV254" t="s">
        <v>119</v>
      </c>
      <c r="CW254" t="s">
        <v>439</v>
      </c>
      <c r="CX254" t="s">
        <v>166</v>
      </c>
      <c r="CY254" t="s">
        <v>167</v>
      </c>
      <c r="CZ254" t="s">
        <v>440</v>
      </c>
      <c r="DA254">
        <v>6</v>
      </c>
      <c r="DB254" s="10">
        <v>18000</v>
      </c>
      <c r="DC254" t="s">
        <v>169</v>
      </c>
      <c r="DD254" t="s">
        <v>907</v>
      </c>
      <c r="DE254">
        <v>2</v>
      </c>
      <c r="DF254">
        <v>50</v>
      </c>
      <c r="DG254" t="s">
        <v>95</v>
      </c>
      <c r="DH254" t="s">
        <v>95</v>
      </c>
      <c r="DI254" t="s">
        <v>907</v>
      </c>
      <c r="DJ254" t="s">
        <v>907</v>
      </c>
      <c r="DK254" t="s">
        <v>907</v>
      </c>
      <c r="DL254" t="s">
        <v>907</v>
      </c>
      <c r="DM254" t="s">
        <v>291</v>
      </c>
      <c r="DN254" t="s">
        <v>907</v>
      </c>
      <c r="DO254" t="s">
        <v>907</v>
      </c>
      <c r="DP254">
        <v>1</v>
      </c>
      <c r="DQ254" t="s">
        <v>441</v>
      </c>
      <c r="DR254" t="s">
        <v>907</v>
      </c>
      <c r="DS254" t="s">
        <v>442</v>
      </c>
      <c r="DT254" t="s">
        <v>443</v>
      </c>
      <c r="DU254" t="s">
        <v>95</v>
      </c>
      <c r="DV254" t="s">
        <v>907</v>
      </c>
      <c r="DW254" t="s">
        <v>907</v>
      </c>
      <c r="DX254" t="s">
        <v>907</v>
      </c>
      <c r="FQ254">
        <v>565242500</v>
      </c>
      <c r="FR254" t="s">
        <v>444</v>
      </c>
      <c r="FS254" s="1">
        <v>45923.83079861111</v>
      </c>
      <c r="FV254" t="s">
        <v>134</v>
      </c>
      <c r="FW254" t="s">
        <v>135</v>
      </c>
      <c r="FX254" t="s">
        <v>136</v>
      </c>
      <c r="FZ254">
        <v>126</v>
      </c>
    </row>
    <row r="255" spans="1:182" x14ac:dyDescent="0.3">
      <c r="A255" s="1">
        <v>45929.433299675933</v>
      </c>
      <c r="B255" s="1">
        <v>45929.478260462973</v>
      </c>
      <c r="D255" t="s">
        <v>84</v>
      </c>
      <c r="E255" t="s">
        <v>1226</v>
      </c>
      <c r="F255" t="s">
        <v>3288</v>
      </c>
      <c r="G255" t="s">
        <v>176</v>
      </c>
      <c r="H255" t="s">
        <v>4122</v>
      </c>
      <c r="I255" t="s">
        <v>3246</v>
      </c>
      <c r="J255" t="s">
        <v>3289</v>
      </c>
      <c r="K255" t="s">
        <v>90</v>
      </c>
      <c r="L255" t="s">
        <v>4069</v>
      </c>
      <c r="M255" t="s">
        <v>3290</v>
      </c>
      <c r="N255" t="s">
        <v>3291</v>
      </c>
      <c r="O255">
        <v>-15.3823817</v>
      </c>
      <c r="P255">
        <v>23.014589999999998</v>
      </c>
      <c r="Q255">
        <v>1045.8</v>
      </c>
      <c r="R255">
        <v>4.8600000000000003</v>
      </c>
      <c r="S255" t="s">
        <v>84</v>
      </c>
      <c r="T255" t="s">
        <v>94</v>
      </c>
      <c r="U255">
        <v>11</v>
      </c>
      <c r="V255" t="s">
        <v>95</v>
      </c>
      <c r="W255" t="s">
        <v>907</v>
      </c>
      <c r="X255">
        <v>20</v>
      </c>
      <c r="Y255">
        <v>0.3</v>
      </c>
      <c r="Z255">
        <v>3</v>
      </c>
      <c r="AA255" t="s">
        <v>251</v>
      </c>
      <c r="AB255" t="s">
        <v>97</v>
      </c>
      <c r="AC255" t="s">
        <v>98</v>
      </c>
      <c r="AD255" t="s">
        <v>252</v>
      </c>
      <c r="AE255" t="s">
        <v>304</v>
      </c>
      <c r="AF255" t="s">
        <v>907</v>
      </c>
      <c r="AG255">
        <v>9200</v>
      </c>
      <c r="AH255" t="s">
        <v>966</v>
      </c>
      <c r="AI255" t="s">
        <v>907</v>
      </c>
      <c r="AJ255" s="5">
        <v>4500</v>
      </c>
      <c r="AK255" t="s">
        <v>102</v>
      </c>
      <c r="AL255" t="s">
        <v>907</v>
      </c>
      <c r="AM255" t="s">
        <v>3292</v>
      </c>
      <c r="AN255" t="s">
        <v>3293</v>
      </c>
      <c r="AO255" t="s">
        <v>3294</v>
      </c>
      <c r="AP255" t="s">
        <v>3295</v>
      </c>
      <c r="AQ255" t="s">
        <v>3296</v>
      </c>
      <c r="AR255" t="s">
        <v>95</v>
      </c>
      <c r="AS255">
        <v>15</v>
      </c>
      <c r="AT255">
        <v>0</v>
      </c>
      <c r="AU255">
        <v>0</v>
      </c>
      <c r="AV255">
        <v>27</v>
      </c>
      <c r="AW255">
        <v>0</v>
      </c>
      <c r="AX255">
        <v>0</v>
      </c>
      <c r="AY255">
        <v>0</v>
      </c>
      <c r="AZ255" t="s">
        <v>1003</v>
      </c>
      <c r="BA255" t="s">
        <v>452</v>
      </c>
      <c r="BB255" t="s">
        <v>154</v>
      </c>
      <c r="BC255" t="s">
        <v>907</v>
      </c>
      <c r="BD255" t="s">
        <v>107</v>
      </c>
      <c r="BE255" t="s">
        <v>258</v>
      </c>
      <c r="BF255" t="s">
        <v>3297</v>
      </c>
      <c r="BG255" t="s">
        <v>156</v>
      </c>
      <c r="BH255">
        <v>180</v>
      </c>
      <c r="BL255">
        <v>57</v>
      </c>
      <c r="BN255">
        <v>6</v>
      </c>
      <c r="BP255">
        <v>30</v>
      </c>
      <c r="BR255">
        <v>25</v>
      </c>
      <c r="BT255">
        <v>6</v>
      </c>
      <c r="BV255">
        <v>24</v>
      </c>
      <c r="BX255">
        <v>32</v>
      </c>
      <c r="BY255" t="s">
        <v>110</v>
      </c>
      <c r="BZ255" t="s">
        <v>907</v>
      </c>
      <c r="CA255" t="s">
        <v>907</v>
      </c>
      <c r="CB255" t="s">
        <v>84</v>
      </c>
      <c r="CC255" t="s">
        <v>84</v>
      </c>
      <c r="CD255" t="s">
        <v>778</v>
      </c>
      <c r="CE255" t="s">
        <v>4251</v>
      </c>
      <c r="CF255" t="s">
        <v>4070</v>
      </c>
      <c r="CG255" t="s">
        <v>907</v>
      </c>
      <c r="CH255">
        <v>10</v>
      </c>
      <c r="CI255" t="s">
        <v>95</v>
      </c>
      <c r="CJ255" t="s">
        <v>907</v>
      </c>
      <c r="CK255" t="s">
        <v>289</v>
      </c>
      <c r="CL255" t="s">
        <v>367</v>
      </c>
      <c r="CM255" t="s">
        <v>193</v>
      </c>
      <c r="CN255" t="s">
        <v>3874</v>
      </c>
      <c r="CO255" t="s">
        <v>95</v>
      </c>
      <c r="CP255" t="s">
        <v>907</v>
      </c>
      <c r="CQ255" t="s">
        <v>116</v>
      </c>
      <c r="CR255" t="s">
        <v>84</v>
      </c>
      <c r="CS255" t="s">
        <v>117</v>
      </c>
      <c r="CT255" t="s">
        <v>118</v>
      </c>
      <c r="CU255" t="s">
        <v>3869</v>
      </c>
      <c r="CV255" t="s">
        <v>812</v>
      </c>
      <c r="CW255" t="s">
        <v>483</v>
      </c>
      <c r="CX255" t="s">
        <v>166</v>
      </c>
      <c r="CY255" t="s">
        <v>167</v>
      </c>
      <c r="CZ255" t="s">
        <v>2650</v>
      </c>
      <c r="DA255">
        <v>6</v>
      </c>
      <c r="DB255" s="10">
        <v>40000</v>
      </c>
      <c r="DC255" t="s">
        <v>169</v>
      </c>
      <c r="DD255" t="s">
        <v>907</v>
      </c>
      <c r="DE255">
        <v>4</v>
      </c>
      <c r="DF255">
        <v>20</v>
      </c>
      <c r="DG255" t="s">
        <v>95</v>
      </c>
      <c r="DH255" t="s">
        <v>95</v>
      </c>
      <c r="DI255" t="s">
        <v>907</v>
      </c>
      <c r="DJ255" t="s">
        <v>907</v>
      </c>
      <c r="DK255" t="s">
        <v>907</v>
      </c>
      <c r="DL255" t="s">
        <v>907</v>
      </c>
      <c r="DM255" t="s">
        <v>291</v>
      </c>
      <c r="DN255" t="s">
        <v>907</v>
      </c>
      <c r="DO255" t="s">
        <v>907</v>
      </c>
      <c r="DP255">
        <v>5</v>
      </c>
      <c r="DQ255" t="s">
        <v>441</v>
      </c>
      <c r="DR255" t="s">
        <v>907</v>
      </c>
      <c r="DS255" t="s">
        <v>2494</v>
      </c>
      <c r="DT255" t="s">
        <v>1408</v>
      </c>
      <c r="DU255" t="s">
        <v>84</v>
      </c>
      <c r="DV255" t="s">
        <v>796</v>
      </c>
      <c r="DW255" t="s">
        <v>933</v>
      </c>
      <c r="DX255" t="s">
        <v>95</v>
      </c>
      <c r="FQ255">
        <v>569747592</v>
      </c>
      <c r="FR255" t="s">
        <v>3298</v>
      </c>
      <c r="FS255" s="1">
        <v>45930.203055555547</v>
      </c>
      <c r="FV255" t="s">
        <v>134</v>
      </c>
      <c r="FW255" t="s">
        <v>135</v>
      </c>
      <c r="FX255" t="s">
        <v>136</v>
      </c>
      <c r="FZ255">
        <v>528</v>
      </c>
    </row>
    <row r="256" spans="1:182" x14ac:dyDescent="0.3">
      <c r="A256" s="1">
        <v>45925.342199710649</v>
      </c>
      <c r="B256" s="1">
        <v>45925.847732372677</v>
      </c>
      <c r="D256" t="s">
        <v>84</v>
      </c>
      <c r="E256" t="s">
        <v>85</v>
      </c>
      <c r="F256" t="s">
        <v>2355</v>
      </c>
      <c r="G256" t="s">
        <v>176</v>
      </c>
      <c r="H256" t="s">
        <v>4122</v>
      </c>
      <c r="I256" t="s">
        <v>2356</v>
      </c>
      <c r="J256" t="s">
        <v>2357</v>
      </c>
      <c r="K256" t="s">
        <v>90</v>
      </c>
      <c r="L256" t="s">
        <v>2358</v>
      </c>
      <c r="M256" t="s">
        <v>141</v>
      </c>
      <c r="N256" t="s">
        <v>2359</v>
      </c>
      <c r="O256">
        <v>-15.385846300000001</v>
      </c>
      <c r="P256">
        <v>23.1848013</v>
      </c>
      <c r="Q256">
        <v>1027.583862304688</v>
      </c>
      <c r="R256">
        <v>4.9249999999999998</v>
      </c>
      <c r="S256" t="s">
        <v>84</v>
      </c>
      <c r="T256" t="s">
        <v>182</v>
      </c>
      <c r="U256">
        <v>7</v>
      </c>
      <c r="V256" t="s">
        <v>95</v>
      </c>
      <c r="W256" t="s">
        <v>907</v>
      </c>
      <c r="X256">
        <v>35</v>
      </c>
      <c r="Y256">
        <v>60</v>
      </c>
      <c r="Z256">
        <v>5</v>
      </c>
      <c r="AA256" t="s">
        <v>96</v>
      </c>
      <c r="AB256" t="s">
        <v>143</v>
      </c>
      <c r="AC256" t="s">
        <v>144</v>
      </c>
      <c r="AD256" t="s">
        <v>145</v>
      </c>
      <c r="AE256" t="s">
        <v>100</v>
      </c>
      <c r="AF256" t="s">
        <v>907</v>
      </c>
      <c r="AG256">
        <v>0</v>
      </c>
      <c r="AH256" t="s">
        <v>214</v>
      </c>
      <c r="AI256" t="s">
        <v>907</v>
      </c>
      <c r="AJ256" s="5">
        <v>0</v>
      </c>
      <c r="AK256" t="s">
        <v>102</v>
      </c>
      <c r="AL256" t="s">
        <v>907</v>
      </c>
      <c r="AM256" t="s">
        <v>741</v>
      </c>
      <c r="AN256" t="s">
        <v>907</v>
      </c>
      <c r="AO256" t="s">
        <v>2360</v>
      </c>
      <c r="AP256" t="s">
        <v>2361</v>
      </c>
      <c r="AQ256" t="s">
        <v>2362</v>
      </c>
      <c r="AR256" t="s">
        <v>95</v>
      </c>
      <c r="AS256">
        <v>22</v>
      </c>
      <c r="AT256">
        <v>45</v>
      </c>
      <c r="AU256">
        <v>0</v>
      </c>
      <c r="AV256">
        <v>16</v>
      </c>
      <c r="AW256">
        <v>62</v>
      </c>
      <c r="AX256">
        <v>0</v>
      </c>
      <c r="AY256">
        <v>0</v>
      </c>
      <c r="AZ256" t="s">
        <v>106</v>
      </c>
      <c r="BA256" t="s">
        <v>95</v>
      </c>
      <c r="BB256" t="s">
        <v>154</v>
      </c>
      <c r="BC256" t="s">
        <v>907</v>
      </c>
      <c r="BD256" t="s">
        <v>107</v>
      </c>
      <c r="BE256" t="s">
        <v>108</v>
      </c>
      <c r="BF256" t="s">
        <v>309</v>
      </c>
      <c r="BG256" t="s">
        <v>235</v>
      </c>
      <c r="BH256">
        <v>45</v>
      </c>
      <c r="BY256" t="s">
        <v>110</v>
      </c>
      <c r="BZ256" t="s">
        <v>907</v>
      </c>
      <c r="CA256" t="s">
        <v>907</v>
      </c>
      <c r="CB256" t="s">
        <v>84</v>
      </c>
      <c r="CC256" t="s">
        <v>84</v>
      </c>
      <c r="CD256" t="s">
        <v>545</v>
      </c>
      <c r="CE256" t="s">
        <v>4250</v>
      </c>
      <c r="CF256" t="s">
        <v>3990</v>
      </c>
      <c r="CG256" t="s">
        <v>907</v>
      </c>
      <c r="CH256">
        <v>2</v>
      </c>
      <c r="CI256" t="s">
        <v>84</v>
      </c>
      <c r="CJ256" t="s">
        <v>546</v>
      </c>
      <c r="CK256" t="s">
        <v>113</v>
      </c>
      <c r="CL256" t="s">
        <v>2363</v>
      </c>
      <c r="CM256" t="s">
        <v>193</v>
      </c>
      <c r="CN256" t="s">
        <v>3868</v>
      </c>
      <c r="CO256" t="s">
        <v>95</v>
      </c>
      <c r="CP256" t="s">
        <v>907</v>
      </c>
      <c r="CQ256" t="s">
        <v>116</v>
      </c>
      <c r="CR256" t="s">
        <v>84</v>
      </c>
      <c r="CS256" t="s">
        <v>117</v>
      </c>
      <c r="CT256" t="s">
        <v>163</v>
      </c>
      <c r="CU256" t="s">
        <v>3869</v>
      </c>
      <c r="CV256" t="s">
        <v>119</v>
      </c>
      <c r="CW256" t="s">
        <v>559</v>
      </c>
      <c r="CX256" t="s">
        <v>166</v>
      </c>
      <c r="CY256" t="s">
        <v>549</v>
      </c>
      <c r="CZ256" t="s">
        <v>168</v>
      </c>
      <c r="DA256">
        <v>2</v>
      </c>
      <c r="DB256" s="10">
        <v>3000</v>
      </c>
      <c r="DC256" t="s">
        <v>169</v>
      </c>
      <c r="DD256" t="s">
        <v>907</v>
      </c>
      <c r="DE256">
        <v>5</v>
      </c>
      <c r="DF256">
        <v>16</v>
      </c>
      <c r="DG256" t="s">
        <v>84</v>
      </c>
      <c r="DH256" t="s">
        <v>95</v>
      </c>
      <c r="DI256" t="s">
        <v>907</v>
      </c>
      <c r="DJ256" t="s">
        <v>907</v>
      </c>
      <c r="DK256" t="s">
        <v>907</v>
      </c>
      <c r="DL256" t="s">
        <v>907</v>
      </c>
      <c r="DM256" t="s">
        <v>125</v>
      </c>
      <c r="DN256" t="s">
        <v>170</v>
      </c>
      <c r="DO256" t="s">
        <v>324</v>
      </c>
      <c r="DP256">
        <v>6</v>
      </c>
      <c r="DQ256" t="s">
        <v>2364</v>
      </c>
      <c r="DR256" t="s">
        <v>4140</v>
      </c>
      <c r="DS256" t="s">
        <v>203</v>
      </c>
      <c r="DT256" t="s">
        <v>571</v>
      </c>
      <c r="DU256" t="s">
        <v>95</v>
      </c>
      <c r="DV256" t="s">
        <v>907</v>
      </c>
      <c r="DW256" t="s">
        <v>907</v>
      </c>
      <c r="DX256" t="s">
        <v>907</v>
      </c>
      <c r="FQ256">
        <v>566893230</v>
      </c>
      <c r="FR256" t="s">
        <v>2365</v>
      </c>
      <c r="FS256" s="1">
        <v>45925.765034722222</v>
      </c>
      <c r="FV256" t="s">
        <v>134</v>
      </c>
      <c r="FW256" t="s">
        <v>135</v>
      </c>
      <c r="FX256" t="s">
        <v>136</v>
      </c>
      <c r="FZ256">
        <v>329</v>
      </c>
    </row>
    <row r="257" spans="1:182" x14ac:dyDescent="0.3">
      <c r="A257" s="1">
        <v>45924.43217641204</v>
      </c>
      <c r="B257" s="1">
        <v>45924.472544386583</v>
      </c>
      <c r="D257" t="s">
        <v>84</v>
      </c>
      <c r="E257" t="s">
        <v>1226</v>
      </c>
      <c r="F257" t="s">
        <v>1291</v>
      </c>
      <c r="G257" t="s">
        <v>176</v>
      </c>
      <c r="H257" t="s">
        <v>4122</v>
      </c>
      <c r="I257" t="s">
        <v>1292</v>
      </c>
      <c r="J257" t="s">
        <v>1293</v>
      </c>
      <c r="K257" t="s">
        <v>90</v>
      </c>
      <c r="L257" t="s">
        <v>1294</v>
      </c>
      <c r="M257" t="s">
        <v>1295</v>
      </c>
      <c r="N257" t="s">
        <v>1296</v>
      </c>
      <c r="O257">
        <v>-15.3278333</v>
      </c>
      <c r="P257">
        <v>23.040040000000001</v>
      </c>
      <c r="Q257">
        <v>1023.3</v>
      </c>
      <c r="R257">
        <v>4.9000000000000004</v>
      </c>
      <c r="S257" t="s">
        <v>84</v>
      </c>
      <c r="T257" t="s">
        <v>182</v>
      </c>
      <c r="U257">
        <v>12</v>
      </c>
      <c r="V257" t="s">
        <v>95</v>
      </c>
      <c r="W257" t="s">
        <v>907</v>
      </c>
      <c r="X257">
        <v>30</v>
      </c>
      <c r="Y257">
        <v>110</v>
      </c>
      <c r="Z257">
        <v>30</v>
      </c>
      <c r="AA257" t="s">
        <v>251</v>
      </c>
      <c r="AB257" t="s">
        <v>351</v>
      </c>
      <c r="AC257" t="s">
        <v>98</v>
      </c>
      <c r="AD257" t="s">
        <v>252</v>
      </c>
      <c r="AE257" t="s">
        <v>304</v>
      </c>
      <c r="AF257" t="s">
        <v>907</v>
      </c>
      <c r="AG257" s="3">
        <v>8000</v>
      </c>
      <c r="AH257" t="s">
        <v>101</v>
      </c>
      <c r="AI257" t="s">
        <v>907</v>
      </c>
      <c r="AJ257" s="5">
        <v>2500</v>
      </c>
      <c r="AK257" t="s">
        <v>102</v>
      </c>
      <c r="AL257" t="s">
        <v>907</v>
      </c>
      <c r="AM257" t="s">
        <v>466</v>
      </c>
      <c r="AN257" t="s">
        <v>907</v>
      </c>
      <c r="AO257" t="s">
        <v>1297</v>
      </c>
      <c r="AP257" t="s">
        <v>1298</v>
      </c>
      <c r="AQ257" t="s">
        <v>1299</v>
      </c>
      <c r="AR257" t="s">
        <v>84</v>
      </c>
      <c r="AS257">
        <v>30</v>
      </c>
      <c r="AT257">
        <v>0</v>
      </c>
      <c r="AU257">
        <v>0</v>
      </c>
      <c r="AV257">
        <v>45</v>
      </c>
      <c r="AW257">
        <v>0</v>
      </c>
      <c r="AX257">
        <v>0</v>
      </c>
      <c r="AY257">
        <v>0</v>
      </c>
      <c r="AZ257" t="s">
        <v>284</v>
      </c>
      <c r="BA257" t="s">
        <v>452</v>
      </c>
      <c r="BB257" t="s">
        <v>154</v>
      </c>
      <c r="BC257" t="s">
        <v>907</v>
      </c>
      <c r="BD257" t="s">
        <v>257</v>
      </c>
      <c r="BE257" t="s">
        <v>363</v>
      </c>
      <c r="BF257" t="s">
        <v>585</v>
      </c>
      <c r="BG257" t="s">
        <v>156</v>
      </c>
      <c r="BH257">
        <v>187</v>
      </c>
      <c r="BL257">
        <v>58</v>
      </c>
      <c r="BN257">
        <v>4</v>
      </c>
      <c r="BP257">
        <v>50</v>
      </c>
      <c r="BR257">
        <v>15</v>
      </c>
      <c r="BT257">
        <v>8</v>
      </c>
      <c r="BV257">
        <v>20</v>
      </c>
      <c r="BX257">
        <v>32</v>
      </c>
      <c r="BY257" t="s">
        <v>189</v>
      </c>
      <c r="BZ257">
        <v>4</v>
      </c>
      <c r="CA257">
        <v>60</v>
      </c>
      <c r="CB257" t="s">
        <v>84</v>
      </c>
      <c r="CC257" t="s">
        <v>84</v>
      </c>
      <c r="CD257" t="s">
        <v>778</v>
      </c>
      <c r="CE257" t="s">
        <v>4250</v>
      </c>
      <c r="CF257" t="s">
        <v>3923</v>
      </c>
      <c r="CG257" t="s">
        <v>907</v>
      </c>
      <c r="CH257">
        <v>10</v>
      </c>
      <c r="CI257" t="s">
        <v>84</v>
      </c>
      <c r="CJ257" t="s">
        <v>262</v>
      </c>
      <c r="CK257" t="s">
        <v>289</v>
      </c>
      <c r="CL257" t="s">
        <v>1300</v>
      </c>
      <c r="CM257" t="s">
        <v>193</v>
      </c>
      <c r="CN257" t="s">
        <v>3868</v>
      </c>
      <c r="CO257" t="s">
        <v>95</v>
      </c>
      <c r="CP257" t="s">
        <v>907</v>
      </c>
      <c r="CQ257" t="s">
        <v>116</v>
      </c>
      <c r="CR257" t="s">
        <v>84</v>
      </c>
      <c r="CS257" t="s">
        <v>117</v>
      </c>
      <c r="CT257" t="s">
        <v>163</v>
      </c>
      <c r="CU257" t="s">
        <v>3869</v>
      </c>
      <c r="CV257" t="s">
        <v>812</v>
      </c>
      <c r="CW257" t="s">
        <v>907</v>
      </c>
      <c r="CX257" t="s">
        <v>166</v>
      </c>
      <c r="CY257" t="s">
        <v>167</v>
      </c>
      <c r="CZ257" t="s">
        <v>1301</v>
      </c>
      <c r="DA257">
        <v>6</v>
      </c>
      <c r="DB257" s="10">
        <v>60000</v>
      </c>
      <c r="DC257" t="s">
        <v>169</v>
      </c>
      <c r="DD257" t="s">
        <v>907</v>
      </c>
      <c r="DE257">
        <v>2</v>
      </c>
      <c r="DF257">
        <v>12</v>
      </c>
      <c r="DG257" t="s">
        <v>84</v>
      </c>
      <c r="DH257" t="s">
        <v>95</v>
      </c>
      <c r="DI257" t="s">
        <v>907</v>
      </c>
      <c r="DJ257" t="s">
        <v>907</v>
      </c>
      <c r="DK257" t="s">
        <v>907</v>
      </c>
      <c r="DL257" t="s">
        <v>907</v>
      </c>
      <c r="DM257" t="s">
        <v>291</v>
      </c>
      <c r="DN257" t="s">
        <v>907</v>
      </c>
      <c r="DO257" t="s">
        <v>907</v>
      </c>
      <c r="DP257">
        <v>5</v>
      </c>
      <c r="DQ257" t="s">
        <v>202</v>
      </c>
      <c r="DR257" t="s">
        <v>907</v>
      </c>
      <c r="DS257" t="s">
        <v>1302</v>
      </c>
      <c r="DT257" t="s">
        <v>1303</v>
      </c>
      <c r="DU257" t="s">
        <v>84</v>
      </c>
      <c r="DV257" t="s">
        <v>1304</v>
      </c>
      <c r="DW257" t="s">
        <v>1305</v>
      </c>
      <c r="DX257" t="s">
        <v>95</v>
      </c>
      <c r="FQ257">
        <v>566012943</v>
      </c>
      <c r="FR257" t="s">
        <v>1306</v>
      </c>
      <c r="FS257" s="1">
        <v>45924.733958333331</v>
      </c>
      <c r="FV257" t="s">
        <v>134</v>
      </c>
      <c r="FW257" t="s">
        <v>135</v>
      </c>
      <c r="FX257" t="s">
        <v>136</v>
      </c>
      <c r="FZ257">
        <v>212</v>
      </c>
    </row>
    <row r="258" spans="1:182" ht="28.8" hidden="1" x14ac:dyDescent="0.3">
      <c r="A258" s="1">
        <v>45930.35863949074</v>
      </c>
      <c r="B258" s="1">
        <v>45931.372782881946</v>
      </c>
      <c r="D258" t="s">
        <v>84</v>
      </c>
      <c r="E258" t="s">
        <v>85</v>
      </c>
      <c r="F258" t="s">
        <v>3749</v>
      </c>
      <c r="G258" t="s">
        <v>176</v>
      </c>
      <c r="H258" t="s">
        <v>4122</v>
      </c>
      <c r="I258" t="s">
        <v>3750</v>
      </c>
      <c r="J258" t="s">
        <v>3751</v>
      </c>
      <c r="K258" t="s">
        <v>90</v>
      </c>
      <c r="L258" t="s">
        <v>4115</v>
      </c>
      <c r="M258" t="s">
        <v>3752</v>
      </c>
      <c r="N258" t="s">
        <v>3753</v>
      </c>
      <c r="O258">
        <v>-15.1811583</v>
      </c>
      <c r="P258">
        <v>22.838797700000001</v>
      </c>
      <c r="Q258">
        <v>1035.076904296875</v>
      </c>
      <c r="R258">
        <v>4.8479999999999999</v>
      </c>
      <c r="S258" t="s">
        <v>84</v>
      </c>
      <c r="T258" t="s">
        <v>182</v>
      </c>
      <c r="U258">
        <v>7</v>
      </c>
      <c r="V258" t="s">
        <v>212</v>
      </c>
      <c r="W258" t="s">
        <v>232</v>
      </c>
      <c r="X258">
        <v>20</v>
      </c>
      <c r="Y258">
        <v>25</v>
      </c>
      <c r="Z258">
        <v>4</v>
      </c>
      <c r="AA258" t="s">
        <v>96</v>
      </c>
      <c r="AB258" t="s">
        <v>97</v>
      </c>
      <c r="AC258" t="s">
        <v>98</v>
      </c>
      <c r="AD258" t="s">
        <v>99</v>
      </c>
      <c r="AE258" t="s">
        <v>100</v>
      </c>
      <c r="AF258" t="s">
        <v>907</v>
      </c>
      <c r="AG258">
        <v>0</v>
      </c>
      <c r="AH258" t="s">
        <v>147</v>
      </c>
      <c r="AI258" t="s">
        <v>907</v>
      </c>
      <c r="AJ258" s="5">
        <v>0</v>
      </c>
      <c r="AK258" t="s">
        <v>102</v>
      </c>
      <c r="AL258" t="s">
        <v>907</v>
      </c>
      <c r="AM258" t="s">
        <v>3754</v>
      </c>
      <c r="AN258" t="s">
        <v>907</v>
      </c>
      <c r="AO258" s="2" t="s">
        <v>3755</v>
      </c>
      <c r="AP258" t="s">
        <v>3756</v>
      </c>
      <c r="AQ258" t="s">
        <v>3757</v>
      </c>
      <c r="AR258" t="s">
        <v>84</v>
      </c>
      <c r="AS258">
        <v>15</v>
      </c>
      <c r="AT258">
        <v>0</v>
      </c>
      <c r="AU258">
        <v>0</v>
      </c>
      <c r="AV258">
        <v>23</v>
      </c>
      <c r="AW258">
        <v>0</v>
      </c>
      <c r="AX258">
        <v>0</v>
      </c>
      <c r="AY258">
        <v>0</v>
      </c>
      <c r="AZ258" t="s">
        <v>1003</v>
      </c>
      <c r="BA258" t="s">
        <v>95</v>
      </c>
      <c r="BB258" t="s">
        <v>232</v>
      </c>
      <c r="BC258" t="s">
        <v>95</v>
      </c>
      <c r="BD258" t="s">
        <v>107</v>
      </c>
      <c r="BE258" t="s">
        <v>810</v>
      </c>
      <c r="BF258" t="s">
        <v>309</v>
      </c>
      <c r="BG258" t="s">
        <v>235</v>
      </c>
      <c r="BH258">
        <v>260</v>
      </c>
      <c r="BY258" t="s">
        <v>189</v>
      </c>
      <c r="BZ258">
        <v>7</v>
      </c>
      <c r="CA258">
        <v>40</v>
      </c>
      <c r="CB258" t="s">
        <v>84</v>
      </c>
      <c r="CC258" t="s">
        <v>84</v>
      </c>
      <c r="CD258" t="s">
        <v>545</v>
      </c>
      <c r="CE258" t="s">
        <v>4250</v>
      </c>
      <c r="CF258" t="s">
        <v>3758</v>
      </c>
      <c r="CG258" t="s">
        <v>907</v>
      </c>
      <c r="CH258">
        <v>10</v>
      </c>
      <c r="CI258" t="s">
        <v>84</v>
      </c>
      <c r="CJ258" t="s">
        <v>262</v>
      </c>
      <c r="CK258" t="s">
        <v>289</v>
      </c>
      <c r="CL258" t="s">
        <v>4262</v>
      </c>
      <c r="CM258" t="s">
        <v>115</v>
      </c>
      <c r="CN258" t="s">
        <v>3993</v>
      </c>
      <c r="CO258" t="s">
        <v>95</v>
      </c>
      <c r="CP258" t="s">
        <v>907</v>
      </c>
      <c r="CQ258" t="s">
        <v>116</v>
      </c>
      <c r="CR258" t="s">
        <v>84</v>
      </c>
      <c r="CS258" t="s">
        <v>117</v>
      </c>
      <c r="CT258" t="s">
        <v>163</v>
      </c>
      <c r="CU258" t="s">
        <v>3869</v>
      </c>
      <c r="CV258" t="s">
        <v>119</v>
      </c>
      <c r="CW258" t="s">
        <v>240</v>
      </c>
      <c r="CX258" t="s">
        <v>166</v>
      </c>
      <c r="CY258" t="s">
        <v>549</v>
      </c>
      <c r="CZ258" t="s">
        <v>3759</v>
      </c>
      <c r="DA258">
        <v>10</v>
      </c>
      <c r="DB258" s="10">
        <v>80000</v>
      </c>
      <c r="DC258" t="s">
        <v>169</v>
      </c>
      <c r="DD258" t="s">
        <v>907</v>
      </c>
      <c r="DE258">
        <v>1</v>
      </c>
      <c r="DF258">
        <v>35</v>
      </c>
      <c r="DG258" t="s">
        <v>95</v>
      </c>
      <c r="DH258" t="s">
        <v>95</v>
      </c>
      <c r="DI258" t="s">
        <v>907</v>
      </c>
      <c r="DJ258" t="s">
        <v>907</v>
      </c>
      <c r="DK258" t="s">
        <v>907</v>
      </c>
      <c r="DL258" t="s">
        <v>907</v>
      </c>
      <c r="DM258" t="s">
        <v>125</v>
      </c>
      <c r="DN258" t="s">
        <v>170</v>
      </c>
      <c r="DO258" t="s">
        <v>2790</v>
      </c>
      <c r="DP258">
        <v>7</v>
      </c>
      <c r="DQ258" t="s">
        <v>128</v>
      </c>
      <c r="DR258" t="s">
        <v>907</v>
      </c>
      <c r="DS258" t="s">
        <v>3760</v>
      </c>
      <c r="DT258" t="s">
        <v>863</v>
      </c>
      <c r="DU258" t="s">
        <v>95</v>
      </c>
      <c r="DV258" t="s">
        <v>907</v>
      </c>
      <c r="DW258" t="s">
        <v>907</v>
      </c>
      <c r="DX258" t="s">
        <v>907</v>
      </c>
      <c r="FQ258">
        <v>570597356</v>
      </c>
      <c r="FR258" t="s">
        <v>3761</v>
      </c>
      <c r="FS258" s="1">
        <v>45931.289641203701</v>
      </c>
      <c r="FV258" t="s">
        <v>134</v>
      </c>
      <c r="FW258" t="s">
        <v>135</v>
      </c>
      <c r="FX258" t="s">
        <v>136</v>
      </c>
      <c r="FZ258">
        <v>639</v>
      </c>
    </row>
    <row r="259" spans="1:182" hidden="1" x14ac:dyDescent="0.3">
      <c r="A259" s="1">
        <v>45926.491300358794</v>
      </c>
      <c r="B259" s="1">
        <v>45926.503260266203</v>
      </c>
      <c r="D259" t="s">
        <v>84</v>
      </c>
      <c r="E259" t="s">
        <v>3878</v>
      </c>
      <c r="F259" t="s">
        <v>2909</v>
      </c>
      <c r="G259" t="s">
        <v>176</v>
      </c>
      <c r="H259" t="s">
        <v>4122</v>
      </c>
      <c r="I259" t="s">
        <v>2910</v>
      </c>
      <c r="J259" t="s">
        <v>2911</v>
      </c>
      <c r="K259" t="s">
        <v>90</v>
      </c>
      <c r="L259" t="s">
        <v>2867</v>
      </c>
      <c r="M259" t="s">
        <v>2868</v>
      </c>
      <c r="N259" t="s">
        <v>2912</v>
      </c>
      <c r="O259">
        <v>-15.214314</v>
      </c>
      <c r="P259">
        <v>22.934982900000001</v>
      </c>
      <c r="Q259">
        <v>1015.1</v>
      </c>
      <c r="R259">
        <v>4.5</v>
      </c>
      <c r="S259" t="s">
        <v>84</v>
      </c>
      <c r="T259" t="s">
        <v>94</v>
      </c>
      <c r="U259">
        <v>10</v>
      </c>
      <c r="V259" t="s">
        <v>95</v>
      </c>
      <c r="W259" t="s">
        <v>907</v>
      </c>
      <c r="X259">
        <v>23</v>
      </c>
      <c r="Y259">
        <v>3</v>
      </c>
      <c r="Z259">
        <v>3</v>
      </c>
      <c r="AA259" t="s">
        <v>504</v>
      </c>
      <c r="AB259" t="s">
        <v>351</v>
      </c>
      <c r="AC259" t="s">
        <v>98</v>
      </c>
      <c r="AD259" t="s">
        <v>280</v>
      </c>
      <c r="AE259" t="s">
        <v>101</v>
      </c>
      <c r="AF259" t="s">
        <v>907</v>
      </c>
      <c r="AG259">
        <v>5000</v>
      </c>
      <c r="AH259" t="s">
        <v>147</v>
      </c>
      <c r="AI259" t="s">
        <v>907</v>
      </c>
      <c r="AJ259" s="5">
        <v>1000</v>
      </c>
      <c r="AK259" t="s">
        <v>102</v>
      </c>
      <c r="AL259" t="s">
        <v>907</v>
      </c>
      <c r="AM259" t="s">
        <v>2913</v>
      </c>
      <c r="AN259" t="s">
        <v>907</v>
      </c>
      <c r="AO259" t="s">
        <v>2914</v>
      </c>
      <c r="AP259" t="s">
        <v>2915</v>
      </c>
      <c r="AQ259" t="s">
        <v>466</v>
      </c>
      <c r="AR259" t="s">
        <v>95</v>
      </c>
      <c r="AS259">
        <v>0</v>
      </c>
      <c r="AT259">
        <v>0</v>
      </c>
      <c r="AU259">
        <v>0</v>
      </c>
      <c r="AV259">
        <v>0</v>
      </c>
      <c r="AW259">
        <v>0</v>
      </c>
      <c r="AX259">
        <v>0</v>
      </c>
      <c r="AY259">
        <v>0</v>
      </c>
      <c r="AZ259" t="s">
        <v>284</v>
      </c>
      <c r="BA259" t="s">
        <v>95</v>
      </c>
      <c r="BB259" t="s">
        <v>308</v>
      </c>
      <c r="BC259" t="s">
        <v>907</v>
      </c>
      <c r="BD259" t="s">
        <v>107</v>
      </c>
      <c r="BE259" t="s">
        <v>363</v>
      </c>
      <c r="BF259" t="s">
        <v>2916</v>
      </c>
      <c r="BG259" t="s">
        <v>235</v>
      </c>
      <c r="BH259">
        <v>60</v>
      </c>
      <c r="BL259">
        <v>38</v>
      </c>
      <c r="BN259">
        <v>1</v>
      </c>
      <c r="BP259">
        <v>0</v>
      </c>
      <c r="BR259">
        <v>0</v>
      </c>
      <c r="BT259">
        <v>9</v>
      </c>
      <c r="BV259">
        <v>0</v>
      </c>
      <c r="BX259">
        <v>12</v>
      </c>
      <c r="BY259" t="s">
        <v>189</v>
      </c>
      <c r="BZ259">
        <v>1</v>
      </c>
      <c r="CA259">
        <v>40</v>
      </c>
      <c r="CB259" t="s">
        <v>84</v>
      </c>
      <c r="CC259" t="s">
        <v>95</v>
      </c>
      <c r="CD259" t="s">
        <v>978</v>
      </c>
      <c r="CE259" t="s">
        <v>4251</v>
      </c>
      <c r="CF259" t="s">
        <v>2917</v>
      </c>
      <c r="CG259" t="s">
        <v>907</v>
      </c>
      <c r="CH259">
        <v>10</v>
      </c>
      <c r="CI259" t="s">
        <v>95</v>
      </c>
      <c r="CJ259" t="s">
        <v>907</v>
      </c>
      <c r="CK259" t="s">
        <v>113</v>
      </c>
      <c r="CL259" t="s">
        <v>456</v>
      </c>
      <c r="CM259" t="s">
        <v>162</v>
      </c>
      <c r="CN259" t="s">
        <v>421</v>
      </c>
      <c r="CO259" t="s">
        <v>95</v>
      </c>
      <c r="CP259" t="s">
        <v>907</v>
      </c>
      <c r="CQ259" t="s">
        <v>116</v>
      </c>
      <c r="CR259" t="s">
        <v>95</v>
      </c>
      <c r="CS259" t="s">
        <v>907</v>
      </c>
      <c r="CT259" t="s">
        <v>907</v>
      </c>
      <c r="CU259" t="s">
        <v>907</v>
      </c>
      <c r="CV259" t="s">
        <v>812</v>
      </c>
      <c r="CW259" t="s">
        <v>495</v>
      </c>
      <c r="CX259" t="s">
        <v>166</v>
      </c>
      <c r="CY259" t="s">
        <v>167</v>
      </c>
      <c r="CZ259" t="s">
        <v>2906</v>
      </c>
      <c r="DA259">
        <v>1</v>
      </c>
      <c r="DB259" s="10">
        <v>8000</v>
      </c>
      <c r="DC259" t="s">
        <v>169</v>
      </c>
      <c r="DD259" t="s">
        <v>907</v>
      </c>
      <c r="DE259">
        <v>2</v>
      </c>
      <c r="DF259">
        <v>25</v>
      </c>
      <c r="DG259" t="s">
        <v>95</v>
      </c>
      <c r="DH259" t="s">
        <v>95</v>
      </c>
      <c r="DI259" t="s">
        <v>907</v>
      </c>
      <c r="DJ259" t="s">
        <v>907</v>
      </c>
      <c r="DK259" t="s">
        <v>907</v>
      </c>
      <c r="DL259" t="s">
        <v>907</v>
      </c>
      <c r="DM259" t="s">
        <v>291</v>
      </c>
      <c r="DN259" t="s">
        <v>907</v>
      </c>
      <c r="DO259" t="s">
        <v>907</v>
      </c>
      <c r="DP259">
        <v>2</v>
      </c>
      <c r="DQ259" t="s">
        <v>441</v>
      </c>
      <c r="DR259" t="s">
        <v>907</v>
      </c>
      <c r="DS259" t="s">
        <v>1204</v>
      </c>
      <c r="DT259" t="s">
        <v>552</v>
      </c>
      <c r="DU259" t="s">
        <v>95</v>
      </c>
      <c r="DV259" t="s">
        <v>907</v>
      </c>
      <c r="DW259" t="s">
        <v>907</v>
      </c>
      <c r="DX259" t="s">
        <v>907</v>
      </c>
      <c r="FQ259">
        <v>567443347</v>
      </c>
      <c r="FR259" t="s">
        <v>2918</v>
      </c>
      <c r="FS259" s="1">
        <v>45926.56821759259</v>
      </c>
      <c r="FV259" t="s">
        <v>134</v>
      </c>
      <c r="FW259" t="s">
        <v>135</v>
      </c>
      <c r="FX259" t="s">
        <v>136</v>
      </c>
      <c r="FZ259">
        <v>416</v>
      </c>
    </row>
    <row r="260" spans="1:182" x14ac:dyDescent="0.3">
      <c r="A260" s="1">
        <v>45925.416680717593</v>
      </c>
      <c r="B260" s="1">
        <v>45925.446419814813</v>
      </c>
      <c r="D260" t="s">
        <v>84</v>
      </c>
      <c r="E260" t="s">
        <v>1226</v>
      </c>
      <c r="F260" t="s">
        <v>2225</v>
      </c>
      <c r="G260" t="s">
        <v>176</v>
      </c>
      <c r="H260" t="s">
        <v>4122</v>
      </c>
      <c r="I260" t="s">
        <v>2226</v>
      </c>
      <c r="J260" t="s">
        <v>2227</v>
      </c>
      <c r="K260" t="s">
        <v>90</v>
      </c>
      <c r="L260" t="s">
        <v>2228</v>
      </c>
      <c r="M260" t="s">
        <v>2229</v>
      </c>
      <c r="N260" t="s">
        <v>2230</v>
      </c>
      <c r="O260">
        <v>-15.233498300000001</v>
      </c>
      <c r="P260">
        <v>22.9918133</v>
      </c>
      <c r="Q260">
        <v>1026.0999999999999</v>
      </c>
      <c r="R260">
        <v>4.8330000000000002</v>
      </c>
      <c r="S260" t="s">
        <v>84</v>
      </c>
      <c r="T260" t="s">
        <v>94</v>
      </c>
      <c r="U260">
        <v>5</v>
      </c>
      <c r="V260" t="s">
        <v>95</v>
      </c>
      <c r="W260" t="s">
        <v>907</v>
      </c>
      <c r="X260">
        <v>45</v>
      </c>
      <c r="Y260">
        <v>500</v>
      </c>
      <c r="Z260">
        <v>1</v>
      </c>
      <c r="AA260" t="s">
        <v>251</v>
      </c>
      <c r="AB260" t="s">
        <v>351</v>
      </c>
      <c r="AC260" t="s">
        <v>98</v>
      </c>
      <c r="AD260" t="s">
        <v>252</v>
      </c>
      <c r="AE260" t="s">
        <v>123</v>
      </c>
      <c r="AF260" t="s">
        <v>1232</v>
      </c>
      <c r="AG260">
        <v>1000</v>
      </c>
      <c r="AH260" t="s">
        <v>1373</v>
      </c>
      <c r="AI260" t="s">
        <v>907</v>
      </c>
      <c r="AJ260" s="5">
        <v>500</v>
      </c>
      <c r="AK260" t="s">
        <v>102</v>
      </c>
      <c r="AL260" t="s">
        <v>907</v>
      </c>
      <c r="AM260" t="s">
        <v>1760</v>
      </c>
      <c r="AN260" t="s">
        <v>907</v>
      </c>
      <c r="AO260" t="s">
        <v>2114</v>
      </c>
      <c r="AP260" t="s">
        <v>2231</v>
      </c>
      <c r="AQ260" t="s">
        <v>466</v>
      </c>
      <c r="AR260" t="s">
        <v>84</v>
      </c>
      <c r="AS260">
        <v>5</v>
      </c>
      <c r="AT260">
        <v>0</v>
      </c>
      <c r="AU260">
        <v>0</v>
      </c>
      <c r="AV260">
        <v>14</v>
      </c>
      <c r="AW260">
        <v>0</v>
      </c>
      <c r="AX260">
        <v>0</v>
      </c>
      <c r="AY260">
        <v>0</v>
      </c>
      <c r="AZ260" t="s">
        <v>284</v>
      </c>
      <c r="BA260" t="s">
        <v>452</v>
      </c>
      <c r="BB260" t="s">
        <v>3866</v>
      </c>
      <c r="BC260" t="s">
        <v>907</v>
      </c>
      <c r="BD260" t="s">
        <v>107</v>
      </c>
      <c r="BE260" t="s">
        <v>810</v>
      </c>
      <c r="BF260" t="s">
        <v>1588</v>
      </c>
      <c r="BG260" t="s">
        <v>235</v>
      </c>
      <c r="BH260">
        <v>68</v>
      </c>
      <c r="BL260">
        <v>29</v>
      </c>
      <c r="BN260">
        <v>2</v>
      </c>
      <c r="BP260">
        <v>15</v>
      </c>
      <c r="BR260">
        <v>6</v>
      </c>
      <c r="BT260">
        <v>0</v>
      </c>
      <c r="BV260">
        <v>6</v>
      </c>
      <c r="BX260">
        <v>10</v>
      </c>
      <c r="BY260" t="s">
        <v>110</v>
      </c>
      <c r="BZ260" t="s">
        <v>907</v>
      </c>
      <c r="CA260" t="s">
        <v>907</v>
      </c>
      <c r="CB260" t="s">
        <v>84</v>
      </c>
      <c r="CC260" t="s">
        <v>84</v>
      </c>
      <c r="CD260" t="s">
        <v>778</v>
      </c>
      <c r="CE260" t="s">
        <v>4250</v>
      </c>
      <c r="CF260" t="s">
        <v>2116</v>
      </c>
      <c r="CG260" t="s">
        <v>907</v>
      </c>
      <c r="CH260">
        <v>10</v>
      </c>
      <c r="CI260" t="s">
        <v>95</v>
      </c>
      <c r="CJ260" t="s">
        <v>907</v>
      </c>
      <c r="CK260" t="s">
        <v>289</v>
      </c>
      <c r="CL260" t="s">
        <v>367</v>
      </c>
      <c r="CM260" t="s">
        <v>193</v>
      </c>
      <c r="CN260" t="s">
        <v>3874</v>
      </c>
      <c r="CO260" t="s">
        <v>95</v>
      </c>
      <c r="CP260" t="s">
        <v>907</v>
      </c>
      <c r="CQ260" t="s">
        <v>116</v>
      </c>
      <c r="CR260" t="s">
        <v>84</v>
      </c>
      <c r="CS260" t="s">
        <v>117</v>
      </c>
      <c r="CT260" t="s">
        <v>118</v>
      </c>
      <c r="CU260" t="s">
        <v>3869</v>
      </c>
      <c r="CV260" t="s">
        <v>812</v>
      </c>
      <c r="CW260" t="s">
        <v>495</v>
      </c>
      <c r="CX260" t="s">
        <v>166</v>
      </c>
      <c r="CY260" t="s">
        <v>167</v>
      </c>
      <c r="CZ260" t="s">
        <v>2232</v>
      </c>
      <c r="DA260">
        <v>0</v>
      </c>
      <c r="DB260" s="10" t="s">
        <v>907</v>
      </c>
      <c r="DC260" t="s">
        <v>169</v>
      </c>
      <c r="DD260" t="s">
        <v>907</v>
      </c>
      <c r="DE260">
        <v>2</v>
      </c>
      <c r="DF260">
        <v>14</v>
      </c>
      <c r="DG260" t="s">
        <v>95</v>
      </c>
      <c r="DH260" t="s">
        <v>95</v>
      </c>
      <c r="DI260" t="s">
        <v>907</v>
      </c>
      <c r="DJ260" t="s">
        <v>907</v>
      </c>
      <c r="DK260" t="s">
        <v>907</v>
      </c>
      <c r="DL260" t="s">
        <v>907</v>
      </c>
      <c r="DM260" t="s">
        <v>291</v>
      </c>
      <c r="DN260" t="s">
        <v>907</v>
      </c>
      <c r="DO260" t="s">
        <v>907</v>
      </c>
      <c r="DP260">
        <v>1</v>
      </c>
      <c r="DQ260" t="s">
        <v>441</v>
      </c>
      <c r="DR260" t="s">
        <v>907</v>
      </c>
      <c r="DS260" t="s">
        <v>1362</v>
      </c>
      <c r="DT260" t="s">
        <v>1288</v>
      </c>
      <c r="DU260" t="s">
        <v>84</v>
      </c>
      <c r="DV260" t="s">
        <v>796</v>
      </c>
      <c r="DW260" t="s">
        <v>1305</v>
      </c>
      <c r="DX260" t="s">
        <v>95</v>
      </c>
      <c r="FQ260">
        <v>566875347</v>
      </c>
      <c r="FR260" t="s">
        <v>2233</v>
      </c>
      <c r="FS260" s="1">
        <v>45925.743761574071</v>
      </c>
      <c r="FV260" t="s">
        <v>134</v>
      </c>
      <c r="FW260" t="s">
        <v>135</v>
      </c>
      <c r="FX260" t="s">
        <v>136</v>
      </c>
      <c r="FZ260">
        <v>316</v>
      </c>
    </row>
    <row r="261" spans="1:182" hidden="1" x14ac:dyDescent="0.3">
      <c r="A261" s="1">
        <v>45929.443471250001</v>
      </c>
      <c r="B261" s="1">
        <v>45929.460974965281</v>
      </c>
      <c r="D261" t="s">
        <v>84</v>
      </c>
      <c r="E261" t="s">
        <v>297</v>
      </c>
      <c r="F261" t="s">
        <v>3341</v>
      </c>
      <c r="G261" t="s">
        <v>176</v>
      </c>
      <c r="H261" t="s">
        <v>4122</v>
      </c>
      <c r="I261">
        <v>0</v>
      </c>
      <c r="J261" t="s">
        <v>3342</v>
      </c>
      <c r="K261" t="s">
        <v>90</v>
      </c>
      <c r="L261" t="s">
        <v>3343</v>
      </c>
      <c r="M261" t="s">
        <v>277</v>
      </c>
      <c r="N261" t="s">
        <v>3344</v>
      </c>
      <c r="O261">
        <v>-15.351246</v>
      </c>
      <c r="P261">
        <v>23.0684665</v>
      </c>
      <c r="Q261">
        <v>1027.505737304688</v>
      </c>
      <c r="R261">
        <v>4.7389999999999999</v>
      </c>
      <c r="S261" t="s">
        <v>84</v>
      </c>
      <c r="T261" t="s">
        <v>94</v>
      </c>
      <c r="U261">
        <v>4</v>
      </c>
      <c r="V261" t="s">
        <v>95</v>
      </c>
      <c r="W261" t="s">
        <v>907</v>
      </c>
      <c r="X261">
        <v>20</v>
      </c>
      <c r="Y261">
        <v>4</v>
      </c>
      <c r="Z261">
        <v>4</v>
      </c>
      <c r="AA261" t="s">
        <v>504</v>
      </c>
      <c r="AB261" t="s">
        <v>351</v>
      </c>
      <c r="AC261" t="s">
        <v>98</v>
      </c>
      <c r="AD261" t="s">
        <v>145</v>
      </c>
      <c r="AE261" t="s">
        <v>100</v>
      </c>
      <c r="AF261" t="s">
        <v>907</v>
      </c>
      <c r="AG261">
        <v>3000</v>
      </c>
      <c r="AH261" t="s">
        <v>304</v>
      </c>
      <c r="AI261" t="s">
        <v>907</v>
      </c>
      <c r="AJ261" s="5">
        <v>7000</v>
      </c>
      <c r="AK261" t="s">
        <v>102</v>
      </c>
      <c r="AL261" t="s">
        <v>907</v>
      </c>
      <c r="AM261" t="s">
        <v>4130</v>
      </c>
      <c r="AN261" t="s">
        <v>907</v>
      </c>
      <c r="AQ261" t="s">
        <v>3345</v>
      </c>
      <c r="AR261" t="s">
        <v>95</v>
      </c>
      <c r="AS261">
        <v>0</v>
      </c>
      <c r="AT261">
        <v>0</v>
      </c>
      <c r="AU261">
        <v>0</v>
      </c>
      <c r="AV261">
        <v>0</v>
      </c>
      <c r="AW261">
        <v>0</v>
      </c>
      <c r="AX261">
        <v>0</v>
      </c>
      <c r="AY261">
        <v>0</v>
      </c>
      <c r="AZ261" t="s">
        <v>256</v>
      </c>
      <c r="BA261" t="s">
        <v>95</v>
      </c>
      <c r="BB261" t="s">
        <v>3866</v>
      </c>
      <c r="BC261" t="s">
        <v>907</v>
      </c>
      <c r="BD261" t="s">
        <v>107</v>
      </c>
      <c r="BE261" t="s">
        <v>810</v>
      </c>
      <c r="BF261" t="s">
        <v>4079</v>
      </c>
      <c r="BG261" t="s">
        <v>235</v>
      </c>
      <c r="BH261">
        <v>47</v>
      </c>
      <c r="BL261">
        <v>28</v>
      </c>
      <c r="BN261">
        <v>2</v>
      </c>
      <c r="BP261">
        <v>2</v>
      </c>
      <c r="BR261">
        <v>3</v>
      </c>
      <c r="BT261">
        <v>4</v>
      </c>
      <c r="BV261">
        <v>3</v>
      </c>
      <c r="BX261">
        <v>7</v>
      </c>
      <c r="BY261" t="s">
        <v>189</v>
      </c>
      <c r="BZ261">
        <v>1</v>
      </c>
      <c r="CA261">
        <v>26</v>
      </c>
      <c r="CB261" t="s">
        <v>84</v>
      </c>
      <c r="CC261" t="s">
        <v>84</v>
      </c>
      <c r="CD261" t="s">
        <v>334</v>
      </c>
      <c r="CE261" t="s">
        <v>4250</v>
      </c>
      <c r="CF261" t="s">
        <v>3346</v>
      </c>
      <c r="CG261" t="s">
        <v>907</v>
      </c>
      <c r="CH261">
        <v>11</v>
      </c>
      <c r="CI261" t="s">
        <v>84</v>
      </c>
      <c r="CJ261" t="s">
        <v>262</v>
      </c>
      <c r="CK261" t="s">
        <v>289</v>
      </c>
      <c r="CL261" t="s">
        <v>456</v>
      </c>
      <c r="CM261" t="s">
        <v>193</v>
      </c>
      <c r="CN261" t="s">
        <v>421</v>
      </c>
      <c r="CO261" t="s">
        <v>95</v>
      </c>
      <c r="CP261" t="s">
        <v>907</v>
      </c>
      <c r="CQ261" t="s">
        <v>116</v>
      </c>
      <c r="CR261" t="s">
        <v>84</v>
      </c>
      <c r="CS261" t="s">
        <v>117</v>
      </c>
      <c r="CT261" t="s">
        <v>907</v>
      </c>
      <c r="CU261" t="s">
        <v>3869</v>
      </c>
      <c r="CV261" t="s">
        <v>812</v>
      </c>
      <c r="CW261" t="s">
        <v>51</v>
      </c>
      <c r="CX261" t="s">
        <v>166</v>
      </c>
      <c r="CY261" t="s">
        <v>167</v>
      </c>
      <c r="CZ261" t="s">
        <v>530</v>
      </c>
      <c r="DA261">
        <v>0</v>
      </c>
      <c r="DB261" s="10">
        <v>0</v>
      </c>
      <c r="DC261" t="s">
        <v>123</v>
      </c>
      <c r="DD261" t="s">
        <v>3347</v>
      </c>
      <c r="DE261">
        <v>2</v>
      </c>
      <c r="DF261">
        <v>20</v>
      </c>
      <c r="DG261" t="s">
        <v>95</v>
      </c>
      <c r="DH261" t="s">
        <v>95</v>
      </c>
      <c r="DI261" t="s">
        <v>907</v>
      </c>
      <c r="DJ261" t="s">
        <v>907</v>
      </c>
      <c r="DK261" t="s">
        <v>907</v>
      </c>
      <c r="DL261" t="s">
        <v>907</v>
      </c>
      <c r="DM261" t="s">
        <v>291</v>
      </c>
      <c r="DN261" t="s">
        <v>907</v>
      </c>
      <c r="DO261" t="s">
        <v>907</v>
      </c>
      <c r="DP261">
        <v>40</v>
      </c>
      <c r="DQ261" t="s">
        <v>441</v>
      </c>
      <c r="DR261" t="s">
        <v>907</v>
      </c>
      <c r="DS261" t="s">
        <v>1330</v>
      </c>
      <c r="DT261" t="s">
        <v>1437</v>
      </c>
      <c r="DU261" t="s">
        <v>95</v>
      </c>
      <c r="DV261" t="s">
        <v>907</v>
      </c>
      <c r="DW261" t="s">
        <v>907</v>
      </c>
      <c r="DX261" t="s">
        <v>907</v>
      </c>
      <c r="FQ261">
        <v>569761188</v>
      </c>
      <c r="FR261" t="s">
        <v>3348</v>
      </c>
      <c r="FS261" s="1">
        <v>45930.229074074072</v>
      </c>
      <c r="FV261" t="s">
        <v>134</v>
      </c>
      <c r="FW261" t="s">
        <v>135</v>
      </c>
      <c r="FX261" t="s">
        <v>136</v>
      </c>
      <c r="FZ261">
        <v>534</v>
      </c>
    </row>
    <row r="262" spans="1:182" x14ac:dyDescent="0.3">
      <c r="A262" s="1">
        <v>45924.4703390625</v>
      </c>
      <c r="B262" s="1">
        <v>45924.481523969909</v>
      </c>
      <c r="D262" t="s">
        <v>84</v>
      </c>
      <c r="E262" t="s">
        <v>535</v>
      </c>
      <c r="F262" t="s">
        <v>667</v>
      </c>
      <c r="G262" t="s">
        <v>87</v>
      </c>
      <c r="H262" t="s">
        <v>4121</v>
      </c>
      <c r="I262" t="s">
        <v>668</v>
      </c>
      <c r="J262" t="s">
        <v>669</v>
      </c>
      <c r="K262" t="s">
        <v>90</v>
      </c>
      <c r="L262" t="s">
        <v>670</v>
      </c>
      <c r="M262" t="s">
        <v>671</v>
      </c>
      <c r="N262" t="s">
        <v>672</v>
      </c>
      <c r="O262">
        <v>-15.3456721</v>
      </c>
      <c r="P262">
        <v>23.128833799999999</v>
      </c>
      <c r="Q262">
        <v>1023.58740234375</v>
      </c>
      <c r="R262">
        <v>3.8069999999999999</v>
      </c>
      <c r="S262" t="s">
        <v>84</v>
      </c>
      <c r="T262" t="s">
        <v>94</v>
      </c>
      <c r="U262">
        <v>7</v>
      </c>
      <c r="V262" t="s">
        <v>302</v>
      </c>
      <c r="W262" t="s">
        <v>213</v>
      </c>
      <c r="X262">
        <v>15</v>
      </c>
      <c r="Y262">
        <v>30</v>
      </c>
      <c r="Z262">
        <v>5</v>
      </c>
      <c r="AA262" t="s">
        <v>96</v>
      </c>
      <c r="AB262" t="s">
        <v>143</v>
      </c>
      <c r="AC262" t="s">
        <v>144</v>
      </c>
      <c r="AD262" t="s">
        <v>145</v>
      </c>
      <c r="AE262" t="s">
        <v>146</v>
      </c>
      <c r="AF262" t="s">
        <v>907</v>
      </c>
      <c r="AG262" s="3">
        <v>6000</v>
      </c>
      <c r="AH262" t="s">
        <v>673</v>
      </c>
      <c r="AI262" t="s">
        <v>907</v>
      </c>
      <c r="AJ262" s="5">
        <v>17000</v>
      </c>
      <c r="AK262" t="s">
        <v>102</v>
      </c>
      <c r="AL262" t="s">
        <v>907</v>
      </c>
      <c r="AM262" t="s">
        <v>253</v>
      </c>
      <c r="AN262" t="s">
        <v>907</v>
      </c>
      <c r="AO262">
        <v>0</v>
      </c>
      <c r="AP262" t="s">
        <v>674</v>
      </c>
      <c r="AQ262" t="s">
        <v>253</v>
      </c>
      <c r="AR262" t="s">
        <v>95</v>
      </c>
      <c r="AS262">
        <v>0</v>
      </c>
      <c r="AT262">
        <v>0</v>
      </c>
      <c r="AU262">
        <v>0</v>
      </c>
      <c r="AV262">
        <v>0</v>
      </c>
      <c r="AW262">
        <v>98</v>
      </c>
      <c r="AX262">
        <v>0</v>
      </c>
      <c r="AY262">
        <v>0</v>
      </c>
      <c r="AZ262" t="s">
        <v>106</v>
      </c>
      <c r="BA262" t="s">
        <v>95</v>
      </c>
      <c r="BB262" t="s">
        <v>154</v>
      </c>
      <c r="BC262" t="s">
        <v>907</v>
      </c>
      <c r="BD262" t="s">
        <v>107</v>
      </c>
      <c r="BE262" t="s">
        <v>108</v>
      </c>
      <c r="BF262" t="s">
        <v>675</v>
      </c>
      <c r="BG262" t="s">
        <v>235</v>
      </c>
      <c r="BH262">
        <v>28</v>
      </c>
      <c r="BL262">
        <v>16</v>
      </c>
      <c r="BN262">
        <v>3</v>
      </c>
      <c r="BP262">
        <v>3</v>
      </c>
      <c r="BX262">
        <v>5</v>
      </c>
      <c r="BY262" t="s">
        <v>189</v>
      </c>
      <c r="BZ262">
        <v>2</v>
      </c>
      <c r="CA262">
        <v>13</v>
      </c>
      <c r="CB262" t="s">
        <v>84</v>
      </c>
      <c r="CC262" t="s">
        <v>84</v>
      </c>
      <c r="CD262" t="s">
        <v>676</v>
      </c>
      <c r="CE262" t="s">
        <v>4250</v>
      </c>
      <c r="CF262" t="s">
        <v>677</v>
      </c>
      <c r="CG262" t="s">
        <v>907</v>
      </c>
      <c r="CH262">
        <v>5</v>
      </c>
      <c r="CI262" t="s">
        <v>84</v>
      </c>
      <c r="CJ262" t="s">
        <v>160</v>
      </c>
      <c r="CK262" t="s">
        <v>289</v>
      </c>
      <c r="CL262" t="s">
        <v>678</v>
      </c>
      <c r="CM262" t="s">
        <v>115</v>
      </c>
      <c r="CN262" t="s">
        <v>3893</v>
      </c>
      <c r="CO262" t="s">
        <v>95</v>
      </c>
      <c r="CP262" t="s">
        <v>907</v>
      </c>
      <c r="CQ262" t="s">
        <v>116</v>
      </c>
      <c r="CR262" t="s">
        <v>84</v>
      </c>
      <c r="CS262" t="s">
        <v>117</v>
      </c>
      <c r="CT262" t="s">
        <v>907</v>
      </c>
      <c r="CU262" t="s">
        <v>3869</v>
      </c>
      <c r="CV262" t="s">
        <v>119</v>
      </c>
      <c r="CW262" t="s">
        <v>679</v>
      </c>
      <c r="CX262" t="s">
        <v>119</v>
      </c>
      <c r="CY262" t="s">
        <v>121</v>
      </c>
      <c r="CZ262" t="s">
        <v>265</v>
      </c>
      <c r="DA262">
        <v>4</v>
      </c>
      <c r="DB262" s="10">
        <v>16000</v>
      </c>
      <c r="DC262" t="s">
        <v>169</v>
      </c>
      <c r="DD262" t="s">
        <v>907</v>
      </c>
      <c r="DE262">
        <v>3</v>
      </c>
      <c r="DF262">
        <v>15</v>
      </c>
      <c r="DG262" t="s">
        <v>95</v>
      </c>
      <c r="DH262" t="s">
        <v>95</v>
      </c>
      <c r="DI262" t="s">
        <v>907</v>
      </c>
      <c r="DJ262" t="s">
        <v>907</v>
      </c>
      <c r="DK262" t="s">
        <v>907</v>
      </c>
      <c r="DL262" t="s">
        <v>907</v>
      </c>
      <c r="DM262" t="s">
        <v>125</v>
      </c>
      <c r="DN262" t="s">
        <v>170</v>
      </c>
      <c r="DO262" t="s">
        <v>680</v>
      </c>
      <c r="DP262">
        <v>5</v>
      </c>
      <c r="DQ262" t="s">
        <v>128</v>
      </c>
      <c r="DR262" t="s">
        <v>907</v>
      </c>
      <c r="DS262" t="s">
        <v>551</v>
      </c>
      <c r="DT262" t="s">
        <v>650</v>
      </c>
      <c r="DU262" t="s">
        <v>84</v>
      </c>
      <c r="DV262" t="s">
        <v>225</v>
      </c>
      <c r="DW262" t="s">
        <v>533</v>
      </c>
      <c r="DX262" t="s">
        <v>95</v>
      </c>
      <c r="FQ262">
        <v>565908980</v>
      </c>
      <c r="FR262" t="s">
        <v>681</v>
      </c>
      <c r="FS262" s="1">
        <v>45924.644826388889</v>
      </c>
      <c r="FV262" t="s">
        <v>134</v>
      </c>
      <c r="FW262" t="s">
        <v>135</v>
      </c>
      <c r="FX262" t="s">
        <v>136</v>
      </c>
      <c r="FZ262">
        <v>157</v>
      </c>
    </row>
    <row r="263" spans="1:182" hidden="1" x14ac:dyDescent="0.3">
      <c r="A263" s="1">
        <v>45929.510346828712</v>
      </c>
      <c r="B263" s="1">
        <v>45929.530134421293</v>
      </c>
      <c r="D263" t="s">
        <v>84</v>
      </c>
      <c r="E263" t="s">
        <v>1878</v>
      </c>
      <c r="F263" t="s">
        <v>3160</v>
      </c>
      <c r="G263" t="s">
        <v>176</v>
      </c>
      <c r="H263" t="s">
        <v>4122</v>
      </c>
      <c r="I263" t="s">
        <v>3161</v>
      </c>
      <c r="J263" t="s">
        <v>3162</v>
      </c>
      <c r="K263" t="s">
        <v>90</v>
      </c>
      <c r="L263" t="s">
        <v>4057</v>
      </c>
      <c r="M263" t="s">
        <v>3163</v>
      </c>
      <c r="N263" t="s">
        <v>3164</v>
      </c>
      <c r="O263">
        <v>-15.3959364</v>
      </c>
      <c r="P263">
        <v>23.040674599999999</v>
      </c>
      <c r="Q263">
        <v>1003.2</v>
      </c>
      <c r="R263">
        <v>4.4660000000000002</v>
      </c>
      <c r="S263" t="s">
        <v>84</v>
      </c>
      <c r="T263" t="s">
        <v>182</v>
      </c>
      <c r="U263">
        <v>2</v>
      </c>
      <c r="V263" t="s">
        <v>95</v>
      </c>
      <c r="W263" t="s">
        <v>907</v>
      </c>
      <c r="X263">
        <v>26</v>
      </c>
      <c r="Y263">
        <v>10</v>
      </c>
      <c r="Z263">
        <v>2</v>
      </c>
      <c r="AA263" t="s">
        <v>96</v>
      </c>
      <c r="AB263" t="s">
        <v>351</v>
      </c>
      <c r="AC263" t="s">
        <v>98</v>
      </c>
      <c r="AD263" t="s">
        <v>280</v>
      </c>
      <c r="AE263" t="s">
        <v>304</v>
      </c>
      <c r="AF263" t="s">
        <v>907</v>
      </c>
      <c r="AG263">
        <v>32000</v>
      </c>
      <c r="AH263" t="s">
        <v>966</v>
      </c>
      <c r="AI263" t="s">
        <v>907</v>
      </c>
      <c r="AJ263" s="5">
        <v>830</v>
      </c>
      <c r="AK263" t="s">
        <v>505</v>
      </c>
      <c r="AL263" t="s">
        <v>907</v>
      </c>
      <c r="AM263" t="s">
        <v>4130</v>
      </c>
      <c r="AN263" t="s">
        <v>907</v>
      </c>
      <c r="AQ263" t="s">
        <v>3165</v>
      </c>
      <c r="AR263" t="s">
        <v>84</v>
      </c>
      <c r="AS263">
        <v>0</v>
      </c>
      <c r="AT263">
        <v>0</v>
      </c>
      <c r="AU263">
        <v>0</v>
      </c>
      <c r="AV263">
        <v>0</v>
      </c>
      <c r="AW263">
        <v>0</v>
      </c>
      <c r="AX263">
        <v>0</v>
      </c>
      <c r="AY263">
        <v>0</v>
      </c>
      <c r="AZ263" t="s">
        <v>106</v>
      </c>
      <c r="BA263" t="s">
        <v>452</v>
      </c>
      <c r="BB263" t="s">
        <v>308</v>
      </c>
      <c r="BC263" t="s">
        <v>907</v>
      </c>
      <c r="BD263" t="s">
        <v>107</v>
      </c>
      <c r="BE263" t="s">
        <v>363</v>
      </c>
      <c r="BF263" t="s">
        <v>1588</v>
      </c>
      <c r="BG263" t="s">
        <v>526</v>
      </c>
      <c r="BH263">
        <v>52</v>
      </c>
      <c r="BL263">
        <v>52</v>
      </c>
      <c r="BN263">
        <v>2</v>
      </c>
      <c r="BP263">
        <v>16</v>
      </c>
      <c r="BT263">
        <v>2</v>
      </c>
      <c r="BV263">
        <v>0</v>
      </c>
      <c r="BX263">
        <v>16</v>
      </c>
      <c r="BY263" t="s">
        <v>189</v>
      </c>
      <c r="BZ263">
        <v>2</v>
      </c>
      <c r="CA263">
        <v>24</v>
      </c>
      <c r="CB263" t="s">
        <v>84</v>
      </c>
      <c r="CC263" t="s">
        <v>84</v>
      </c>
      <c r="CD263" t="s">
        <v>3166</v>
      </c>
      <c r="CE263" t="s">
        <v>4249</v>
      </c>
      <c r="CF263" t="s">
        <v>4058</v>
      </c>
      <c r="CG263" t="s">
        <v>907</v>
      </c>
      <c r="CH263">
        <v>11</v>
      </c>
      <c r="CI263" t="s">
        <v>95</v>
      </c>
      <c r="CJ263" t="s">
        <v>907</v>
      </c>
      <c r="CK263" t="s">
        <v>289</v>
      </c>
      <c r="CL263" t="s">
        <v>4262</v>
      </c>
      <c r="CM263" t="s">
        <v>193</v>
      </c>
      <c r="CN263" t="s">
        <v>3874</v>
      </c>
      <c r="CO263" t="s">
        <v>95</v>
      </c>
      <c r="CP263" t="s">
        <v>907</v>
      </c>
      <c r="CQ263" t="s">
        <v>116</v>
      </c>
      <c r="CR263" t="s">
        <v>84</v>
      </c>
      <c r="CS263" t="s">
        <v>117</v>
      </c>
      <c r="CT263" t="s">
        <v>907</v>
      </c>
      <c r="CU263" t="s">
        <v>438</v>
      </c>
      <c r="CV263" t="s">
        <v>812</v>
      </c>
      <c r="CW263" t="s">
        <v>907</v>
      </c>
      <c r="CX263" t="s">
        <v>166</v>
      </c>
      <c r="CY263" t="s">
        <v>167</v>
      </c>
      <c r="CZ263" t="s">
        <v>3167</v>
      </c>
      <c r="DA263">
        <v>10</v>
      </c>
      <c r="DB263" s="10">
        <v>32000</v>
      </c>
      <c r="DC263" t="s">
        <v>169</v>
      </c>
      <c r="DD263" t="s">
        <v>907</v>
      </c>
      <c r="DE263">
        <v>1</v>
      </c>
      <c r="DF263">
        <v>17</v>
      </c>
      <c r="DG263" t="s">
        <v>95</v>
      </c>
      <c r="DH263" t="s">
        <v>95</v>
      </c>
      <c r="DI263" t="s">
        <v>907</v>
      </c>
      <c r="DJ263" t="s">
        <v>907</v>
      </c>
      <c r="DK263" t="s">
        <v>907</v>
      </c>
      <c r="DL263" t="s">
        <v>907</v>
      </c>
      <c r="DM263" t="s">
        <v>291</v>
      </c>
      <c r="DN263" t="s">
        <v>907</v>
      </c>
      <c r="DO263" t="s">
        <v>907</v>
      </c>
      <c r="DP263">
        <v>2</v>
      </c>
      <c r="DQ263" t="s">
        <v>128</v>
      </c>
      <c r="DR263" t="s">
        <v>907</v>
      </c>
      <c r="DS263" t="s">
        <v>3168</v>
      </c>
      <c r="DT263" t="s">
        <v>3169</v>
      </c>
      <c r="DU263" t="s">
        <v>84</v>
      </c>
      <c r="DV263" t="s">
        <v>294</v>
      </c>
      <c r="DW263" t="s">
        <v>132</v>
      </c>
      <c r="DX263" t="s">
        <v>95</v>
      </c>
      <c r="FQ263">
        <v>569368913</v>
      </c>
      <c r="FR263" t="s">
        <v>3170</v>
      </c>
      <c r="FS263" s="1">
        <v>45929.596446759257</v>
      </c>
      <c r="FV263" t="s">
        <v>134</v>
      </c>
      <c r="FW263" t="s">
        <v>135</v>
      </c>
      <c r="FX263" t="s">
        <v>136</v>
      </c>
      <c r="FZ263">
        <v>484</v>
      </c>
    </row>
    <row r="264" spans="1:182" hidden="1" x14ac:dyDescent="0.3">
      <c r="A264" s="1">
        <v>45924.421129456023</v>
      </c>
      <c r="B264" s="1">
        <v>45924.451081944448</v>
      </c>
      <c r="D264" t="s">
        <v>84</v>
      </c>
      <c r="E264" t="s">
        <v>497</v>
      </c>
      <c r="F264" t="s">
        <v>783</v>
      </c>
      <c r="G264" t="s">
        <v>176</v>
      </c>
      <c r="H264" t="s">
        <v>4121</v>
      </c>
      <c r="I264" t="s">
        <v>784</v>
      </c>
      <c r="J264" t="s">
        <v>785</v>
      </c>
      <c r="K264" t="s">
        <v>90</v>
      </c>
      <c r="L264" t="s">
        <v>786</v>
      </c>
      <c r="M264" t="s">
        <v>787</v>
      </c>
      <c r="N264" t="s">
        <v>788</v>
      </c>
      <c r="O264">
        <v>-15.293581400000001</v>
      </c>
      <c r="P264">
        <v>23.0335869</v>
      </c>
      <c r="Q264">
        <v>1024.510498046875</v>
      </c>
      <c r="R264">
        <v>4.931</v>
      </c>
      <c r="S264" t="s">
        <v>84</v>
      </c>
      <c r="T264" t="s">
        <v>182</v>
      </c>
      <c r="U264">
        <v>4</v>
      </c>
      <c r="V264" t="s">
        <v>95</v>
      </c>
      <c r="W264" t="s">
        <v>907</v>
      </c>
      <c r="X264">
        <v>7</v>
      </c>
      <c r="Y264">
        <v>3</v>
      </c>
      <c r="Z264">
        <v>1</v>
      </c>
      <c r="AA264" t="s">
        <v>504</v>
      </c>
      <c r="AB264" t="s">
        <v>351</v>
      </c>
      <c r="AC264" t="s">
        <v>98</v>
      </c>
      <c r="AD264" t="s">
        <v>99</v>
      </c>
      <c r="AE264" t="s">
        <v>101</v>
      </c>
      <c r="AF264" t="s">
        <v>907</v>
      </c>
      <c r="AG264">
        <v>1000</v>
      </c>
      <c r="AH264" t="s">
        <v>304</v>
      </c>
      <c r="AI264" t="s">
        <v>907</v>
      </c>
      <c r="AJ264" s="5">
        <v>160</v>
      </c>
      <c r="AK264" t="s">
        <v>789</v>
      </c>
      <c r="AL264" t="s">
        <v>907</v>
      </c>
      <c r="AM264" t="s">
        <v>907</v>
      </c>
      <c r="AN264" t="s">
        <v>907</v>
      </c>
      <c r="AQ264" t="s">
        <v>907</v>
      </c>
      <c r="AR264" t="s">
        <v>907</v>
      </c>
      <c r="AS264">
        <v>0</v>
      </c>
      <c r="AT264">
        <v>0</v>
      </c>
      <c r="AU264">
        <v>0</v>
      </c>
      <c r="AV264">
        <v>0</v>
      </c>
      <c r="AW264">
        <v>0</v>
      </c>
      <c r="AX264">
        <v>0</v>
      </c>
      <c r="AY264">
        <v>0</v>
      </c>
      <c r="AZ264" t="s">
        <v>106</v>
      </c>
      <c r="BA264" t="s">
        <v>907</v>
      </c>
      <c r="BB264" t="s">
        <v>232</v>
      </c>
      <c r="BC264" t="s">
        <v>95</v>
      </c>
      <c r="BD264" t="s">
        <v>907</v>
      </c>
      <c r="BE264" t="s">
        <v>907</v>
      </c>
      <c r="BF264" t="s">
        <v>907</v>
      </c>
      <c r="BG264" t="s">
        <v>790</v>
      </c>
      <c r="BH264">
        <v>67</v>
      </c>
      <c r="BL264">
        <v>20</v>
      </c>
      <c r="BN264">
        <v>4</v>
      </c>
      <c r="BP264">
        <v>8</v>
      </c>
      <c r="BT264">
        <v>6</v>
      </c>
      <c r="BV264">
        <v>6</v>
      </c>
      <c r="BX264">
        <v>23</v>
      </c>
      <c r="BY264" t="s">
        <v>189</v>
      </c>
      <c r="BZ264">
        <v>8</v>
      </c>
      <c r="CA264">
        <v>5</v>
      </c>
      <c r="CB264" t="s">
        <v>84</v>
      </c>
      <c r="CC264" t="s">
        <v>84</v>
      </c>
      <c r="CD264" t="s">
        <v>791</v>
      </c>
      <c r="CE264" t="s">
        <v>4252</v>
      </c>
      <c r="CF264" t="s">
        <v>792</v>
      </c>
      <c r="CG264" t="s">
        <v>907</v>
      </c>
      <c r="CH264">
        <v>12</v>
      </c>
      <c r="CI264" t="s">
        <v>84</v>
      </c>
      <c r="CJ264" t="s">
        <v>405</v>
      </c>
      <c r="CK264" t="s">
        <v>289</v>
      </c>
      <c r="CL264" t="s">
        <v>263</v>
      </c>
      <c r="CM264" t="s">
        <v>193</v>
      </c>
      <c r="CN264" t="s">
        <v>3874</v>
      </c>
      <c r="CO264" t="s">
        <v>95</v>
      </c>
      <c r="CP264" t="s">
        <v>907</v>
      </c>
      <c r="CQ264" t="s">
        <v>116</v>
      </c>
      <c r="CR264" t="s">
        <v>84</v>
      </c>
      <c r="CS264" t="s">
        <v>117</v>
      </c>
      <c r="CT264" t="s">
        <v>163</v>
      </c>
      <c r="CU264" t="s">
        <v>793</v>
      </c>
      <c r="CV264" t="s">
        <v>907</v>
      </c>
      <c r="CW264" t="s">
        <v>907</v>
      </c>
      <c r="CX264" t="s">
        <v>166</v>
      </c>
      <c r="CY264" t="s">
        <v>167</v>
      </c>
      <c r="CZ264" t="s">
        <v>794</v>
      </c>
      <c r="DA264">
        <v>0</v>
      </c>
      <c r="DB264" s="10">
        <v>0</v>
      </c>
      <c r="DC264" t="s">
        <v>795</v>
      </c>
      <c r="DD264" t="s">
        <v>907</v>
      </c>
      <c r="DE264">
        <v>1</v>
      </c>
      <c r="DF264">
        <v>10</v>
      </c>
      <c r="DG264" t="s">
        <v>95</v>
      </c>
      <c r="DH264" t="s">
        <v>95</v>
      </c>
      <c r="DI264" t="s">
        <v>907</v>
      </c>
      <c r="DJ264" t="s">
        <v>907</v>
      </c>
      <c r="DK264" t="s">
        <v>907</v>
      </c>
      <c r="DL264" t="s">
        <v>907</v>
      </c>
      <c r="DM264" t="s">
        <v>291</v>
      </c>
      <c r="DN264" t="s">
        <v>907</v>
      </c>
      <c r="DO264" t="s">
        <v>907</v>
      </c>
      <c r="DP264">
        <v>2</v>
      </c>
      <c r="DQ264" t="s">
        <v>128</v>
      </c>
      <c r="DR264" t="s">
        <v>907</v>
      </c>
      <c r="DS264" t="s">
        <v>172</v>
      </c>
      <c r="DT264" t="s">
        <v>781</v>
      </c>
      <c r="DU264" t="s">
        <v>84</v>
      </c>
      <c r="DV264" t="s">
        <v>796</v>
      </c>
      <c r="DW264" t="s">
        <v>132</v>
      </c>
      <c r="DX264" t="s">
        <v>95</v>
      </c>
      <c r="FQ264">
        <v>565915856</v>
      </c>
      <c r="FR264" t="s">
        <v>797</v>
      </c>
      <c r="FS264" s="1">
        <v>45924.650289351863</v>
      </c>
      <c r="FV264" t="s">
        <v>134</v>
      </c>
      <c r="FW264" t="s">
        <v>135</v>
      </c>
      <c r="FX264" t="s">
        <v>136</v>
      </c>
      <c r="FZ264">
        <v>169</v>
      </c>
    </row>
    <row r="265" spans="1:182" hidden="1" x14ac:dyDescent="0.3">
      <c r="A265" s="1">
        <v>45923.462386319443</v>
      </c>
      <c r="B265" s="1">
        <v>45923.494143321761</v>
      </c>
      <c r="D265" t="s">
        <v>84</v>
      </c>
      <c r="E265" t="s">
        <v>297</v>
      </c>
      <c r="F265" t="s">
        <v>326</v>
      </c>
      <c r="G265" t="s">
        <v>176</v>
      </c>
      <c r="H265" t="s">
        <v>4122</v>
      </c>
      <c r="I265" t="s">
        <v>327</v>
      </c>
      <c r="J265" t="s">
        <v>328</v>
      </c>
      <c r="K265" t="s">
        <v>90</v>
      </c>
      <c r="L265" t="s">
        <v>329</v>
      </c>
      <c r="M265" t="s">
        <v>277</v>
      </c>
      <c r="N265" t="s">
        <v>330</v>
      </c>
      <c r="O265">
        <v>-15.4414167</v>
      </c>
      <c r="P265">
        <v>23.216799999999999</v>
      </c>
      <c r="Q265">
        <v>1094.5</v>
      </c>
      <c r="R265">
        <v>12.733000000000001</v>
      </c>
      <c r="S265" t="s">
        <v>84</v>
      </c>
      <c r="T265" t="s">
        <v>94</v>
      </c>
      <c r="U265">
        <v>5</v>
      </c>
      <c r="V265" t="s">
        <v>302</v>
      </c>
      <c r="W265" t="s">
        <v>331</v>
      </c>
      <c r="X265">
        <v>15</v>
      </c>
      <c r="Y265">
        <v>1</v>
      </c>
      <c r="Z265">
        <v>2</v>
      </c>
      <c r="AA265" t="s">
        <v>96</v>
      </c>
      <c r="AB265" t="s">
        <v>97</v>
      </c>
      <c r="AC265" t="s">
        <v>98</v>
      </c>
      <c r="AD265" t="s">
        <v>280</v>
      </c>
      <c r="AE265" t="s">
        <v>100</v>
      </c>
      <c r="AF265" t="s">
        <v>907</v>
      </c>
      <c r="AG265">
        <v>15000</v>
      </c>
      <c r="AH265" t="s">
        <v>304</v>
      </c>
      <c r="AI265" t="s">
        <v>907</v>
      </c>
      <c r="AJ265" s="5">
        <v>5000</v>
      </c>
      <c r="AK265" t="s">
        <v>102</v>
      </c>
      <c r="AL265" t="s">
        <v>907</v>
      </c>
      <c r="AM265" t="s">
        <v>253</v>
      </c>
      <c r="AN265" t="s">
        <v>907</v>
      </c>
      <c r="AO265" t="s">
        <v>267</v>
      </c>
      <c r="AP265" t="s">
        <v>332</v>
      </c>
      <c r="AQ265" t="s">
        <v>333</v>
      </c>
      <c r="AR265" t="s">
        <v>84</v>
      </c>
      <c r="AS265">
        <v>0</v>
      </c>
      <c r="AT265">
        <v>0</v>
      </c>
      <c r="AU265">
        <v>0</v>
      </c>
      <c r="AV265">
        <v>0</v>
      </c>
      <c r="AW265">
        <v>0</v>
      </c>
      <c r="AX265">
        <v>0</v>
      </c>
      <c r="AY265">
        <v>0</v>
      </c>
      <c r="AZ265" t="s">
        <v>284</v>
      </c>
      <c r="BA265" t="s">
        <v>95</v>
      </c>
      <c r="BB265" t="s">
        <v>154</v>
      </c>
      <c r="BC265" t="s">
        <v>907</v>
      </c>
      <c r="BD265" t="s">
        <v>107</v>
      </c>
      <c r="BE265" t="s">
        <v>258</v>
      </c>
      <c r="BF265" t="s">
        <v>321</v>
      </c>
      <c r="BG265" t="s">
        <v>156</v>
      </c>
      <c r="BH265">
        <v>11</v>
      </c>
      <c r="BL265">
        <v>4</v>
      </c>
      <c r="BN265">
        <v>0</v>
      </c>
      <c r="BP265">
        <v>4</v>
      </c>
      <c r="BR265">
        <v>0</v>
      </c>
      <c r="BT265">
        <v>3</v>
      </c>
      <c r="BV265">
        <v>0</v>
      </c>
      <c r="BX265">
        <v>0</v>
      </c>
      <c r="BY265" t="s">
        <v>110</v>
      </c>
      <c r="BZ265" t="s">
        <v>907</v>
      </c>
      <c r="CA265" t="s">
        <v>907</v>
      </c>
      <c r="CB265" t="s">
        <v>84</v>
      </c>
      <c r="CC265" t="s">
        <v>84</v>
      </c>
      <c r="CD265" t="s">
        <v>334</v>
      </c>
      <c r="CE265" t="s">
        <v>4249</v>
      </c>
      <c r="CF265" t="s">
        <v>335</v>
      </c>
      <c r="CG265" t="s">
        <v>907</v>
      </c>
      <c r="CH265">
        <v>12</v>
      </c>
      <c r="CI265" t="s">
        <v>84</v>
      </c>
      <c r="CJ265" t="s">
        <v>336</v>
      </c>
      <c r="CK265" t="s">
        <v>113</v>
      </c>
      <c r="CL265" t="s">
        <v>337</v>
      </c>
      <c r="CM265" t="s">
        <v>193</v>
      </c>
      <c r="CN265" t="s">
        <v>194</v>
      </c>
      <c r="CO265" t="s">
        <v>95</v>
      </c>
      <c r="CP265" t="s">
        <v>907</v>
      </c>
      <c r="CQ265" t="s">
        <v>116</v>
      </c>
      <c r="CR265" t="s">
        <v>84</v>
      </c>
      <c r="CS265" t="s">
        <v>117</v>
      </c>
      <c r="CT265" t="s">
        <v>264</v>
      </c>
      <c r="CU265" t="s">
        <v>3869</v>
      </c>
      <c r="CV265" t="s">
        <v>119</v>
      </c>
      <c r="CW265" t="s">
        <v>338</v>
      </c>
      <c r="CX265" t="s">
        <v>166</v>
      </c>
      <c r="CY265" t="s">
        <v>167</v>
      </c>
      <c r="CZ265" t="s">
        <v>339</v>
      </c>
      <c r="DA265">
        <v>3</v>
      </c>
      <c r="DB265" s="10">
        <v>3500</v>
      </c>
      <c r="DC265" t="s">
        <v>123</v>
      </c>
      <c r="DD265" t="s">
        <v>340</v>
      </c>
      <c r="DE265">
        <v>1</v>
      </c>
      <c r="DF265">
        <v>60</v>
      </c>
      <c r="DG265" t="s">
        <v>95</v>
      </c>
      <c r="DH265" t="s">
        <v>95</v>
      </c>
      <c r="DI265" t="s">
        <v>907</v>
      </c>
      <c r="DJ265" t="s">
        <v>907</v>
      </c>
      <c r="DK265" t="s">
        <v>907</v>
      </c>
      <c r="DL265" t="s">
        <v>907</v>
      </c>
      <c r="DM265" t="s">
        <v>125</v>
      </c>
      <c r="DN265" t="s">
        <v>341</v>
      </c>
      <c r="DO265" t="s">
        <v>342</v>
      </c>
      <c r="DP265">
        <v>5</v>
      </c>
      <c r="DQ265" t="s">
        <v>343</v>
      </c>
      <c r="DR265" t="s">
        <v>907</v>
      </c>
      <c r="DS265" t="s">
        <v>172</v>
      </c>
      <c r="DT265" t="s">
        <v>271</v>
      </c>
      <c r="DU265" t="s">
        <v>84</v>
      </c>
      <c r="DV265" t="s">
        <v>344</v>
      </c>
      <c r="DW265" t="s">
        <v>295</v>
      </c>
      <c r="DX265" t="s">
        <v>84</v>
      </c>
      <c r="FQ265">
        <v>565200898</v>
      </c>
      <c r="FR265" t="s">
        <v>345</v>
      </c>
      <c r="FS265" s="1">
        <v>45923.773020833331</v>
      </c>
      <c r="FV265" t="s">
        <v>134</v>
      </c>
      <c r="FW265" t="s">
        <v>135</v>
      </c>
      <c r="FX265" t="s">
        <v>136</v>
      </c>
      <c r="FZ265">
        <v>98</v>
      </c>
    </row>
    <row r="266" spans="1:182" x14ac:dyDescent="0.3">
      <c r="A266" s="1">
        <v>45924.675116597216</v>
      </c>
      <c r="B266" s="1">
        <v>45924.773601701389</v>
      </c>
      <c r="D266" t="s">
        <v>84</v>
      </c>
      <c r="E266" t="s">
        <v>3876</v>
      </c>
      <c r="F266" t="s">
        <v>1207</v>
      </c>
      <c r="G266" t="s">
        <v>176</v>
      </c>
      <c r="H266" t="s">
        <v>4121</v>
      </c>
      <c r="I266" t="s">
        <v>1208</v>
      </c>
      <c r="J266" t="s">
        <v>1209</v>
      </c>
      <c r="K266" t="s">
        <v>90</v>
      </c>
      <c r="L266" t="s">
        <v>1173</v>
      </c>
      <c r="M266" t="s">
        <v>671</v>
      </c>
      <c r="S266" t="s">
        <v>84</v>
      </c>
      <c r="T266" t="s">
        <v>94</v>
      </c>
      <c r="U266">
        <v>3</v>
      </c>
      <c r="V266" t="s">
        <v>95</v>
      </c>
      <c r="W266" t="s">
        <v>907</v>
      </c>
      <c r="X266">
        <v>3</v>
      </c>
      <c r="Y266">
        <v>0.3</v>
      </c>
      <c r="Z266">
        <v>0.3</v>
      </c>
      <c r="AA266" t="s">
        <v>251</v>
      </c>
      <c r="AB266" t="s">
        <v>97</v>
      </c>
      <c r="AC266" t="s">
        <v>98</v>
      </c>
      <c r="AD266" t="s">
        <v>280</v>
      </c>
      <c r="AE266" t="s">
        <v>304</v>
      </c>
      <c r="AF266" t="s">
        <v>907</v>
      </c>
      <c r="AG266">
        <v>10000</v>
      </c>
      <c r="AH266" t="s">
        <v>966</v>
      </c>
      <c r="AI266" t="s">
        <v>907</v>
      </c>
      <c r="AJ266" s="5">
        <v>50000</v>
      </c>
      <c r="AK266" t="s">
        <v>304</v>
      </c>
      <c r="AL266" t="s">
        <v>907</v>
      </c>
      <c r="AM266" t="s">
        <v>907</v>
      </c>
      <c r="AN266" t="s">
        <v>907</v>
      </c>
      <c r="AQ266" t="s">
        <v>907</v>
      </c>
      <c r="AR266" t="s">
        <v>907</v>
      </c>
      <c r="AS266">
        <v>0</v>
      </c>
      <c r="AT266">
        <v>0</v>
      </c>
      <c r="AU266">
        <v>0</v>
      </c>
      <c r="AV266">
        <v>0</v>
      </c>
      <c r="AW266">
        <v>0</v>
      </c>
      <c r="AX266">
        <v>0</v>
      </c>
      <c r="AY266">
        <v>0</v>
      </c>
      <c r="AZ266" t="s">
        <v>106</v>
      </c>
      <c r="BA266" t="s">
        <v>907</v>
      </c>
      <c r="BB266" t="s">
        <v>154</v>
      </c>
      <c r="BC266" t="s">
        <v>907</v>
      </c>
      <c r="BD266" t="s">
        <v>907</v>
      </c>
      <c r="BE266" t="s">
        <v>907</v>
      </c>
      <c r="BF266" t="s">
        <v>907</v>
      </c>
      <c r="BG266" t="s">
        <v>156</v>
      </c>
      <c r="BH266">
        <v>33</v>
      </c>
      <c r="BL266">
        <v>27</v>
      </c>
      <c r="BN266">
        <v>3</v>
      </c>
      <c r="BP266">
        <v>0</v>
      </c>
      <c r="BR266">
        <v>0</v>
      </c>
      <c r="BT266">
        <v>3</v>
      </c>
      <c r="BV266">
        <v>0</v>
      </c>
      <c r="BX266">
        <v>0</v>
      </c>
      <c r="BY266" t="s">
        <v>110</v>
      </c>
      <c r="BZ266" t="s">
        <v>907</v>
      </c>
      <c r="CA266" t="s">
        <v>907</v>
      </c>
      <c r="CB266" t="s">
        <v>84</v>
      </c>
      <c r="CC266" t="s">
        <v>84</v>
      </c>
      <c r="CD266" t="s">
        <v>1210</v>
      </c>
      <c r="CE266" t="s">
        <v>4251</v>
      </c>
      <c r="CF266" t="s">
        <v>1211</v>
      </c>
      <c r="CG266" t="s">
        <v>907</v>
      </c>
      <c r="CH266">
        <v>12</v>
      </c>
      <c r="CI266" t="s">
        <v>84</v>
      </c>
      <c r="CJ266" t="s">
        <v>160</v>
      </c>
      <c r="CK266" t="s">
        <v>113</v>
      </c>
      <c r="CL266" t="s">
        <v>1212</v>
      </c>
      <c r="CM266" t="s">
        <v>193</v>
      </c>
      <c r="CN266" t="s">
        <v>421</v>
      </c>
      <c r="CO266" t="s">
        <v>95</v>
      </c>
      <c r="CP266" t="s">
        <v>907</v>
      </c>
      <c r="CQ266" t="s">
        <v>116</v>
      </c>
      <c r="CR266" t="s">
        <v>95</v>
      </c>
      <c r="CS266" t="s">
        <v>907</v>
      </c>
      <c r="CT266" t="s">
        <v>907</v>
      </c>
      <c r="CU266" t="s">
        <v>907</v>
      </c>
      <c r="CV266" t="s">
        <v>907</v>
      </c>
      <c r="CW266" t="s">
        <v>907</v>
      </c>
      <c r="CX266" t="s">
        <v>166</v>
      </c>
      <c r="CY266" t="s">
        <v>167</v>
      </c>
      <c r="CZ266" t="s">
        <v>1213</v>
      </c>
      <c r="DA266">
        <v>1</v>
      </c>
      <c r="DB266" s="10">
        <v>6000</v>
      </c>
      <c r="DC266" t="s">
        <v>169</v>
      </c>
      <c r="DD266" t="s">
        <v>907</v>
      </c>
      <c r="DE266">
        <v>2</v>
      </c>
      <c r="DF266">
        <v>15</v>
      </c>
      <c r="DG266" t="s">
        <v>95</v>
      </c>
      <c r="DH266" t="s">
        <v>95</v>
      </c>
      <c r="DI266" t="s">
        <v>907</v>
      </c>
      <c r="DJ266" t="s">
        <v>907</v>
      </c>
      <c r="DK266" t="s">
        <v>907</v>
      </c>
      <c r="DL266" t="s">
        <v>907</v>
      </c>
      <c r="DM266" t="s">
        <v>291</v>
      </c>
      <c r="DN266" t="s">
        <v>907</v>
      </c>
      <c r="DO266" t="s">
        <v>907</v>
      </c>
      <c r="DP266">
        <v>1</v>
      </c>
      <c r="DQ266" t="s">
        <v>441</v>
      </c>
      <c r="DR266" t="s">
        <v>907</v>
      </c>
      <c r="DS266" t="s">
        <v>1214</v>
      </c>
      <c r="DT266" t="s">
        <v>863</v>
      </c>
      <c r="DU266" t="s">
        <v>84</v>
      </c>
      <c r="DV266" t="s">
        <v>294</v>
      </c>
      <c r="DW266" t="s">
        <v>1120</v>
      </c>
      <c r="DX266" t="s">
        <v>95</v>
      </c>
      <c r="FQ266">
        <v>565986564</v>
      </c>
      <c r="FR266" t="s">
        <v>1215</v>
      </c>
      <c r="FS266" s="1">
        <v>45924.707777777781</v>
      </c>
      <c r="FV266" t="s">
        <v>134</v>
      </c>
      <c r="FW266" t="s">
        <v>135</v>
      </c>
      <c r="FX266" t="s">
        <v>136</v>
      </c>
      <c r="FZ266">
        <v>206</v>
      </c>
    </row>
    <row r="267" spans="1:182" hidden="1" x14ac:dyDescent="0.3">
      <c r="A267" s="1">
        <v>45925.496885914348</v>
      </c>
      <c r="B267" s="1">
        <v>45925.509153182873</v>
      </c>
      <c r="D267" t="s">
        <v>84</v>
      </c>
      <c r="E267" t="s">
        <v>3878</v>
      </c>
      <c r="F267" t="s">
        <v>1796</v>
      </c>
      <c r="G267" t="s">
        <v>176</v>
      </c>
      <c r="H267" t="s">
        <v>4122</v>
      </c>
      <c r="I267" t="s">
        <v>1797</v>
      </c>
      <c r="J267" t="s">
        <v>1798</v>
      </c>
      <c r="K267" t="s">
        <v>90</v>
      </c>
      <c r="L267" t="s">
        <v>1799</v>
      </c>
      <c r="M267" t="s">
        <v>1731</v>
      </c>
      <c r="N267" t="s">
        <v>1800</v>
      </c>
      <c r="O267">
        <v>-15.220815</v>
      </c>
      <c r="P267">
        <v>22.998351700000001</v>
      </c>
      <c r="Q267">
        <v>1021.7</v>
      </c>
      <c r="R267">
        <v>3.9159999999999999</v>
      </c>
      <c r="S267" t="s">
        <v>84</v>
      </c>
      <c r="T267" t="s">
        <v>94</v>
      </c>
      <c r="U267">
        <v>10</v>
      </c>
      <c r="V267" t="s">
        <v>95</v>
      </c>
      <c r="W267" t="s">
        <v>907</v>
      </c>
      <c r="X267">
        <v>25</v>
      </c>
      <c r="Y267">
        <v>1</v>
      </c>
      <c r="Z267">
        <v>1</v>
      </c>
      <c r="AA267" t="s">
        <v>251</v>
      </c>
      <c r="AB267" t="s">
        <v>351</v>
      </c>
      <c r="AC267" t="s">
        <v>98</v>
      </c>
      <c r="AD267" t="s">
        <v>252</v>
      </c>
      <c r="AE267" t="s">
        <v>304</v>
      </c>
      <c r="AF267" t="s">
        <v>907</v>
      </c>
      <c r="AG267">
        <v>10000</v>
      </c>
      <c r="AH267" t="s">
        <v>3873</v>
      </c>
      <c r="AI267" t="s">
        <v>907</v>
      </c>
      <c r="AJ267" t="s">
        <v>907</v>
      </c>
      <c r="AK267" t="s">
        <v>304</v>
      </c>
      <c r="AL267" t="s">
        <v>907</v>
      </c>
      <c r="AM267" t="s">
        <v>907</v>
      </c>
      <c r="AN267" t="s">
        <v>907</v>
      </c>
      <c r="AQ267" t="s">
        <v>907</v>
      </c>
      <c r="AR267" t="s">
        <v>907</v>
      </c>
      <c r="AS267">
        <v>0</v>
      </c>
      <c r="AT267">
        <v>0</v>
      </c>
      <c r="AU267">
        <v>0</v>
      </c>
      <c r="AV267">
        <v>0</v>
      </c>
      <c r="AW267">
        <v>0</v>
      </c>
      <c r="AX267">
        <v>0</v>
      </c>
      <c r="AY267">
        <v>0</v>
      </c>
      <c r="AZ267" t="s">
        <v>106</v>
      </c>
      <c r="BA267" t="s">
        <v>907</v>
      </c>
      <c r="BB267" t="s">
        <v>232</v>
      </c>
      <c r="BC267" t="s">
        <v>95</v>
      </c>
      <c r="BD267" t="s">
        <v>907</v>
      </c>
      <c r="BE267" t="s">
        <v>907</v>
      </c>
      <c r="BF267" t="s">
        <v>907</v>
      </c>
      <c r="BG267" t="s">
        <v>790</v>
      </c>
      <c r="BH267">
        <v>14</v>
      </c>
      <c r="BL267">
        <v>3</v>
      </c>
      <c r="BN267">
        <v>2</v>
      </c>
      <c r="BP267">
        <v>0</v>
      </c>
      <c r="BR267">
        <v>0</v>
      </c>
      <c r="BT267">
        <v>0</v>
      </c>
      <c r="BV267">
        <v>0</v>
      </c>
      <c r="BX267">
        <v>9</v>
      </c>
      <c r="BY267" t="s">
        <v>110</v>
      </c>
      <c r="BZ267" t="s">
        <v>907</v>
      </c>
      <c r="CA267" t="s">
        <v>907</v>
      </c>
      <c r="CB267" t="s">
        <v>84</v>
      </c>
      <c r="CC267" t="s">
        <v>84</v>
      </c>
      <c r="CD267" t="s">
        <v>978</v>
      </c>
      <c r="CE267" t="s">
        <v>4251</v>
      </c>
      <c r="CF267" t="s">
        <v>3961</v>
      </c>
      <c r="CG267" t="s">
        <v>907</v>
      </c>
      <c r="CH267">
        <v>12</v>
      </c>
      <c r="CI267" t="s">
        <v>95</v>
      </c>
      <c r="CJ267" t="s">
        <v>907</v>
      </c>
      <c r="CK267" t="s">
        <v>113</v>
      </c>
      <c r="CL267" t="s">
        <v>1196</v>
      </c>
      <c r="CM267" t="s">
        <v>193</v>
      </c>
      <c r="CN267" t="s">
        <v>421</v>
      </c>
      <c r="CO267" t="s">
        <v>95</v>
      </c>
      <c r="CP267" t="s">
        <v>907</v>
      </c>
      <c r="CQ267" t="s">
        <v>116</v>
      </c>
      <c r="CR267" t="s">
        <v>95</v>
      </c>
      <c r="CS267" t="s">
        <v>907</v>
      </c>
      <c r="CT267" t="s">
        <v>907</v>
      </c>
      <c r="CU267" t="s">
        <v>907</v>
      </c>
      <c r="CV267" t="s">
        <v>907</v>
      </c>
      <c r="CW267" t="s">
        <v>907</v>
      </c>
      <c r="CX267" t="s">
        <v>166</v>
      </c>
      <c r="CY267" t="s">
        <v>167</v>
      </c>
      <c r="CZ267" t="s">
        <v>495</v>
      </c>
      <c r="DA267">
        <v>0</v>
      </c>
      <c r="DB267" s="10">
        <v>0</v>
      </c>
      <c r="DC267" t="s">
        <v>169</v>
      </c>
      <c r="DD267" t="s">
        <v>907</v>
      </c>
      <c r="DE267">
        <v>3</v>
      </c>
      <c r="DF267">
        <v>11</v>
      </c>
      <c r="DG267" t="s">
        <v>95</v>
      </c>
      <c r="DH267" t="s">
        <v>95</v>
      </c>
      <c r="DI267" t="s">
        <v>907</v>
      </c>
      <c r="DJ267" t="s">
        <v>907</v>
      </c>
      <c r="DK267" t="s">
        <v>907</v>
      </c>
      <c r="DL267" t="s">
        <v>907</v>
      </c>
      <c r="DM267" t="s">
        <v>291</v>
      </c>
      <c r="DN267" t="s">
        <v>907</v>
      </c>
      <c r="DO267" t="s">
        <v>907</v>
      </c>
      <c r="DP267">
        <v>1</v>
      </c>
      <c r="DQ267" t="s">
        <v>441</v>
      </c>
      <c r="DR267" t="s">
        <v>907</v>
      </c>
      <c r="DS267" t="s">
        <v>882</v>
      </c>
      <c r="DT267" t="s">
        <v>863</v>
      </c>
      <c r="DU267" t="s">
        <v>95</v>
      </c>
      <c r="DV267" t="s">
        <v>907</v>
      </c>
      <c r="DW267" t="s">
        <v>907</v>
      </c>
      <c r="DX267" t="s">
        <v>907</v>
      </c>
      <c r="FQ267">
        <v>566789966</v>
      </c>
      <c r="FR267" t="s">
        <v>1801</v>
      </c>
      <c r="FS267" s="1">
        <v>45925.665347222217</v>
      </c>
      <c r="FV267" t="s">
        <v>134</v>
      </c>
      <c r="FW267" t="s">
        <v>135</v>
      </c>
      <c r="FX267" t="s">
        <v>136</v>
      </c>
      <c r="FZ267">
        <v>276</v>
      </c>
    </row>
    <row r="268" spans="1:182" hidden="1" x14ac:dyDescent="0.3">
      <c r="A268" s="1">
        <v>45925.471540752318</v>
      </c>
      <c r="B268" s="1">
        <v>45925.491074108802</v>
      </c>
      <c r="D268" t="s">
        <v>84</v>
      </c>
      <c r="E268" t="s">
        <v>901</v>
      </c>
      <c r="F268" t="s">
        <v>3950</v>
      </c>
      <c r="G268" t="s">
        <v>176</v>
      </c>
      <c r="H268" t="s">
        <v>4122</v>
      </c>
      <c r="I268" t="s">
        <v>1624</v>
      </c>
      <c r="J268" t="s">
        <v>1625</v>
      </c>
      <c r="K268" t="s">
        <v>90</v>
      </c>
      <c r="L268" t="s">
        <v>3951</v>
      </c>
      <c r="M268" t="s">
        <v>277</v>
      </c>
      <c r="N268" t="s">
        <v>1626</v>
      </c>
      <c r="O268">
        <v>-15.358221199999999</v>
      </c>
      <c r="P268">
        <v>23.154993699999999</v>
      </c>
      <c r="Q268">
        <v>1027.465087890625</v>
      </c>
      <c r="R268">
        <v>4.8780000000000001</v>
      </c>
      <c r="S268" t="s">
        <v>84</v>
      </c>
      <c r="T268" t="s">
        <v>182</v>
      </c>
      <c r="U268">
        <v>7</v>
      </c>
      <c r="V268" t="s">
        <v>95</v>
      </c>
      <c r="W268" t="s">
        <v>907</v>
      </c>
      <c r="X268">
        <v>17</v>
      </c>
      <c r="Y268">
        <v>3</v>
      </c>
      <c r="Z268">
        <v>3</v>
      </c>
      <c r="AA268" t="s">
        <v>96</v>
      </c>
      <c r="AB268" t="s">
        <v>351</v>
      </c>
      <c r="AC268" t="s">
        <v>98</v>
      </c>
      <c r="AD268" t="s">
        <v>520</v>
      </c>
      <c r="AE268" t="s">
        <v>431</v>
      </c>
      <c r="AF268" t="s">
        <v>907</v>
      </c>
      <c r="AG268">
        <v>500</v>
      </c>
      <c r="AH268" t="s">
        <v>1627</v>
      </c>
      <c r="AI268" t="s">
        <v>907</v>
      </c>
      <c r="AJ268" s="5">
        <v>1400</v>
      </c>
      <c r="AK268" t="s">
        <v>102</v>
      </c>
      <c r="AL268" t="s">
        <v>907</v>
      </c>
      <c r="AM268" t="s">
        <v>1628</v>
      </c>
      <c r="AN268" t="s">
        <v>907</v>
      </c>
      <c r="AO268" t="s">
        <v>1629</v>
      </c>
      <c r="AP268" t="s">
        <v>1630</v>
      </c>
      <c r="AQ268" t="s">
        <v>1631</v>
      </c>
      <c r="AR268" t="s">
        <v>95</v>
      </c>
      <c r="AS268">
        <v>0</v>
      </c>
      <c r="AT268">
        <v>0</v>
      </c>
      <c r="AU268">
        <v>0</v>
      </c>
      <c r="AV268">
        <v>0</v>
      </c>
      <c r="AW268">
        <v>12</v>
      </c>
      <c r="AX268">
        <v>0</v>
      </c>
      <c r="AY268">
        <v>0</v>
      </c>
      <c r="AZ268" t="s">
        <v>629</v>
      </c>
      <c r="BA268" t="s">
        <v>452</v>
      </c>
      <c r="BB268" t="s">
        <v>308</v>
      </c>
      <c r="BC268" t="s">
        <v>907</v>
      </c>
      <c r="BD268" t="s">
        <v>107</v>
      </c>
      <c r="BE268" t="s">
        <v>258</v>
      </c>
      <c r="BF268" t="s">
        <v>875</v>
      </c>
      <c r="BG268" t="s">
        <v>109</v>
      </c>
      <c r="BH268">
        <v>30</v>
      </c>
      <c r="BL268">
        <v>52</v>
      </c>
      <c r="BN268">
        <v>1</v>
      </c>
      <c r="BP268">
        <v>0</v>
      </c>
      <c r="BR268">
        <v>0</v>
      </c>
      <c r="BT268">
        <v>5</v>
      </c>
      <c r="BV268">
        <v>0</v>
      </c>
      <c r="BX268">
        <v>4</v>
      </c>
      <c r="BY268" t="s">
        <v>189</v>
      </c>
      <c r="BZ268">
        <v>2</v>
      </c>
      <c r="CA268">
        <v>16</v>
      </c>
      <c r="CB268" t="s">
        <v>84</v>
      </c>
      <c r="CC268" t="s">
        <v>84</v>
      </c>
      <c r="CD268" t="s">
        <v>1632</v>
      </c>
      <c r="CE268" t="s">
        <v>1998</v>
      </c>
      <c r="CF268" t="s">
        <v>1633</v>
      </c>
      <c r="CG268" t="s">
        <v>907</v>
      </c>
      <c r="CH268">
        <v>13</v>
      </c>
      <c r="CI268" t="s">
        <v>95</v>
      </c>
      <c r="CJ268" t="s">
        <v>907</v>
      </c>
      <c r="CK268" t="s">
        <v>289</v>
      </c>
      <c r="CL268" t="s">
        <v>4262</v>
      </c>
      <c r="CM268" t="s">
        <v>193</v>
      </c>
      <c r="CN268" t="s">
        <v>3874</v>
      </c>
      <c r="CO268" t="s">
        <v>95</v>
      </c>
      <c r="CP268" t="s">
        <v>907</v>
      </c>
      <c r="CQ268" t="s">
        <v>116</v>
      </c>
      <c r="CR268" t="s">
        <v>84</v>
      </c>
      <c r="CS268" t="s">
        <v>117</v>
      </c>
      <c r="CT268" t="s">
        <v>907</v>
      </c>
      <c r="CU268" t="s">
        <v>438</v>
      </c>
      <c r="CV268" t="s">
        <v>119</v>
      </c>
      <c r="CW268" t="s">
        <v>696</v>
      </c>
      <c r="CX268" t="s">
        <v>166</v>
      </c>
      <c r="CY268" t="s">
        <v>167</v>
      </c>
      <c r="CZ268" t="s">
        <v>696</v>
      </c>
      <c r="DA268">
        <v>0</v>
      </c>
      <c r="DB268" s="10">
        <v>0</v>
      </c>
      <c r="DC268" t="s">
        <v>169</v>
      </c>
      <c r="DD268" t="s">
        <v>907</v>
      </c>
      <c r="DE268">
        <v>1</v>
      </c>
      <c r="DF268">
        <v>12</v>
      </c>
      <c r="DG268" t="s">
        <v>95</v>
      </c>
      <c r="DH268" t="s">
        <v>95</v>
      </c>
      <c r="DI268" t="s">
        <v>907</v>
      </c>
      <c r="DJ268" t="s">
        <v>907</v>
      </c>
      <c r="DK268" t="s">
        <v>907</v>
      </c>
      <c r="DL268" t="s">
        <v>907</v>
      </c>
      <c r="DM268" t="s">
        <v>291</v>
      </c>
      <c r="DN268" t="s">
        <v>907</v>
      </c>
      <c r="DO268" t="s">
        <v>907</v>
      </c>
      <c r="DP268">
        <v>4</v>
      </c>
      <c r="DQ268" t="s">
        <v>202</v>
      </c>
      <c r="DR268" t="s">
        <v>907</v>
      </c>
      <c r="DS268" t="s">
        <v>917</v>
      </c>
      <c r="DT268" t="s">
        <v>863</v>
      </c>
      <c r="DU268" t="s">
        <v>84</v>
      </c>
      <c r="DV268" t="s">
        <v>294</v>
      </c>
      <c r="DW268" t="s">
        <v>533</v>
      </c>
      <c r="DX268" t="s">
        <v>95</v>
      </c>
      <c r="FQ268">
        <v>566738847</v>
      </c>
      <c r="FR268" t="s">
        <v>1634</v>
      </c>
      <c r="FS268" s="1">
        <v>45925.625717592593</v>
      </c>
      <c r="FV268" t="s">
        <v>134</v>
      </c>
      <c r="FW268" t="s">
        <v>135</v>
      </c>
      <c r="FX268" t="s">
        <v>136</v>
      </c>
      <c r="FZ268">
        <v>259</v>
      </c>
    </row>
    <row r="269" spans="1:182" hidden="1" x14ac:dyDescent="0.3">
      <c r="A269" s="1">
        <v>45925.607389363417</v>
      </c>
      <c r="B269" s="1">
        <v>45925.623257141197</v>
      </c>
      <c r="D269" t="s">
        <v>84</v>
      </c>
      <c r="E269" t="s">
        <v>497</v>
      </c>
      <c r="F269" t="s">
        <v>2071</v>
      </c>
      <c r="G269" t="s">
        <v>176</v>
      </c>
      <c r="H269" t="s">
        <v>4122</v>
      </c>
      <c r="I269" t="s">
        <v>1961</v>
      </c>
      <c r="J269" t="s">
        <v>2072</v>
      </c>
      <c r="K269" t="s">
        <v>90</v>
      </c>
      <c r="L269" t="s">
        <v>2073</v>
      </c>
      <c r="M269" t="s">
        <v>2074</v>
      </c>
      <c r="N269" t="s">
        <v>2075</v>
      </c>
      <c r="O269">
        <v>-15.164725000000001</v>
      </c>
      <c r="P269">
        <v>22.997831900000001</v>
      </c>
      <c r="Q269">
        <v>1030.854736328125</v>
      </c>
      <c r="R269">
        <v>4.7670000000000003</v>
      </c>
      <c r="S269" t="s">
        <v>84</v>
      </c>
      <c r="T269" t="s">
        <v>182</v>
      </c>
      <c r="U269">
        <v>8</v>
      </c>
      <c r="V269" t="s">
        <v>95</v>
      </c>
      <c r="W269" t="s">
        <v>907</v>
      </c>
      <c r="X269">
        <v>50</v>
      </c>
      <c r="Y269">
        <v>2</v>
      </c>
      <c r="Z269">
        <v>2</v>
      </c>
      <c r="AA269" t="s">
        <v>96</v>
      </c>
      <c r="AB269" t="s">
        <v>351</v>
      </c>
      <c r="AC269" t="s">
        <v>98</v>
      </c>
      <c r="AD269" t="s">
        <v>280</v>
      </c>
      <c r="AE269" t="s">
        <v>100</v>
      </c>
      <c r="AF269" t="s">
        <v>907</v>
      </c>
      <c r="AG269">
        <v>375</v>
      </c>
      <c r="AH269" t="s">
        <v>2020</v>
      </c>
      <c r="AI269" t="s">
        <v>907</v>
      </c>
      <c r="AJ269" s="5">
        <v>150</v>
      </c>
      <c r="AK269" t="s">
        <v>871</v>
      </c>
      <c r="AL269" t="s">
        <v>907</v>
      </c>
      <c r="AM269" t="s">
        <v>466</v>
      </c>
      <c r="AN269" t="s">
        <v>907</v>
      </c>
      <c r="AO269" t="s">
        <v>267</v>
      </c>
      <c r="AP269" t="s">
        <v>2076</v>
      </c>
      <c r="AQ269" t="s">
        <v>149</v>
      </c>
      <c r="AR269" t="s">
        <v>95</v>
      </c>
      <c r="AS269">
        <v>0</v>
      </c>
      <c r="AT269">
        <v>0</v>
      </c>
      <c r="AU269">
        <v>0</v>
      </c>
      <c r="AV269">
        <v>15</v>
      </c>
      <c r="AW269">
        <v>0</v>
      </c>
      <c r="AX269">
        <v>0</v>
      </c>
      <c r="AY269">
        <v>0</v>
      </c>
      <c r="AZ269" t="s">
        <v>929</v>
      </c>
      <c r="BA269" t="s">
        <v>95</v>
      </c>
      <c r="BB269" t="s">
        <v>154</v>
      </c>
      <c r="BC269" t="s">
        <v>907</v>
      </c>
      <c r="BD269" t="s">
        <v>107</v>
      </c>
      <c r="BE269" t="s">
        <v>258</v>
      </c>
      <c r="BF269" t="s">
        <v>2077</v>
      </c>
      <c r="BG269" t="s">
        <v>790</v>
      </c>
      <c r="BH269">
        <v>85</v>
      </c>
      <c r="BL269">
        <v>39</v>
      </c>
      <c r="BN269">
        <v>1</v>
      </c>
      <c r="BP269">
        <v>14</v>
      </c>
      <c r="BT269">
        <v>8</v>
      </c>
      <c r="BX269">
        <v>23</v>
      </c>
      <c r="BY269" t="s">
        <v>189</v>
      </c>
      <c r="BZ269">
        <v>2</v>
      </c>
      <c r="CA269">
        <v>20</v>
      </c>
      <c r="CB269" t="s">
        <v>84</v>
      </c>
      <c r="CC269" t="s">
        <v>84</v>
      </c>
      <c r="CD269" t="s">
        <v>2034</v>
      </c>
      <c r="CE269" t="s">
        <v>4249</v>
      </c>
      <c r="CF269" t="s">
        <v>2078</v>
      </c>
      <c r="CG269" t="s">
        <v>907</v>
      </c>
      <c r="CH269">
        <v>14</v>
      </c>
      <c r="CI269" t="s">
        <v>84</v>
      </c>
      <c r="CJ269" t="s">
        <v>336</v>
      </c>
      <c r="CK269" t="s">
        <v>289</v>
      </c>
      <c r="CL269" t="s">
        <v>380</v>
      </c>
      <c r="CM269" t="s">
        <v>162</v>
      </c>
      <c r="CN269" t="s">
        <v>421</v>
      </c>
      <c r="CO269" t="s">
        <v>95</v>
      </c>
      <c r="CP269" t="s">
        <v>907</v>
      </c>
      <c r="CQ269" t="s">
        <v>116</v>
      </c>
      <c r="CR269" t="s">
        <v>84</v>
      </c>
      <c r="CS269" t="s">
        <v>117</v>
      </c>
      <c r="CT269" t="s">
        <v>907</v>
      </c>
      <c r="CU269" t="s">
        <v>793</v>
      </c>
      <c r="CV269" t="s">
        <v>812</v>
      </c>
      <c r="CW269" t="s">
        <v>165</v>
      </c>
      <c r="CX269" t="s">
        <v>166</v>
      </c>
      <c r="CY269" t="s">
        <v>167</v>
      </c>
      <c r="CZ269" t="s">
        <v>2079</v>
      </c>
      <c r="DA269">
        <v>3</v>
      </c>
      <c r="DB269" s="10">
        <v>12000</v>
      </c>
      <c r="DC269" t="s">
        <v>169</v>
      </c>
      <c r="DD269" t="s">
        <v>907</v>
      </c>
      <c r="DE269">
        <v>1</v>
      </c>
      <c r="DF269">
        <v>25</v>
      </c>
      <c r="DG269" t="s">
        <v>95</v>
      </c>
      <c r="DH269" t="s">
        <v>95</v>
      </c>
      <c r="DI269" t="s">
        <v>907</v>
      </c>
      <c r="DJ269" t="s">
        <v>907</v>
      </c>
      <c r="DK269" t="s">
        <v>907</v>
      </c>
      <c r="DL269" t="s">
        <v>907</v>
      </c>
      <c r="DM269" t="s">
        <v>291</v>
      </c>
      <c r="DN269" t="s">
        <v>907</v>
      </c>
      <c r="DO269" t="s">
        <v>907</v>
      </c>
      <c r="DP269">
        <v>3</v>
      </c>
      <c r="DQ269" t="s">
        <v>128</v>
      </c>
      <c r="DR269" t="s">
        <v>907</v>
      </c>
      <c r="DS269" t="s">
        <v>2080</v>
      </c>
      <c r="DT269" t="s">
        <v>2081</v>
      </c>
      <c r="DU269" t="s">
        <v>95</v>
      </c>
      <c r="DV269" t="s">
        <v>907</v>
      </c>
      <c r="DW269" t="s">
        <v>907</v>
      </c>
      <c r="DX269" t="s">
        <v>907</v>
      </c>
      <c r="FQ269">
        <v>566860831</v>
      </c>
      <c r="FR269" t="s">
        <v>2082</v>
      </c>
      <c r="FS269" s="1">
        <v>45925.728298611109</v>
      </c>
      <c r="FV269" t="s">
        <v>134</v>
      </c>
      <c r="FW269" t="s">
        <v>135</v>
      </c>
      <c r="FX269" t="s">
        <v>136</v>
      </c>
      <c r="FZ269">
        <v>303</v>
      </c>
    </row>
    <row r="270" spans="1:182" hidden="1" x14ac:dyDescent="0.3">
      <c r="A270" s="1">
        <v>45924.582494895832</v>
      </c>
      <c r="B270" s="1">
        <v>45924.77320909722</v>
      </c>
      <c r="D270" t="s">
        <v>84</v>
      </c>
      <c r="E270" t="s">
        <v>3876</v>
      </c>
      <c r="F270" t="s">
        <v>1159</v>
      </c>
      <c r="G270" t="s">
        <v>176</v>
      </c>
      <c r="H270" t="s">
        <v>4122</v>
      </c>
      <c r="I270" t="s">
        <v>1160</v>
      </c>
      <c r="J270" t="s">
        <v>1161</v>
      </c>
      <c r="K270" t="s">
        <v>90</v>
      </c>
      <c r="L270" t="s">
        <v>1162</v>
      </c>
      <c r="M270" t="s">
        <v>671</v>
      </c>
      <c r="S270" t="s">
        <v>84</v>
      </c>
      <c r="T270" t="s">
        <v>94</v>
      </c>
      <c r="U270">
        <v>9</v>
      </c>
      <c r="V270" t="s">
        <v>95</v>
      </c>
      <c r="W270" t="s">
        <v>907</v>
      </c>
      <c r="X270">
        <v>20</v>
      </c>
      <c r="Y270">
        <v>1</v>
      </c>
      <c r="Z270">
        <v>1</v>
      </c>
      <c r="AA270" t="s">
        <v>504</v>
      </c>
      <c r="AB270" t="s">
        <v>97</v>
      </c>
      <c r="AC270" t="s">
        <v>98</v>
      </c>
      <c r="AD270" t="s">
        <v>252</v>
      </c>
      <c r="AE270" t="s">
        <v>304</v>
      </c>
      <c r="AF270" t="s">
        <v>907</v>
      </c>
      <c r="AG270">
        <v>50000</v>
      </c>
      <c r="AH270" t="s">
        <v>100</v>
      </c>
      <c r="AI270" t="s">
        <v>907</v>
      </c>
      <c r="AJ270" s="5">
        <v>10000</v>
      </c>
      <c r="AK270" t="s">
        <v>148</v>
      </c>
      <c r="AL270" t="s">
        <v>907</v>
      </c>
      <c r="AM270" t="s">
        <v>1163</v>
      </c>
      <c r="AN270" t="s">
        <v>907</v>
      </c>
      <c r="AO270" t="s">
        <v>1164</v>
      </c>
      <c r="AP270" t="s">
        <v>267</v>
      </c>
      <c r="AQ270" t="s">
        <v>1165</v>
      </c>
      <c r="AR270" t="s">
        <v>84</v>
      </c>
      <c r="AS270">
        <v>0</v>
      </c>
      <c r="AT270">
        <v>0</v>
      </c>
      <c r="AU270">
        <v>0</v>
      </c>
      <c r="AV270">
        <v>0</v>
      </c>
      <c r="AW270">
        <v>0</v>
      </c>
      <c r="AX270">
        <v>0</v>
      </c>
      <c r="AY270">
        <v>0</v>
      </c>
      <c r="AZ270" t="s">
        <v>1003</v>
      </c>
      <c r="BA270" t="s">
        <v>1065</v>
      </c>
      <c r="BB270" t="s">
        <v>154</v>
      </c>
      <c r="BC270" t="s">
        <v>907</v>
      </c>
      <c r="BD270" t="s">
        <v>257</v>
      </c>
      <c r="BE270" t="s">
        <v>258</v>
      </c>
      <c r="BF270" t="s">
        <v>1088</v>
      </c>
      <c r="BG270" t="s">
        <v>790</v>
      </c>
      <c r="BH270">
        <v>142</v>
      </c>
      <c r="BL270">
        <v>60</v>
      </c>
      <c r="BN270">
        <v>5</v>
      </c>
      <c r="BP270">
        <v>15</v>
      </c>
      <c r="BR270">
        <v>30</v>
      </c>
      <c r="BT270">
        <v>0</v>
      </c>
      <c r="BV270">
        <v>20</v>
      </c>
      <c r="BX270">
        <v>12</v>
      </c>
      <c r="BY270" t="s">
        <v>189</v>
      </c>
      <c r="BZ270">
        <v>4</v>
      </c>
      <c r="CA270">
        <v>32</v>
      </c>
      <c r="CB270" t="s">
        <v>84</v>
      </c>
      <c r="CC270" t="s">
        <v>84</v>
      </c>
      <c r="CD270" t="s">
        <v>1167</v>
      </c>
      <c r="CE270" t="s">
        <v>4252</v>
      </c>
      <c r="CF270" t="s">
        <v>1168</v>
      </c>
      <c r="CG270" t="s">
        <v>907</v>
      </c>
      <c r="CH270">
        <v>14</v>
      </c>
      <c r="CI270" t="s">
        <v>84</v>
      </c>
      <c r="CJ270" t="s">
        <v>336</v>
      </c>
      <c r="CK270" t="s">
        <v>1005</v>
      </c>
      <c r="CL270" t="s">
        <v>895</v>
      </c>
      <c r="CM270" t="s">
        <v>162</v>
      </c>
      <c r="CN270" t="s">
        <v>3874</v>
      </c>
      <c r="CO270" t="s">
        <v>84</v>
      </c>
      <c r="CP270" t="s">
        <v>355</v>
      </c>
      <c r="CQ270" t="s">
        <v>116</v>
      </c>
      <c r="CR270" t="s">
        <v>95</v>
      </c>
      <c r="CS270" t="s">
        <v>907</v>
      </c>
      <c r="CT270" t="s">
        <v>907</v>
      </c>
      <c r="CU270" t="s">
        <v>907</v>
      </c>
      <c r="CV270" t="s">
        <v>119</v>
      </c>
      <c r="CW270" t="s">
        <v>495</v>
      </c>
      <c r="CX270" t="s">
        <v>119</v>
      </c>
      <c r="CY270" t="s">
        <v>121</v>
      </c>
      <c r="CZ270" t="s">
        <v>382</v>
      </c>
      <c r="DA270">
        <v>40</v>
      </c>
      <c r="DB270" s="10">
        <v>316000</v>
      </c>
      <c r="DC270" t="s">
        <v>169</v>
      </c>
      <c r="DD270" t="s">
        <v>907</v>
      </c>
      <c r="DE270">
        <v>10</v>
      </c>
      <c r="DF270">
        <v>15</v>
      </c>
      <c r="DG270" t="s">
        <v>95</v>
      </c>
      <c r="DH270" t="s">
        <v>95</v>
      </c>
      <c r="DI270" t="s">
        <v>907</v>
      </c>
      <c r="DJ270" t="s">
        <v>907</v>
      </c>
      <c r="DK270" t="s">
        <v>907</v>
      </c>
      <c r="DL270" t="s">
        <v>907</v>
      </c>
      <c r="DM270" t="s">
        <v>291</v>
      </c>
      <c r="DN270" t="s">
        <v>907</v>
      </c>
      <c r="DO270" t="s">
        <v>907</v>
      </c>
      <c r="DP270">
        <v>2</v>
      </c>
      <c r="DQ270" t="s">
        <v>441</v>
      </c>
      <c r="DR270" t="s">
        <v>907</v>
      </c>
      <c r="DS270" t="s">
        <v>882</v>
      </c>
      <c r="DT270" t="s">
        <v>552</v>
      </c>
      <c r="DU270" t="s">
        <v>95</v>
      </c>
      <c r="DV270" t="s">
        <v>907</v>
      </c>
      <c r="DW270" t="s">
        <v>907</v>
      </c>
      <c r="DX270" t="s">
        <v>907</v>
      </c>
      <c r="FQ270">
        <v>565986514</v>
      </c>
      <c r="FR270" t="s">
        <v>1169</v>
      </c>
      <c r="FS270" s="1">
        <v>45924.707731481481</v>
      </c>
      <c r="FV270" t="s">
        <v>134</v>
      </c>
      <c r="FW270" t="s">
        <v>135</v>
      </c>
      <c r="FX270" t="s">
        <v>136</v>
      </c>
      <c r="FZ270">
        <v>201</v>
      </c>
    </row>
    <row r="271" spans="1:182" hidden="1" x14ac:dyDescent="0.3">
      <c r="A271" s="1">
        <v>45923.445354571762</v>
      </c>
      <c r="B271" s="1">
        <v>45923.534747245372</v>
      </c>
      <c r="D271" t="s">
        <v>84</v>
      </c>
      <c r="E271" t="s">
        <v>85</v>
      </c>
      <c r="F271" t="s">
        <v>86</v>
      </c>
      <c r="G271" t="s">
        <v>87</v>
      </c>
      <c r="H271" t="s">
        <v>4121</v>
      </c>
      <c r="I271" t="s">
        <v>88</v>
      </c>
      <c r="J271" t="s">
        <v>89</v>
      </c>
      <c r="K271" t="s">
        <v>90</v>
      </c>
      <c r="L271" t="s">
        <v>91</v>
      </c>
      <c r="M271" t="s">
        <v>92</v>
      </c>
      <c r="N271" t="s">
        <v>93</v>
      </c>
      <c r="O271">
        <v>-15.4676855</v>
      </c>
      <c r="P271">
        <v>23.219791699999998</v>
      </c>
      <c r="Q271">
        <v>1033.175170898438</v>
      </c>
      <c r="R271">
        <v>4.9130000000000003</v>
      </c>
      <c r="S271" t="s">
        <v>84</v>
      </c>
      <c r="T271" t="s">
        <v>94</v>
      </c>
      <c r="U271">
        <v>9</v>
      </c>
      <c r="V271" t="s">
        <v>95</v>
      </c>
      <c r="W271" t="s">
        <v>907</v>
      </c>
      <c r="X271">
        <v>22</v>
      </c>
      <c r="Y271">
        <v>4</v>
      </c>
      <c r="Z271">
        <v>1</v>
      </c>
      <c r="AA271" t="s">
        <v>96</v>
      </c>
      <c r="AB271" t="s">
        <v>97</v>
      </c>
      <c r="AC271" t="s">
        <v>98</v>
      </c>
      <c r="AD271" t="s">
        <v>99</v>
      </c>
      <c r="AE271" t="s">
        <v>100</v>
      </c>
      <c r="AF271" t="s">
        <v>907</v>
      </c>
      <c r="AG271">
        <v>2000</v>
      </c>
      <c r="AH271" t="s">
        <v>101</v>
      </c>
      <c r="AI271" t="s">
        <v>907</v>
      </c>
      <c r="AJ271" s="5">
        <v>1500</v>
      </c>
      <c r="AK271" t="s">
        <v>102</v>
      </c>
      <c r="AL271" t="s">
        <v>907</v>
      </c>
      <c r="AM271" t="s">
        <v>103</v>
      </c>
      <c r="AN271" t="s">
        <v>907</v>
      </c>
      <c r="AO271" t="s">
        <v>104</v>
      </c>
      <c r="AP271">
        <v>0</v>
      </c>
      <c r="AQ271" t="s">
        <v>105</v>
      </c>
      <c r="AR271" t="s">
        <v>95</v>
      </c>
      <c r="AS271">
        <v>0</v>
      </c>
      <c r="AT271">
        <v>10</v>
      </c>
      <c r="AU271">
        <v>0</v>
      </c>
      <c r="AV271">
        <v>0</v>
      </c>
      <c r="AW271">
        <v>0</v>
      </c>
      <c r="AX271">
        <v>0</v>
      </c>
      <c r="AY271">
        <v>0</v>
      </c>
      <c r="AZ271" t="s">
        <v>106</v>
      </c>
      <c r="BA271" t="s">
        <v>95</v>
      </c>
      <c r="BB271" t="s">
        <v>3866</v>
      </c>
      <c r="BC271" t="s">
        <v>907</v>
      </c>
      <c r="BD271" t="s">
        <v>107</v>
      </c>
      <c r="BE271" t="s">
        <v>108</v>
      </c>
      <c r="BF271" t="s">
        <v>3867</v>
      </c>
      <c r="BG271" t="s">
        <v>109</v>
      </c>
      <c r="BH271">
        <v>1</v>
      </c>
      <c r="BL271">
        <v>1</v>
      </c>
      <c r="BY271" t="s">
        <v>110</v>
      </c>
      <c r="BZ271" t="s">
        <v>907</v>
      </c>
      <c r="CA271" t="s">
        <v>907</v>
      </c>
      <c r="CB271" t="s">
        <v>84</v>
      </c>
      <c r="CC271" t="s">
        <v>84</v>
      </c>
      <c r="CD271" t="s">
        <v>111</v>
      </c>
      <c r="CE271" t="s">
        <v>4250</v>
      </c>
      <c r="CF271" t="s">
        <v>112</v>
      </c>
      <c r="CG271" t="s">
        <v>907</v>
      </c>
      <c r="CH271">
        <v>0</v>
      </c>
      <c r="CI271" t="s">
        <v>95</v>
      </c>
      <c r="CJ271" t="s">
        <v>907</v>
      </c>
      <c r="CK271" t="s">
        <v>113</v>
      </c>
      <c r="CL271" t="s">
        <v>114</v>
      </c>
      <c r="CM271" t="s">
        <v>115</v>
      </c>
      <c r="CN271" t="s">
        <v>3868</v>
      </c>
      <c r="CO271" t="s">
        <v>95</v>
      </c>
      <c r="CP271" t="s">
        <v>907</v>
      </c>
      <c r="CQ271" t="s">
        <v>116</v>
      </c>
      <c r="CR271" t="s">
        <v>84</v>
      </c>
      <c r="CS271" t="s">
        <v>117</v>
      </c>
      <c r="CT271" t="s">
        <v>118</v>
      </c>
      <c r="CU271" t="s">
        <v>3869</v>
      </c>
      <c r="CV271" t="s">
        <v>119</v>
      </c>
      <c r="CW271" t="s">
        <v>120</v>
      </c>
      <c r="CX271" t="s">
        <v>119</v>
      </c>
      <c r="CY271" t="s">
        <v>121</v>
      </c>
      <c r="CZ271" t="s">
        <v>122</v>
      </c>
      <c r="DA271">
        <v>0</v>
      </c>
      <c r="DB271" s="10">
        <v>0</v>
      </c>
      <c r="DC271" t="s">
        <v>123</v>
      </c>
      <c r="DD271" t="s">
        <v>124</v>
      </c>
      <c r="DE271" t="s">
        <v>907</v>
      </c>
      <c r="DF271">
        <v>16</v>
      </c>
      <c r="DG271" t="s">
        <v>95</v>
      </c>
      <c r="DH271" t="s">
        <v>95</v>
      </c>
      <c r="DI271" t="s">
        <v>907</v>
      </c>
      <c r="DJ271" t="s">
        <v>907</v>
      </c>
      <c r="DK271" t="s">
        <v>907</v>
      </c>
      <c r="DL271" t="s">
        <v>907</v>
      </c>
      <c r="DM271" t="s">
        <v>125</v>
      </c>
      <c r="DN271" t="s">
        <v>126</v>
      </c>
      <c r="DO271" t="s">
        <v>127</v>
      </c>
      <c r="DP271">
        <v>3</v>
      </c>
      <c r="DQ271" t="s">
        <v>128</v>
      </c>
      <c r="DR271" t="s">
        <v>907</v>
      </c>
      <c r="DS271" t="s">
        <v>129</v>
      </c>
      <c r="DT271" t="s">
        <v>130</v>
      </c>
      <c r="DU271" t="s">
        <v>84</v>
      </c>
      <c r="DV271" t="s">
        <v>131</v>
      </c>
      <c r="DW271" t="s">
        <v>132</v>
      </c>
      <c r="DX271" t="s">
        <v>95</v>
      </c>
      <c r="FQ271">
        <v>565100025</v>
      </c>
      <c r="FR271" t="s">
        <v>133</v>
      </c>
      <c r="FS271" s="1">
        <v>45923.675335648149</v>
      </c>
      <c r="FV271" t="s">
        <v>134</v>
      </c>
      <c r="FW271" t="s">
        <v>135</v>
      </c>
      <c r="FX271" t="s">
        <v>136</v>
      </c>
      <c r="FZ271">
        <v>89</v>
      </c>
    </row>
    <row r="272" spans="1:182" hidden="1" x14ac:dyDescent="0.3">
      <c r="A272" s="1">
        <v>45930.441212048609</v>
      </c>
      <c r="B272" s="1">
        <v>45931.37278972222</v>
      </c>
      <c r="D272" t="s">
        <v>84</v>
      </c>
      <c r="E272" t="s">
        <v>85</v>
      </c>
      <c r="F272" t="s">
        <v>3783</v>
      </c>
      <c r="G272" t="s">
        <v>87</v>
      </c>
      <c r="H272" t="s">
        <v>4122</v>
      </c>
      <c r="I272" t="s">
        <v>3784</v>
      </c>
      <c r="J272" t="s">
        <v>3785</v>
      </c>
      <c r="K272" t="s">
        <v>90</v>
      </c>
      <c r="L272" t="s">
        <v>3786</v>
      </c>
      <c r="M272" t="s">
        <v>3667</v>
      </c>
      <c r="N272" t="s">
        <v>3787</v>
      </c>
      <c r="O272">
        <v>-15.1811709</v>
      </c>
      <c r="P272">
        <v>22.838733900000001</v>
      </c>
      <c r="Q272">
        <v>1019.218383789062</v>
      </c>
      <c r="R272">
        <v>4.8460000000000001</v>
      </c>
      <c r="S272" t="s">
        <v>84</v>
      </c>
      <c r="T272" t="s">
        <v>362</v>
      </c>
      <c r="U272">
        <v>2</v>
      </c>
      <c r="V272" t="s">
        <v>212</v>
      </c>
      <c r="W272" t="s">
        <v>232</v>
      </c>
      <c r="X272">
        <v>25</v>
      </c>
      <c r="Y272">
        <v>50</v>
      </c>
      <c r="Z272">
        <v>1</v>
      </c>
      <c r="AA272" t="s">
        <v>279</v>
      </c>
      <c r="AB272" t="s">
        <v>97</v>
      </c>
      <c r="AC272" t="s">
        <v>144</v>
      </c>
      <c r="AD272" t="s">
        <v>99</v>
      </c>
      <c r="AE272" t="s">
        <v>100</v>
      </c>
      <c r="AF272" t="s">
        <v>907</v>
      </c>
      <c r="AG272">
        <v>0</v>
      </c>
      <c r="AH272" t="s">
        <v>100</v>
      </c>
      <c r="AI272" t="s">
        <v>907</v>
      </c>
      <c r="AJ272" s="5">
        <v>0</v>
      </c>
      <c r="AK272" t="s">
        <v>102</v>
      </c>
      <c r="AL272" t="s">
        <v>907</v>
      </c>
      <c r="AM272" t="s">
        <v>149</v>
      </c>
      <c r="AN272" t="s">
        <v>907</v>
      </c>
      <c r="AO272" t="s">
        <v>3788</v>
      </c>
      <c r="AP272" t="s">
        <v>3789</v>
      </c>
      <c r="AQ272" t="s">
        <v>3790</v>
      </c>
      <c r="AR272" t="s">
        <v>95</v>
      </c>
      <c r="AS272">
        <v>26</v>
      </c>
      <c r="AT272">
        <v>0</v>
      </c>
      <c r="AU272">
        <v>0</v>
      </c>
      <c r="AV272">
        <v>0</v>
      </c>
      <c r="AW272">
        <v>0</v>
      </c>
      <c r="AX272">
        <v>0</v>
      </c>
      <c r="AY272">
        <v>0</v>
      </c>
      <c r="AZ272" t="s">
        <v>1003</v>
      </c>
      <c r="BA272" t="s">
        <v>3791</v>
      </c>
      <c r="BB272" t="s">
        <v>232</v>
      </c>
      <c r="BC272" t="s">
        <v>95</v>
      </c>
      <c r="BD272" t="s">
        <v>107</v>
      </c>
      <c r="BE272" t="s">
        <v>108</v>
      </c>
      <c r="BF272" t="s">
        <v>544</v>
      </c>
      <c r="BG272" t="s">
        <v>235</v>
      </c>
      <c r="BH272">
        <v>40</v>
      </c>
      <c r="BY272" t="s">
        <v>189</v>
      </c>
      <c r="BZ272">
        <v>6</v>
      </c>
      <c r="CA272">
        <v>8</v>
      </c>
      <c r="CB272" t="s">
        <v>84</v>
      </c>
      <c r="CC272" t="s">
        <v>84</v>
      </c>
      <c r="CD272" t="s">
        <v>545</v>
      </c>
      <c r="CE272" t="s">
        <v>4250</v>
      </c>
      <c r="CF272" t="s">
        <v>4116</v>
      </c>
      <c r="CG272" t="s">
        <v>907</v>
      </c>
      <c r="CH272">
        <v>15</v>
      </c>
      <c r="CI272" t="s">
        <v>95</v>
      </c>
      <c r="CJ272" t="s">
        <v>907</v>
      </c>
      <c r="CK272" t="s">
        <v>289</v>
      </c>
      <c r="CL272" t="s">
        <v>4262</v>
      </c>
      <c r="CM272" t="s">
        <v>115</v>
      </c>
      <c r="CN272" t="s">
        <v>3903</v>
      </c>
      <c r="CO272" t="s">
        <v>95</v>
      </c>
      <c r="CP272" t="s">
        <v>907</v>
      </c>
      <c r="CQ272" t="s">
        <v>116</v>
      </c>
      <c r="CR272" t="s">
        <v>84</v>
      </c>
      <c r="CS272" t="s">
        <v>117</v>
      </c>
      <c r="CT272" t="s">
        <v>264</v>
      </c>
      <c r="CU272" t="s">
        <v>3869</v>
      </c>
      <c r="CV272" t="s">
        <v>119</v>
      </c>
      <c r="CW272" t="s">
        <v>559</v>
      </c>
      <c r="CX272" t="s">
        <v>166</v>
      </c>
      <c r="CY272" t="s">
        <v>549</v>
      </c>
      <c r="CZ272" t="s">
        <v>2452</v>
      </c>
      <c r="DA272">
        <v>0</v>
      </c>
      <c r="DB272" s="10">
        <v>0</v>
      </c>
      <c r="DC272" t="s">
        <v>169</v>
      </c>
      <c r="DD272" t="s">
        <v>907</v>
      </c>
      <c r="DE272">
        <v>1</v>
      </c>
      <c r="DF272">
        <v>35</v>
      </c>
      <c r="DG272" t="s">
        <v>95</v>
      </c>
      <c r="DH272" t="s">
        <v>95</v>
      </c>
      <c r="DI272" t="s">
        <v>907</v>
      </c>
      <c r="DJ272" t="s">
        <v>907</v>
      </c>
      <c r="DK272" t="s">
        <v>907</v>
      </c>
      <c r="DL272" t="s">
        <v>907</v>
      </c>
      <c r="DM272" t="s">
        <v>125</v>
      </c>
      <c r="DN272" t="s">
        <v>200</v>
      </c>
      <c r="DO272" t="s">
        <v>2790</v>
      </c>
      <c r="DP272">
        <v>5</v>
      </c>
      <c r="DQ272" t="s">
        <v>128</v>
      </c>
      <c r="DR272" t="s">
        <v>907</v>
      </c>
      <c r="DS272" t="s">
        <v>442</v>
      </c>
      <c r="DT272" t="s">
        <v>3792</v>
      </c>
      <c r="DU272" t="s">
        <v>95</v>
      </c>
      <c r="DV272" t="s">
        <v>907</v>
      </c>
      <c r="DW272" t="s">
        <v>907</v>
      </c>
      <c r="DX272" t="s">
        <v>907</v>
      </c>
      <c r="FQ272">
        <v>570597398</v>
      </c>
      <c r="FR272" t="s">
        <v>3793</v>
      </c>
      <c r="FS272" s="1">
        <v>45931.289675925917</v>
      </c>
      <c r="FV272" t="s">
        <v>134</v>
      </c>
      <c r="FW272" t="s">
        <v>135</v>
      </c>
      <c r="FX272" t="s">
        <v>136</v>
      </c>
      <c r="FZ272">
        <v>643</v>
      </c>
    </row>
    <row r="273" spans="1:182" hidden="1" x14ac:dyDescent="0.3">
      <c r="A273" s="1">
        <v>45924.541249189817</v>
      </c>
      <c r="B273" s="1">
        <v>45924.553484594908</v>
      </c>
      <c r="D273" t="s">
        <v>84</v>
      </c>
      <c r="E273" t="s">
        <v>535</v>
      </c>
      <c r="F273" t="s">
        <v>736</v>
      </c>
      <c r="G273" t="s">
        <v>87</v>
      </c>
      <c r="H273" t="s">
        <v>4122</v>
      </c>
      <c r="I273" t="s">
        <v>737</v>
      </c>
      <c r="J273" t="s">
        <v>738</v>
      </c>
      <c r="K273" t="s">
        <v>90</v>
      </c>
      <c r="L273" t="s">
        <v>670</v>
      </c>
      <c r="M273" t="s">
        <v>540</v>
      </c>
      <c r="N273" t="s">
        <v>739</v>
      </c>
      <c r="O273">
        <v>-15.3456861</v>
      </c>
      <c r="P273">
        <v>23.1288634</v>
      </c>
      <c r="Q273">
        <v>1031.750366210938</v>
      </c>
      <c r="R273">
        <v>4.6189999999999998</v>
      </c>
      <c r="S273" t="s">
        <v>84</v>
      </c>
      <c r="T273" t="s">
        <v>362</v>
      </c>
      <c r="U273">
        <v>8</v>
      </c>
      <c r="V273" t="s">
        <v>302</v>
      </c>
      <c r="W273" t="s">
        <v>740</v>
      </c>
      <c r="X273">
        <v>30</v>
      </c>
      <c r="Y273">
        <v>50</v>
      </c>
      <c r="Z273">
        <v>3</v>
      </c>
      <c r="AA273" t="s">
        <v>96</v>
      </c>
      <c r="AB273" t="s">
        <v>97</v>
      </c>
      <c r="AC273" t="s">
        <v>98</v>
      </c>
      <c r="AD273" t="s">
        <v>520</v>
      </c>
      <c r="AE273" t="s">
        <v>100</v>
      </c>
      <c r="AF273" t="s">
        <v>907</v>
      </c>
      <c r="AG273">
        <v>0</v>
      </c>
      <c r="AH273" t="s">
        <v>214</v>
      </c>
      <c r="AI273" t="s">
        <v>907</v>
      </c>
      <c r="AJ273" s="5">
        <v>0</v>
      </c>
      <c r="AK273" t="s">
        <v>102</v>
      </c>
      <c r="AL273" t="s">
        <v>907</v>
      </c>
      <c r="AM273" t="s">
        <v>741</v>
      </c>
      <c r="AN273" t="s">
        <v>907</v>
      </c>
      <c r="AO273">
        <v>0</v>
      </c>
      <c r="AP273" t="s">
        <v>742</v>
      </c>
      <c r="AQ273" t="s">
        <v>149</v>
      </c>
      <c r="AR273" t="s">
        <v>84</v>
      </c>
      <c r="AS273">
        <v>0</v>
      </c>
      <c r="AT273">
        <v>0</v>
      </c>
      <c r="AU273">
        <v>0</v>
      </c>
      <c r="AV273">
        <v>200</v>
      </c>
      <c r="AW273">
        <v>600</v>
      </c>
      <c r="AX273">
        <v>0</v>
      </c>
      <c r="AY273">
        <v>0</v>
      </c>
      <c r="AZ273" t="s">
        <v>284</v>
      </c>
      <c r="BA273" t="s">
        <v>95</v>
      </c>
      <c r="BB273" t="s">
        <v>232</v>
      </c>
      <c r="BC273" t="s">
        <v>95</v>
      </c>
      <c r="BD273" t="s">
        <v>285</v>
      </c>
      <c r="BE273" t="s">
        <v>108</v>
      </c>
      <c r="BF273" t="s">
        <v>3895</v>
      </c>
      <c r="BG273" t="s">
        <v>235</v>
      </c>
      <c r="BH273">
        <v>130</v>
      </c>
      <c r="BY273" t="s">
        <v>189</v>
      </c>
      <c r="BZ273">
        <v>2</v>
      </c>
      <c r="CA273">
        <v>26</v>
      </c>
      <c r="CB273" t="s">
        <v>84</v>
      </c>
      <c r="CC273" t="s">
        <v>84</v>
      </c>
      <c r="CD273" t="s">
        <v>237</v>
      </c>
      <c r="CE273" t="s">
        <v>4250</v>
      </c>
      <c r="CF273" t="s">
        <v>743</v>
      </c>
      <c r="CG273" t="s">
        <v>907</v>
      </c>
      <c r="CH273">
        <v>15</v>
      </c>
      <c r="CI273" t="s">
        <v>95</v>
      </c>
      <c r="CJ273" t="s">
        <v>907</v>
      </c>
      <c r="CK273" t="s">
        <v>289</v>
      </c>
      <c r="CL273" t="s">
        <v>4262</v>
      </c>
      <c r="CM273" t="s">
        <v>193</v>
      </c>
      <c r="CN273" t="s">
        <v>3886</v>
      </c>
      <c r="CO273" t="s">
        <v>95</v>
      </c>
      <c r="CP273" t="s">
        <v>907</v>
      </c>
      <c r="CQ273" t="s">
        <v>116</v>
      </c>
      <c r="CR273" t="s">
        <v>84</v>
      </c>
      <c r="CS273" t="s">
        <v>117</v>
      </c>
      <c r="CT273" t="s">
        <v>907</v>
      </c>
      <c r="CU273" t="s">
        <v>3869</v>
      </c>
      <c r="CV273" t="s">
        <v>119</v>
      </c>
      <c r="CW273" t="s">
        <v>168</v>
      </c>
      <c r="CX273" t="s">
        <v>166</v>
      </c>
      <c r="CY273" t="s">
        <v>549</v>
      </c>
      <c r="CZ273" t="s">
        <v>168</v>
      </c>
      <c r="DA273">
        <v>0</v>
      </c>
      <c r="DB273" s="10">
        <v>0</v>
      </c>
      <c r="DC273" t="s">
        <v>169</v>
      </c>
      <c r="DD273" t="s">
        <v>907</v>
      </c>
      <c r="DE273">
        <v>3</v>
      </c>
      <c r="DF273">
        <v>15</v>
      </c>
      <c r="DG273" t="s">
        <v>95</v>
      </c>
      <c r="DH273" t="s">
        <v>95</v>
      </c>
      <c r="DI273" t="s">
        <v>907</v>
      </c>
      <c r="DJ273" t="s">
        <v>907</v>
      </c>
      <c r="DK273" t="s">
        <v>907</v>
      </c>
      <c r="DL273" t="s">
        <v>907</v>
      </c>
      <c r="DM273" t="s">
        <v>125</v>
      </c>
      <c r="DN273" t="s">
        <v>744</v>
      </c>
      <c r="DO273" t="s">
        <v>171</v>
      </c>
      <c r="DP273">
        <v>5</v>
      </c>
      <c r="DQ273" t="s">
        <v>128</v>
      </c>
      <c r="DR273" t="s">
        <v>907</v>
      </c>
      <c r="DS273" t="s">
        <v>551</v>
      </c>
      <c r="DT273" t="s">
        <v>636</v>
      </c>
      <c r="DU273" t="s">
        <v>84</v>
      </c>
      <c r="DV273" t="s">
        <v>225</v>
      </c>
      <c r="DW273" t="s">
        <v>533</v>
      </c>
      <c r="DX273" t="s">
        <v>95</v>
      </c>
      <c r="FQ273">
        <v>565909078</v>
      </c>
      <c r="FR273" t="s">
        <v>745</v>
      </c>
      <c r="FS273" s="1">
        <v>45924.644907407397</v>
      </c>
      <c r="FV273" t="s">
        <v>134</v>
      </c>
      <c r="FW273" t="s">
        <v>135</v>
      </c>
      <c r="FX273" t="s">
        <v>136</v>
      </c>
      <c r="FZ273">
        <v>164</v>
      </c>
    </row>
    <row r="274" spans="1:182" hidden="1" x14ac:dyDescent="0.3">
      <c r="A274" s="1">
        <v>45929.496811261582</v>
      </c>
      <c r="B274" s="1">
        <v>45930.28327659722</v>
      </c>
      <c r="D274" t="s">
        <v>84</v>
      </c>
      <c r="E274" t="s">
        <v>3876</v>
      </c>
      <c r="F274" t="s">
        <v>3259</v>
      </c>
      <c r="G274" t="s">
        <v>176</v>
      </c>
      <c r="H274" t="s">
        <v>4122</v>
      </c>
      <c r="I274" t="s">
        <v>3260</v>
      </c>
      <c r="J274" t="s">
        <v>3261</v>
      </c>
      <c r="K274" t="s">
        <v>90</v>
      </c>
      <c r="L274" t="s">
        <v>3248</v>
      </c>
      <c r="M274" t="s">
        <v>3242</v>
      </c>
      <c r="S274" t="s">
        <v>84</v>
      </c>
      <c r="T274" t="s">
        <v>94</v>
      </c>
      <c r="U274">
        <v>25</v>
      </c>
      <c r="V274" t="s">
        <v>95</v>
      </c>
      <c r="W274" t="s">
        <v>907</v>
      </c>
      <c r="X274">
        <v>30</v>
      </c>
      <c r="Y274">
        <v>5</v>
      </c>
      <c r="Z274">
        <v>5</v>
      </c>
      <c r="AA274" t="s">
        <v>504</v>
      </c>
      <c r="AB274" t="s">
        <v>351</v>
      </c>
      <c r="AC274" t="s">
        <v>98</v>
      </c>
      <c r="AD274" t="s">
        <v>252</v>
      </c>
      <c r="AE274" t="s">
        <v>304</v>
      </c>
      <c r="AF274" t="s">
        <v>907</v>
      </c>
      <c r="AG274">
        <v>50000</v>
      </c>
      <c r="AH274" t="s">
        <v>431</v>
      </c>
      <c r="AI274" t="s">
        <v>907</v>
      </c>
      <c r="AJ274" s="5">
        <v>9000</v>
      </c>
      <c r="AK274" t="s">
        <v>148</v>
      </c>
      <c r="AL274" t="s">
        <v>907</v>
      </c>
      <c r="AM274" t="s">
        <v>466</v>
      </c>
      <c r="AN274" t="s">
        <v>907</v>
      </c>
      <c r="AO274" t="s">
        <v>267</v>
      </c>
      <c r="AP274" t="s">
        <v>3262</v>
      </c>
      <c r="AQ274" t="s">
        <v>3263</v>
      </c>
      <c r="AR274" t="s">
        <v>95</v>
      </c>
      <c r="AS274">
        <v>0</v>
      </c>
      <c r="AT274">
        <v>0</v>
      </c>
      <c r="AU274">
        <v>0</v>
      </c>
      <c r="AV274">
        <v>0</v>
      </c>
      <c r="AW274">
        <v>0</v>
      </c>
      <c r="AX274">
        <v>0</v>
      </c>
      <c r="AY274">
        <v>0</v>
      </c>
      <c r="AZ274" t="s">
        <v>1003</v>
      </c>
      <c r="BA274" t="s">
        <v>95</v>
      </c>
      <c r="BB274" t="s">
        <v>154</v>
      </c>
      <c r="BC274" t="s">
        <v>907</v>
      </c>
      <c r="BD274" t="s">
        <v>107</v>
      </c>
      <c r="BE274" t="s">
        <v>258</v>
      </c>
      <c r="BF274" t="s">
        <v>3264</v>
      </c>
      <c r="BG274" t="s">
        <v>2033</v>
      </c>
      <c r="BH274">
        <v>146</v>
      </c>
      <c r="BL274">
        <v>52</v>
      </c>
      <c r="BN274">
        <v>3</v>
      </c>
      <c r="BP274">
        <v>20</v>
      </c>
      <c r="BR274">
        <v>12</v>
      </c>
      <c r="BT274">
        <v>6</v>
      </c>
      <c r="BV274">
        <v>8</v>
      </c>
      <c r="BX274">
        <v>27</v>
      </c>
      <c r="BY274" t="s">
        <v>189</v>
      </c>
      <c r="BZ274">
        <v>2</v>
      </c>
      <c r="CA274">
        <v>120</v>
      </c>
      <c r="CB274" t="s">
        <v>84</v>
      </c>
      <c r="CC274" t="s">
        <v>84</v>
      </c>
      <c r="CD274" t="s">
        <v>3265</v>
      </c>
      <c r="CE274" t="s">
        <v>4249</v>
      </c>
      <c r="CF274" t="s">
        <v>3266</v>
      </c>
      <c r="CG274" t="s">
        <v>907</v>
      </c>
      <c r="CH274">
        <v>15</v>
      </c>
      <c r="CI274" t="s">
        <v>95</v>
      </c>
      <c r="CJ274" t="s">
        <v>907</v>
      </c>
      <c r="CK274" t="s">
        <v>1005</v>
      </c>
      <c r="CL274" t="s">
        <v>895</v>
      </c>
      <c r="CM274" t="s">
        <v>193</v>
      </c>
      <c r="CN274" t="s">
        <v>3874</v>
      </c>
      <c r="CO274" t="s">
        <v>95</v>
      </c>
      <c r="CP274" t="s">
        <v>907</v>
      </c>
      <c r="CQ274" t="s">
        <v>116</v>
      </c>
      <c r="CR274" t="s">
        <v>95</v>
      </c>
      <c r="CS274" t="s">
        <v>907</v>
      </c>
      <c r="CT274" t="s">
        <v>907</v>
      </c>
      <c r="CU274" t="s">
        <v>907</v>
      </c>
      <c r="CV274" t="s">
        <v>812</v>
      </c>
      <c r="CW274" t="s">
        <v>1137</v>
      </c>
      <c r="CX274" t="s">
        <v>166</v>
      </c>
      <c r="CY274" t="s">
        <v>167</v>
      </c>
      <c r="CZ274" t="s">
        <v>3267</v>
      </c>
      <c r="DA274">
        <v>10</v>
      </c>
      <c r="DB274" s="10">
        <v>60000</v>
      </c>
      <c r="DC274" t="s">
        <v>169</v>
      </c>
      <c r="DD274" t="s">
        <v>907</v>
      </c>
      <c r="DE274">
        <v>5</v>
      </c>
      <c r="DF274">
        <v>20</v>
      </c>
      <c r="DG274" t="s">
        <v>95</v>
      </c>
      <c r="DH274" t="s">
        <v>95</v>
      </c>
      <c r="DI274" t="s">
        <v>907</v>
      </c>
      <c r="DJ274" t="s">
        <v>907</v>
      </c>
      <c r="DK274" t="s">
        <v>907</v>
      </c>
      <c r="DL274" t="s">
        <v>907</v>
      </c>
      <c r="DM274" t="s">
        <v>291</v>
      </c>
      <c r="DN274" t="s">
        <v>907</v>
      </c>
      <c r="DO274" t="s">
        <v>907</v>
      </c>
      <c r="DP274">
        <v>2</v>
      </c>
      <c r="DQ274" t="s">
        <v>441</v>
      </c>
      <c r="DR274" t="s">
        <v>907</v>
      </c>
      <c r="DS274" t="s">
        <v>172</v>
      </c>
      <c r="DT274" t="s">
        <v>2431</v>
      </c>
      <c r="DU274" t="s">
        <v>84</v>
      </c>
      <c r="DV274" t="s">
        <v>294</v>
      </c>
      <c r="DW274" t="s">
        <v>132</v>
      </c>
      <c r="DX274" t="s">
        <v>95</v>
      </c>
      <c r="FQ274">
        <v>569746368</v>
      </c>
      <c r="FR274" t="s">
        <v>3268</v>
      </c>
      <c r="FS274" s="1">
        <v>45930.200243055559</v>
      </c>
      <c r="FV274" t="s">
        <v>134</v>
      </c>
      <c r="FW274" t="s">
        <v>135</v>
      </c>
      <c r="FX274" t="s">
        <v>136</v>
      </c>
      <c r="FZ274">
        <v>525</v>
      </c>
    </row>
    <row r="275" spans="1:182" hidden="1" x14ac:dyDescent="0.3">
      <c r="A275" s="1">
        <v>45929.530264930552</v>
      </c>
      <c r="B275" s="1">
        <v>45929.55407416667</v>
      </c>
      <c r="D275" t="s">
        <v>84</v>
      </c>
      <c r="E275" t="s">
        <v>1878</v>
      </c>
      <c r="F275" t="s">
        <v>3171</v>
      </c>
      <c r="G275" t="s">
        <v>176</v>
      </c>
      <c r="H275" t="s">
        <v>4122</v>
      </c>
      <c r="I275" t="s">
        <v>3172</v>
      </c>
      <c r="J275" t="s">
        <v>3173</v>
      </c>
      <c r="K275" t="s">
        <v>90</v>
      </c>
      <c r="L275" t="s">
        <v>4059</v>
      </c>
      <c r="M275" t="s">
        <v>277</v>
      </c>
      <c r="N275" t="s">
        <v>3174</v>
      </c>
      <c r="O275">
        <v>-15.395943000000001</v>
      </c>
      <c r="P275">
        <v>23.0406291</v>
      </c>
      <c r="Q275">
        <v>1039</v>
      </c>
      <c r="R275">
        <v>4.95</v>
      </c>
      <c r="S275" t="s">
        <v>84</v>
      </c>
      <c r="T275" t="s">
        <v>182</v>
      </c>
      <c r="U275">
        <v>10</v>
      </c>
      <c r="V275" t="s">
        <v>95</v>
      </c>
      <c r="W275" t="s">
        <v>907</v>
      </c>
      <c r="X275">
        <v>13</v>
      </c>
      <c r="Y275">
        <v>1</v>
      </c>
      <c r="Z275">
        <v>1</v>
      </c>
      <c r="AA275" t="s">
        <v>96</v>
      </c>
      <c r="AB275" t="s">
        <v>97</v>
      </c>
      <c r="AC275" t="s">
        <v>98</v>
      </c>
      <c r="AD275" t="s">
        <v>280</v>
      </c>
      <c r="AE275" t="s">
        <v>101</v>
      </c>
      <c r="AF275" t="s">
        <v>907</v>
      </c>
      <c r="AG275">
        <v>580</v>
      </c>
      <c r="AH275" t="s">
        <v>304</v>
      </c>
      <c r="AI275" t="s">
        <v>907</v>
      </c>
      <c r="AJ275" s="5">
        <v>1500</v>
      </c>
      <c r="AK275" t="s">
        <v>183</v>
      </c>
      <c r="AL275" t="s">
        <v>907</v>
      </c>
      <c r="AM275" t="s">
        <v>466</v>
      </c>
      <c r="AN275" t="s">
        <v>907</v>
      </c>
      <c r="AQ275" t="s">
        <v>907</v>
      </c>
      <c r="AR275" t="s">
        <v>907</v>
      </c>
      <c r="AS275">
        <v>0</v>
      </c>
      <c r="AT275">
        <v>0</v>
      </c>
      <c r="AU275">
        <v>0</v>
      </c>
      <c r="AV275">
        <v>0</v>
      </c>
      <c r="AW275">
        <v>0</v>
      </c>
      <c r="AX275">
        <v>0</v>
      </c>
      <c r="AY275">
        <v>0</v>
      </c>
      <c r="AZ275" t="s">
        <v>106</v>
      </c>
      <c r="BA275" t="s">
        <v>907</v>
      </c>
      <c r="BB275" t="s">
        <v>3866</v>
      </c>
      <c r="BC275" t="s">
        <v>907</v>
      </c>
      <c r="BD275" t="s">
        <v>107</v>
      </c>
      <c r="BE275" t="s">
        <v>907</v>
      </c>
      <c r="BF275" t="s">
        <v>907</v>
      </c>
      <c r="BG275" t="s">
        <v>156</v>
      </c>
      <c r="BH275">
        <v>40</v>
      </c>
      <c r="BL275">
        <v>15</v>
      </c>
      <c r="BN275">
        <v>3</v>
      </c>
      <c r="BP275">
        <v>5</v>
      </c>
      <c r="BR275">
        <v>0</v>
      </c>
      <c r="BT275">
        <v>5</v>
      </c>
      <c r="BV275">
        <v>0</v>
      </c>
      <c r="BX275">
        <v>7</v>
      </c>
      <c r="BY275" t="s">
        <v>189</v>
      </c>
      <c r="BZ275">
        <v>5</v>
      </c>
      <c r="CA275">
        <v>10</v>
      </c>
      <c r="CB275" t="s">
        <v>84</v>
      </c>
      <c r="CC275" t="s">
        <v>84</v>
      </c>
      <c r="CD275" t="s">
        <v>3175</v>
      </c>
      <c r="CE275" t="s">
        <v>4249</v>
      </c>
      <c r="CF275" t="s">
        <v>3176</v>
      </c>
      <c r="CG275" t="s">
        <v>907</v>
      </c>
      <c r="CH275">
        <v>15</v>
      </c>
      <c r="CI275" t="s">
        <v>95</v>
      </c>
      <c r="CJ275" t="s">
        <v>907</v>
      </c>
      <c r="CK275" t="s">
        <v>289</v>
      </c>
      <c r="CL275" t="s">
        <v>4262</v>
      </c>
      <c r="CM275" t="s">
        <v>193</v>
      </c>
      <c r="CN275" t="s">
        <v>3874</v>
      </c>
      <c r="CO275" t="s">
        <v>95</v>
      </c>
      <c r="CP275" t="s">
        <v>907</v>
      </c>
      <c r="CQ275" t="s">
        <v>116</v>
      </c>
      <c r="CR275" t="s">
        <v>95</v>
      </c>
      <c r="CS275" t="s">
        <v>907</v>
      </c>
      <c r="CT275" t="s">
        <v>907</v>
      </c>
      <c r="CU275" t="s">
        <v>907</v>
      </c>
      <c r="CV275" t="s">
        <v>907</v>
      </c>
      <c r="CW275" t="s">
        <v>907</v>
      </c>
      <c r="CX275" t="s">
        <v>119</v>
      </c>
      <c r="CY275" t="s">
        <v>121</v>
      </c>
      <c r="CZ275" t="s">
        <v>3177</v>
      </c>
      <c r="DA275">
        <v>2</v>
      </c>
      <c r="DB275" s="10">
        <v>4000</v>
      </c>
      <c r="DC275" t="s">
        <v>169</v>
      </c>
      <c r="DD275" t="s">
        <v>907</v>
      </c>
      <c r="DE275">
        <v>10</v>
      </c>
      <c r="DF275">
        <v>16</v>
      </c>
      <c r="DG275" t="s">
        <v>84</v>
      </c>
      <c r="DH275" t="s">
        <v>95</v>
      </c>
      <c r="DI275" t="s">
        <v>907</v>
      </c>
      <c r="DJ275" t="s">
        <v>907</v>
      </c>
      <c r="DK275" t="s">
        <v>907</v>
      </c>
      <c r="DL275" t="s">
        <v>907</v>
      </c>
      <c r="DM275" t="s">
        <v>291</v>
      </c>
      <c r="DN275" t="s">
        <v>907</v>
      </c>
      <c r="DO275" t="s">
        <v>907</v>
      </c>
      <c r="DP275">
        <v>3</v>
      </c>
      <c r="DQ275" t="s">
        <v>128</v>
      </c>
      <c r="DR275" t="s">
        <v>907</v>
      </c>
      <c r="DS275" t="s">
        <v>172</v>
      </c>
      <c r="DT275" t="s">
        <v>3178</v>
      </c>
      <c r="DU275" t="s">
        <v>84</v>
      </c>
      <c r="DV275" t="s">
        <v>131</v>
      </c>
      <c r="DW275" t="s">
        <v>1305</v>
      </c>
      <c r="DX275" t="s">
        <v>95</v>
      </c>
      <c r="FQ275">
        <v>569368920</v>
      </c>
      <c r="FR275" t="s">
        <v>3179</v>
      </c>
      <c r="FS275" s="1">
        <v>45929.596446759257</v>
      </c>
      <c r="FV275" t="s">
        <v>134</v>
      </c>
      <c r="FW275" t="s">
        <v>135</v>
      </c>
      <c r="FX275" t="s">
        <v>136</v>
      </c>
      <c r="FZ275">
        <v>485</v>
      </c>
    </row>
    <row r="276" spans="1:182" hidden="1" x14ac:dyDescent="0.3">
      <c r="A276" s="1">
        <v>45923.363289872686</v>
      </c>
      <c r="B276" s="1">
        <v>45923.39968934028</v>
      </c>
      <c r="D276" t="s">
        <v>84</v>
      </c>
      <c r="E276" t="s">
        <v>297</v>
      </c>
      <c r="F276" t="s">
        <v>346</v>
      </c>
      <c r="G276" t="s">
        <v>176</v>
      </c>
      <c r="H276" t="s">
        <v>4122</v>
      </c>
      <c r="I276" t="s">
        <v>347</v>
      </c>
      <c r="J276" t="s">
        <v>348</v>
      </c>
      <c r="K276" t="s">
        <v>90</v>
      </c>
      <c r="L276" t="s">
        <v>249</v>
      </c>
      <c r="M276" t="s">
        <v>349</v>
      </c>
      <c r="N276" t="s">
        <v>350</v>
      </c>
      <c r="O276">
        <v>-15.440295000000001</v>
      </c>
      <c r="P276">
        <v>23.2169667</v>
      </c>
      <c r="Q276">
        <v>1018.1</v>
      </c>
      <c r="R276">
        <v>3.74</v>
      </c>
      <c r="S276" t="s">
        <v>84</v>
      </c>
      <c r="T276" t="s">
        <v>182</v>
      </c>
      <c r="U276">
        <v>7</v>
      </c>
      <c r="V276" t="s">
        <v>95</v>
      </c>
      <c r="W276" t="s">
        <v>907</v>
      </c>
      <c r="X276">
        <v>20</v>
      </c>
      <c r="Y276">
        <v>4</v>
      </c>
      <c r="Z276">
        <v>4</v>
      </c>
      <c r="AA276" t="s">
        <v>251</v>
      </c>
      <c r="AB276" t="s">
        <v>351</v>
      </c>
      <c r="AC276" t="s">
        <v>98</v>
      </c>
      <c r="AD276" t="s">
        <v>252</v>
      </c>
      <c r="AE276" t="s">
        <v>100</v>
      </c>
      <c r="AF276" t="s">
        <v>907</v>
      </c>
      <c r="AG276">
        <v>100000</v>
      </c>
      <c r="AH276" t="s">
        <v>3873</v>
      </c>
      <c r="AI276" t="s">
        <v>907</v>
      </c>
      <c r="AJ276" t="s">
        <v>907</v>
      </c>
      <c r="AK276" t="s">
        <v>102</v>
      </c>
      <c r="AL276" t="s">
        <v>907</v>
      </c>
      <c r="AM276" t="s">
        <v>253</v>
      </c>
      <c r="AN276" t="s">
        <v>907</v>
      </c>
      <c r="AO276" t="s">
        <v>267</v>
      </c>
      <c r="AP276" t="s">
        <v>352</v>
      </c>
      <c r="AQ276" t="s">
        <v>353</v>
      </c>
      <c r="AR276" t="s">
        <v>95</v>
      </c>
      <c r="AS276">
        <v>0</v>
      </c>
      <c r="AT276">
        <v>0</v>
      </c>
      <c r="AU276">
        <v>0</v>
      </c>
      <c r="AV276">
        <v>0</v>
      </c>
      <c r="AW276">
        <v>20</v>
      </c>
      <c r="AX276">
        <v>0</v>
      </c>
      <c r="AY276">
        <v>0</v>
      </c>
      <c r="AZ276" t="s">
        <v>256</v>
      </c>
      <c r="BA276" t="s">
        <v>95</v>
      </c>
      <c r="BB276" t="s">
        <v>154</v>
      </c>
      <c r="BC276" t="s">
        <v>907</v>
      </c>
      <c r="BD276" t="s">
        <v>257</v>
      </c>
      <c r="BE276" t="s">
        <v>258</v>
      </c>
      <c r="BF276" t="s">
        <v>259</v>
      </c>
      <c r="BG276" t="s">
        <v>235</v>
      </c>
      <c r="BH276">
        <v>39</v>
      </c>
      <c r="BL276">
        <v>10</v>
      </c>
      <c r="BN276">
        <v>0</v>
      </c>
      <c r="BP276">
        <v>3</v>
      </c>
      <c r="BR276">
        <v>8</v>
      </c>
      <c r="BT276">
        <v>0</v>
      </c>
      <c r="BV276">
        <v>4</v>
      </c>
      <c r="BX276">
        <v>3</v>
      </c>
      <c r="BY276" t="s">
        <v>189</v>
      </c>
      <c r="BZ276">
        <v>1</v>
      </c>
      <c r="CA276">
        <v>0</v>
      </c>
      <c r="CB276" t="s">
        <v>84</v>
      </c>
      <c r="CC276" t="s">
        <v>84</v>
      </c>
      <c r="CD276" t="s">
        <v>354</v>
      </c>
      <c r="CE276" t="s">
        <v>4251</v>
      </c>
      <c r="CF276" t="s">
        <v>261</v>
      </c>
      <c r="CG276" t="s">
        <v>907</v>
      </c>
      <c r="CH276">
        <v>15</v>
      </c>
      <c r="CI276" t="s">
        <v>84</v>
      </c>
      <c r="CJ276" t="s">
        <v>262</v>
      </c>
      <c r="CK276" t="s">
        <v>113</v>
      </c>
      <c r="CL276" t="s">
        <v>263</v>
      </c>
      <c r="CM276" t="s">
        <v>193</v>
      </c>
      <c r="CN276" t="s">
        <v>3874</v>
      </c>
      <c r="CO276" t="s">
        <v>84</v>
      </c>
      <c r="CP276" t="s">
        <v>355</v>
      </c>
      <c r="CQ276" t="s">
        <v>116</v>
      </c>
      <c r="CR276" t="s">
        <v>84</v>
      </c>
      <c r="CS276" t="s">
        <v>117</v>
      </c>
      <c r="CT276" t="s">
        <v>264</v>
      </c>
      <c r="CU276" t="s">
        <v>3869</v>
      </c>
      <c r="CV276" t="s">
        <v>119</v>
      </c>
      <c r="CW276" t="s">
        <v>265</v>
      </c>
      <c r="CX276" t="s">
        <v>166</v>
      </c>
      <c r="CY276" t="s">
        <v>167</v>
      </c>
      <c r="CZ276" t="s">
        <v>266</v>
      </c>
      <c r="DA276">
        <v>4</v>
      </c>
      <c r="DB276" s="10">
        <v>10000</v>
      </c>
      <c r="DC276" t="s">
        <v>169</v>
      </c>
      <c r="DD276" t="s">
        <v>907</v>
      </c>
      <c r="DE276">
        <v>1</v>
      </c>
      <c r="DF276">
        <v>50</v>
      </c>
      <c r="DG276" t="s">
        <v>95</v>
      </c>
      <c r="DH276" t="s">
        <v>95</v>
      </c>
      <c r="DI276" t="s">
        <v>907</v>
      </c>
      <c r="DJ276" t="s">
        <v>907</v>
      </c>
      <c r="DK276" t="s">
        <v>907</v>
      </c>
      <c r="DL276" t="s">
        <v>907</v>
      </c>
      <c r="DM276" t="s">
        <v>125</v>
      </c>
      <c r="DN276" t="s">
        <v>268</v>
      </c>
      <c r="DO276" t="s">
        <v>269</v>
      </c>
      <c r="DP276">
        <v>6</v>
      </c>
      <c r="DQ276" t="s">
        <v>202</v>
      </c>
      <c r="DR276" t="s">
        <v>907</v>
      </c>
      <c r="DS276" t="s">
        <v>270</v>
      </c>
      <c r="DT276" t="s">
        <v>356</v>
      </c>
      <c r="DU276" t="s">
        <v>95</v>
      </c>
      <c r="DV276" t="s">
        <v>907</v>
      </c>
      <c r="DW276" t="s">
        <v>907</v>
      </c>
      <c r="DX276" t="s">
        <v>907</v>
      </c>
      <c r="FQ276">
        <v>565241791</v>
      </c>
      <c r="FR276" t="s">
        <v>357</v>
      </c>
      <c r="FS276" s="1">
        <v>45923.829780092587</v>
      </c>
      <c r="FV276" t="s">
        <v>134</v>
      </c>
      <c r="FW276" t="s">
        <v>135</v>
      </c>
      <c r="FX276" t="s">
        <v>136</v>
      </c>
      <c r="FZ276">
        <v>120</v>
      </c>
    </row>
    <row r="277" spans="1:182" hidden="1" x14ac:dyDescent="0.3">
      <c r="A277" s="1">
        <v>45924.511465520831</v>
      </c>
      <c r="B277" s="1">
        <v>45924.772808518523</v>
      </c>
      <c r="D277" t="s">
        <v>84</v>
      </c>
      <c r="E277" t="s">
        <v>3876</v>
      </c>
      <c r="F277" t="s">
        <v>1109</v>
      </c>
      <c r="G277" t="s">
        <v>176</v>
      </c>
      <c r="H277" t="s">
        <v>4122</v>
      </c>
      <c r="I277" t="s">
        <v>1110</v>
      </c>
      <c r="J277" t="s">
        <v>1111</v>
      </c>
      <c r="K277" t="s">
        <v>90</v>
      </c>
      <c r="L277" t="s">
        <v>1112</v>
      </c>
      <c r="M277" t="s">
        <v>671</v>
      </c>
      <c r="S277" t="s">
        <v>84</v>
      </c>
      <c r="T277" t="s">
        <v>94</v>
      </c>
      <c r="U277">
        <v>7</v>
      </c>
      <c r="V277" t="s">
        <v>95</v>
      </c>
      <c r="W277" t="s">
        <v>907</v>
      </c>
      <c r="X277">
        <v>25</v>
      </c>
      <c r="Y277">
        <v>10</v>
      </c>
      <c r="Z277">
        <v>5</v>
      </c>
      <c r="AA277" t="s">
        <v>251</v>
      </c>
      <c r="AB277" t="s">
        <v>97</v>
      </c>
      <c r="AC277" t="s">
        <v>98</v>
      </c>
      <c r="AD277" t="s">
        <v>99</v>
      </c>
      <c r="AE277" t="s">
        <v>304</v>
      </c>
      <c r="AF277" t="s">
        <v>907</v>
      </c>
      <c r="AG277">
        <v>1500</v>
      </c>
      <c r="AH277" t="s">
        <v>100</v>
      </c>
      <c r="AI277" t="s">
        <v>907</v>
      </c>
      <c r="AJ277" s="5">
        <v>2500</v>
      </c>
      <c r="AK277" t="s">
        <v>148</v>
      </c>
      <c r="AL277" t="s">
        <v>907</v>
      </c>
      <c r="AM277" t="s">
        <v>1114</v>
      </c>
      <c r="AN277" t="s">
        <v>1102</v>
      </c>
      <c r="AO277" t="s">
        <v>267</v>
      </c>
      <c r="AP277" t="s">
        <v>1115</v>
      </c>
      <c r="AQ277" t="s">
        <v>1116</v>
      </c>
      <c r="AR277" t="s">
        <v>95</v>
      </c>
      <c r="AS277">
        <v>0</v>
      </c>
      <c r="AT277">
        <v>0</v>
      </c>
      <c r="AU277">
        <v>0</v>
      </c>
      <c r="AV277">
        <v>0</v>
      </c>
      <c r="AW277">
        <v>0</v>
      </c>
      <c r="AX277">
        <v>0</v>
      </c>
      <c r="AY277">
        <v>0</v>
      </c>
      <c r="AZ277" t="s">
        <v>929</v>
      </c>
      <c r="BA277" t="s">
        <v>95</v>
      </c>
      <c r="BB277" t="s">
        <v>154</v>
      </c>
      <c r="BC277" t="s">
        <v>907</v>
      </c>
      <c r="BD277" t="s">
        <v>257</v>
      </c>
      <c r="BE277" t="s">
        <v>258</v>
      </c>
      <c r="BF277" t="s">
        <v>1105</v>
      </c>
      <c r="BG277" t="s">
        <v>156</v>
      </c>
      <c r="BH277">
        <v>65</v>
      </c>
      <c r="BL277">
        <v>30</v>
      </c>
      <c r="BN277">
        <v>3</v>
      </c>
      <c r="BP277">
        <v>10</v>
      </c>
      <c r="BT277">
        <v>4</v>
      </c>
      <c r="BV277">
        <v>5</v>
      </c>
      <c r="BX277">
        <v>13</v>
      </c>
      <c r="BY277" t="s">
        <v>110</v>
      </c>
      <c r="BZ277" t="s">
        <v>907</v>
      </c>
      <c r="CA277" t="s">
        <v>907</v>
      </c>
      <c r="CB277" t="s">
        <v>84</v>
      </c>
      <c r="CC277" t="s">
        <v>84</v>
      </c>
      <c r="CD277" t="s">
        <v>1117</v>
      </c>
      <c r="CE277" t="s">
        <v>4251</v>
      </c>
      <c r="CF277" t="s">
        <v>1118</v>
      </c>
      <c r="CG277" t="s">
        <v>907</v>
      </c>
      <c r="CH277">
        <v>15</v>
      </c>
      <c r="CI277" t="s">
        <v>84</v>
      </c>
      <c r="CJ277" t="s">
        <v>586</v>
      </c>
      <c r="CK277" t="s">
        <v>113</v>
      </c>
      <c r="CL277" t="s">
        <v>456</v>
      </c>
      <c r="CM277" t="s">
        <v>162</v>
      </c>
      <c r="CN277" t="s">
        <v>3874</v>
      </c>
      <c r="CO277" t="s">
        <v>95</v>
      </c>
      <c r="CP277" t="s">
        <v>907</v>
      </c>
      <c r="CQ277" t="s">
        <v>116</v>
      </c>
      <c r="CR277" t="s">
        <v>95</v>
      </c>
      <c r="CS277" t="s">
        <v>907</v>
      </c>
      <c r="CT277" t="s">
        <v>907</v>
      </c>
      <c r="CU277" t="s">
        <v>907</v>
      </c>
      <c r="CV277" t="s">
        <v>119</v>
      </c>
      <c r="CW277" t="s">
        <v>715</v>
      </c>
      <c r="CX277" t="s">
        <v>166</v>
      </c>
      <c r="CY277" t="s">
        <v>167</v>
      </c>
      <c r="CZ277" t="s">
        <v>382</v>
      </c>
      <c r="DA277">
        <v>5</v>
      </c>
      <c r="DB277" s="10">
        <v>30000</v>
      </c>
      <c r="DC277" t="s">
        <v>169</v>
      </c>
      <c r="DD277" t="s">
        <v>907</v>
      </c>
      <c r="DE277">
        <v>2</v>
      </c>
      <c r="DF277">
        <v>15</v>
      </c>
      <c r="DG277" t="s">
        <v>84</v>
      </c>
      <c r="DH277" t="s">
        <v>95</v>
      </c>
      <c r="DI277" t="s">
        <v>907</v>
      </c>
      <c r="DJ277" t="s">
        <v>907</v>
      </c>
      <c r="DK277" t="s">
        <v>907</v>
      </c>
      <c r="DL277" t="s">
        <v>907</v>
      </c>
      <c r="DM277" t="s">
        <v>291</v>
      </c>
      <c r="DN277" t="s">
        <v>907</v>
      </c>
      <c r="DO277" t="s">
        <v>907</v>
      </c>
      <c r="DP277">
        <v>2</v>
      </c>
      <c r="DQ277" t="s">
        <v>441</v>
      </c>
      <c r="DR277" t="s">
        <v>907</v>
      </c>
      <c r="DS277" t="s">
        <v>172</v>
      </c>
      <c r="DT277" t="s">
        <v>1119</v>
      </c>
      <c r="DU277" t="s">
        <v>84</v>
      </c>
      <c r="DV277" t="s">
        <v>294</v>
      </c>
      <c r="DW277" t="s">
        <v>1120</v>
      </c>
      <c r="DX277" t="s">
        <v>84</v>
      </c>
      <c r="FQ277">
        <v>565986453</v>
      </c>
      <c r="FR277" t="s">
        <v>1121</v>
      </c>
      <c r="FS277" s="1">
        <v>45924.707685185182</v>
      </c>
      <c r="FV277" t="s">
        <v>134</v>
      </c>
      <c r="FW277" t="s">
        <v>135</v>
      </c>
      <c r="FX277" t="s">
        <v>136</v>
      </c>
      <c r="FZ277">
        <v>196</v>
      </c>
    </row>
    <row r="278" spans="1:182" x14ac:dyDescent="0.3">
      <c r="A278" s="1">
        <v>45925.37421347222</v>
      </c>
      <c r="B278" s="1">
        <v>45925.414475543977</v>
      </c>
      <c r="D278" t="s">
        <v>84</v>
      </c>
      <c r="E278" t="s">
        <v>1397</v>
      </c>
      <c r="F278" t="s">
        <v>2093</v>
      </c>
      <c r="G278" t="s">
        <v>176</v>
      </c>
      <c r="H278" t="s">
        <v>4122</v>
      </c>
      <c r="I278" t="s">
        <v>2094</v>
      </c>
      <c r="J278" t="s">
        <v>2095</v>
      </c>
      <c r="K278" t="s">
        <v>90</v>
      </c>
      <c r="L278" t="s">
        <v>2096</v>
      </c>
      <c r="M278" t="s">
        <v>2097</v>
      </c>
      <c r="N278" t="s">
        <v>2098</v>
      </c>
      <c r="O278">
        <v>-15.2334744</v>
      </c>
      <c r="P278">
        <v>22.991898500000001</v>
      </c>
      <c r="Q278">
        <v>1031.287475585938</v>
      </c>
      <c r="R278">
        <v>4.7110000000000003</v>
      </c>
      <c r="S278" t="s">
        <v>84</v>
      </c>
      <c r="T278" t="s">
        <v>94</v>
      </c>
      <c r="U278">
        <v>9</v>
      </c>
      <c r="V278" t="s">
        <v>95</v>
      </c>
      <c r="W278" t="s">
        <v>907</v>
      </c>
      <c r="X278">
        <v>30</v>
      </c>
      <c r="Y278" s="3">
        <v>300</v>
      </c>
      <c r="Z278">
        <v>2.5</v>
      </c>
      <c r="AA278" t="s">
        <v>251</v>
      </c>
      <c r="AB278" t="s">
        <v>351</v>
      </c>
      <c r="AC278" t="s">
        <v>98</v>
      </c>
      <c r="AD278" t="s">
        <v>252</v>
      </c>
      <c r="AE278" t="s">
        <v>304</v>
      </c>
      <c r="AF278" t="s">
        <v>907</v>
      </c>
      <c r="AG278" s="3">
        <v>5000</v>
      </c>
      <c r="AH278" t="s">
        <v>2099</v>
      </c>
      <c r="AI278" t="s">
        <v>1232</v>
      </c>
      <c r="AJ278" s="5">
        <v>2000</v>
      </c>
      <c r="AK278" t="s">
        <v>102</v>
      </c>
      <c r="AL278" t="s">
        <v>907</v>
      </c>
      <c r="AM278" t="s">
        <v>1094</v>
      </c>
      <c r="AN278" t="s">
        <v>907</v>
      </c>
      <c r="AO278" t="s">
        <v>2100</v>
      </c>
      <c r="AP278" t="s">
        <v>2101</v>
      </c>
      <c r="AQ278" t="s">
        <v>451</v>
      </c>
      <c r="AR278" t="s">
        <v>95</v>
      </c>
      <c r="AS278">
        <v>18</v>
      </c>
      <c r="AT278">
        <v>0</v>
      </c>
      <c r="AU278">
        <v>0</v>
      </c>
      <c r="AV278">
        <v>35</v>
      </c>
      <c r="AW278">
        <v>0</v>
      </c>
      <c r="AX278">
        <v>0</v>
      </c>
      <c r="AY278">
        <v>0</v>
      </c>
      <c r="AZ278" t="s">
        <v>284</v>
      </c>
      <c r="BA278" t="s">
        <v>1065</v>
      </c>
      <c r="BB278" t="s">
        <v>154</v>
      </c>
      <c r="BC278" t="s">
        <v>907</v>
      </c>
      <c r="BD278" t="s">
        <v>107</v>
      </c>
      <c r="BE278" t="s">
        <v>2102</v>
      </c>
      <c r="BF278" t="s">
        <v>2103</v>
      </c>
      <c r="BG278" t="s">
        <v>156</v>
      </c>
      <c r="BH278">
        <v>130</v>
      </c>
      <c r="BL278">
        <v>59</v>
      </c>
      <c r="BN278">
        <v>4</v>
      </c>
      <c r="BP278">
        <v>12</v>
      </c>
      <c r="BR278">
        <v>10</v>
      </c>
      <c r="BT278">
        <v>9</v>
      </c>
      <c r="BV278">
        <v>6</v>
      </c>
      <c r="BX278">
        <v>30</v>
      </c>
      <c r="BY278" t="s">
        <v>189</v>
      </c>
      <c r="BZ278">
        <v>7</v>
      </c>
      <c r="CA278">
        <v>85</v>
      </c>
      <c r="CB278" t="s">
        <v>84</v>
      </c>
      <c r="CC278" t="s">
        <v>84</v>
      </c>
      <c r="CD278" t="s">
        <v>334</v>
      </c>
      <c r="CE278" t="s">
        <v>4250</v>
      </c>
      <c r="CF278" t="s">
        <v>3976</v>
      </c>
      <c r="CG278" t="s">
        <v>907</v>
      </c>
      <c r="CH278">
        <v>15</v>
      </c>
      <c r="CI278" t="s">
        <v>84</v>
      </c>
      <c r="CJ278" t="s">
        <v>262</v>
      </c>
      <c r="CK278" t="s">
        <v>289</v>
      </c>
      <c r="CL278" t="s">
        <v>367</v>
      </c>
      <c r="CM278" t="s">
        <v>193</v>
      </c>
      <c r="CN278" t="s">
        <v>421</v>
      </c>
      <c r="CO278" t="s">
        <v>95</v>
      </c>
      <c r="CP278" t="s">
        <v>907</v>
      </c>
      <c r="CQ278" t="s">
        <v>116</v>
      </c>
      <c r="CR278" t="s">
        <v>95</v>
      </c>
      <c r="CS278" t="s">
        <v>907</v>
      </c>
      <c r="CT278" t="s">
        <v>907</v>
      </c>
      <c r="CU278" t="s">
        <v>907</v>
      </c>
      <c r="CV278" t="s">
        <v>812</v>
      </c>
      <c r="CW278" t="s">
        <v>495</v>
      </c>
      <c r="CX278" t="s">
        <v>166</v>
      </c>
      <c r="CY278" t="s">
        <v>167</v>
      </c>
      <c r="CZ278" t="s">
        <v>931</v>
      </c>
      <c r="DA278">
        <v>4</v>
      </c>
      <c r="DB278" s="10">
        <v>24000</v>
      </c>
      <c r="DC278" t="s">
        <v>169</v>
      </c>
      <c r="DD278" t="s">
        <v>907</v>
      </c>
      <c r="DE278">
        <v>3</v>
      </c>
      <c r="DF278">
        <v>14</v>
      </c>
      <c r="DG278" t="s">
        <v>95</v>
      </c>
      <c r="DH278" t="s">
        <v>95</v>
      </c>
      <c r="DI278" t="s">
        <v>907</v>
      </c>
      <c r="DJ278" t="s">
        <v>907</v>
      </c>
      <c r="DK278" t="s">
        <v>907</v>
      </c>
      <c r="DL278" t="s">
        <v>907</v>
      </c>
      <c r="DM278" t="s">
        <v>291</v>
      </c>
      <c r="DN278" t="s">
        <v>907</v>
      </c>
      <c r="DO278" t="s">
        <v>907</v>
      </c>
      <c r="DP278">
        <v>0.5</v>
      </c>
      <c r="DQ278" t="s">
        <v>441</v>
      </c>
      <c r="DR278" t="s">
        <v>907</v>
      </c>
      <c r="DS278" t="s">
        <v>1362</v>
      </c>
      <c r="DT278" t="s">
        <v>1303</v>
      </c>
      <c r="DU278" t="s">
        <v>84</v>
      </c>
      <c r="DV278" t="s">
        <v>2104</v>
      </c>
      <c r="DW278" t="s">
        <v>2105</v>
      </c>
      <c r="DX278" t="s">
        <v>95</v>
      </c>
      <c r="FQ278">
        <v>566874377</v>
      </c>
      <c r="FR278" t="s">
        <v>2106</v>
      </c>
      <c r="FS278" s="1">
        <v>45925.742615740739</v>
      </c>
      <c r="FV278" t="s">
        <v>134</v>
      </c>
      <c r="FW278" t="s">
        <v>135</v>
      </c>
      <c r="FX278" t="s">
        <v>136</v>
      </c>
      <c r="FZ278">
        <v>305</v>
      </c>
    </row>
    <row r="279" spans="1:182" x14ac:dyDescent="0.3">
      <c r="A279" s="1">
        <v>45926.481099999997</v>
      </c>
      <c r="B279" s="1">
        <v>45926.506042951391</v>
      </c>
      <c r="D279" t="s">
        <v>84</v>
      </c>
      <c r="E279" t="s">
        <v>1397</v>
      </c>
      <c r="F279" t="s">
        <v>2987</v>
      </c>
      <c r="G279" t="s">
        <v>176</v>
      </c>
      <c r="H279" t="s">
        <v>4122</v>
      </c>
      <c r="I279" t="s">
        <v>907</v>
      </c>
      <c r="J279" t="s">
        <v>2988</v>
      </c>
      <c r="K279" t="s">
        <v>90</v>
      </c>
      <c r="L279" t="s">
        <v>4030</v>
      </c>
      <c r="M279" t="s">
        <v>2989</v>
      </c>
      <c r="N279" t="s">
        <v>2990</v>
      </c>
      <c r="O279">
        <v>-15.2476284</v>
      </c>
      <c r="P279">
        <v>22.961502100000001</v>
      </c>
      <c r="Q279">
        <v>1028.814086914062</v>
      </c>
      <c r="R279">
        <v>4.5049999999999999</v>
      </c>
      <c r="S279" t="s">
        <v>84</v>
      </c>
      <c r="T279" t="s">
        <v>182</v>
      </c>
      <c r="U279">
        <v>5</v>
      </c>
      <c r="V279" t="s">
        <v>95</v>
      </c>
      <c r="W279" t="s">
        <v>907</v>
      </c>
      <c r="X279">
        <v>3</v>
      </c>
      <c r="Y279">
        <v>250</v>
      </c>
      <c r="Z279">
        <v>1</v>
      </c>
      <c r="AA279" t="s">
        <v>251</v>
      </c>
      <c r="AB279" t="s">
        <v>351</v>
      </c>
      <c r="AC279" t="s">
        <v>98</v>
      </c>
      <c r="AD279" t="s">
        <v>252</v>
      </c>
      <c r="AE279" t="s">
        <v>101</v>
      </c>
      <c r="AF279" t="s">
        <v>907</v>
      </c>
      <c r="AG279">
        <v>1000</v>
      </c>
      <c r="AH279" t="s">
        <v>304</v>
      </c>
      <c r="AI279" t="s">
        <v>907</v>
      </c>
      <c r="AJ279" s="5">
        <v>2000</v>
      </c>
      <c r="AK279" t="s">
        <v>102</v>
      </c>
      <c r="AL279" t="s">
        <v>907</v>
      </c>
      <c r="AM279" t="s">
        <v>4130</v>
      </c>
      <c r="AN279" t="s">
        <v>907</v>
      </c>
      <c r="AQ279" t="s">
        <v>466</v>
      </c>
      <c r="AR279" t="s">
        <v>95</v>
      </c>
      <c r="AS279">
        <v>0</v>
      </c>
      <c r="AT279">
        <v>0</v>
      </c>
      <c r="AU279">
        <v>0</v>
      </c>
      <c r="AV279">
        <v>0</v>
      </c>
      <c r="AW279">
        <v>0</v>
      </c>
      <c r="AX279">
        <v>0</v>
      </c>
      <c r="AY279">
        <v>0</v>
      </c>
      <c r="AZ279" t="s">
        <v>284</v>
      </c>
      <c r="BA279" t="s">
        <v>95</v>
      </c>
      <c r="BB279" t="s">
        <v>154</v>
      </c>
      <c r="BC279" t="s">
        <v>907</v>
      </c>
      <c r="BD279" t="s">
        <v>107</v>
      </c>
      <c r="BE279" t="s">
        <v>470</v>
      </c>
      <c r="BF279" t="s">
        <v>2991</v>
      </c>
      <c r="BG279" t="s">
        <v>235</v>
      </c>
      <c r="BH279">
        <v>68</v>
      </c>
      <c r="BL279">
        <v>33</v>
      </c>
      <c r="BN279">
        <v>3</v>
      </c>
      <c r="BP279">
        <v>7</v>
      </c>
      <c r="BR279">
        <v>5</v>
      </c>
      <c r="BT279">
        <v>6</v>
      </c>
      <c r="BV279">
        <v>3</v>
      </c>
      <c r="BX279">
        <v>11</v>
      </c>
      <c r="BY279" t="s">
        <v>110</v>
      </c>
      <c r="BZ279" t="s">
        <v>907</v>
      </c>
      <c r="CA279" t="s">
        <v>907</v>
      </c>
      <c r="CB279" t="s">
        <v>84</v>
      </c>
      <c r="CC279" t="s">
        <v>84</v>
      </c>
      <c r="CD279" t="s">
        <v>334</v>
      </c>
      <c r="CE279" t="s">
        <v>4251</v>
      </c>
      <c r="CF279" t="s">
        <v>4031</v>
      </c>
      <c r="CG279" t="s">
        <v>907</v>
      </c>
      <c r="CH279">
        <v>15</v>
      </c>
      <c r="CI279" t="s">
        <v>84</v>
      </c>
      <c r="CJ279" t="s">
        <v>405</v>
      </c>
      <c r="CK279" t="s">
        <v>289</v>
      </c>
      <c r="CL279" t="s">
        <v>367</v>
      </c>
      <c r="CM279" t="s">
        <v>193</v>
      </c>
      <c r="CN279" t="s">
        <v>3874</v>
      </c>
      <c r="CO279" t="s">
        <v>95</v>
      </c>
      <c r="CP279" t="s">
        <v>907</v>
      </c>
      <c r="CQ279" t="s">
        <v>116</v>
      </c>
      <c r="CR279" t="s">
        <v>84</v>
      </c>
      <c r="CS279" t="s">
        <v>117</v>
      </c>
      <c r="CT279" t="s">
        <v>163</v>
      </c>
      <c r="CU279" t="s">
        <v>438</v>
      </c>
      <c r="CV279" t="s">
        <v>812</v>
      </c>
      <c r="CW279" t="s">
        <v>907</v>
      </c>
      <c r="CX279" t="s">
        <v>166</v>
      </c>
      <c r="CY279" t="s">
        <v>167</v>
      </c>
      <c r="CZ279" t="s">
        <v>2992</v>
      </c>
      <c r="DA279">
        <v>3</v>
      </c>
      <c r="DB279" s="10">
        <v>25000</v>
      </c>
      <c r="DC279" t="s">
        <v>169</v>
      </c>
      <c r="DD279" t="s">
        <v>907</v>
      </c>
      <c r="DE279">
        <v>3</v>
      </c>
      <c r="DF279">
        <v>20</v>
      </c>
      <c r="DG279" t="s">
        <v>84</v>
      </c>
      <c r="DH279" t="s">
        <v>95</v>
      </c>
      <c r="DI279" t="s">
        <v>907</v>
      </c>
      <c r="DJ279" t="s">
        <v>907</v>
      </c>
      <c r="DK279" t="s">
        <v>907</v>
      </c>
      <c r="DL279" t="s">
        <v>907</v>
      </c>
      <c r="DM279" t="s">
        <v>291</v>
      </c>
      <c r="DN279" t="s">
        <v>907</v>
      </c>
      <c r="DO279" t="s">
        <v>907</v>
      </c>
      <c r="DP279">
        <v>300</v>
      </c>
      <c r="DQ279" t="s">
        <v>441</v>
      </c>
      <c r="DR279" t="s">
        <v>907</v>
      </c>
      <c r="DS279" t="s">
        <v>898</v>
      </c>
      <c r="DT279" t="s">
        <v>2993</v>
      </c>
      <c r="DU279" t="s">
        <v>84</v>
      </c>
      <c r="DV279" t="s">
        <v>864</v>
      </c>
      <c r="DW279" t="s">
        <v>132</v>
      </c>
      <c r="DX279" t="s">
        <v>95</v>
      </c>
      <c r="FQ279">
        <v>567707564</v>
      </c>
      <c r="FR279" t="s">
        <v>2994</v>
      </c>
      <c r="FS279" s="1">
        <v>45926.813645833332</v>
      </c>
      <c r="FV279" t="s">
        <v>134</v>
      </c>
      <c r="FW279" t="s">
        <v>135</v>
      </c>
      <c r="FX279" t="s">
        <v>136</v>
      </c>
      <c r="FZ279">
        <v>424</v>
      </c>
    </row>
    <row r="280" spans="1:182" hidden="1" x14ac:dyDescent="0.3">
      <c r="A280" s="1">
        <v>45923.431103912037</v>
      </c>
      <c r="B280" s="1">
        <v>45923.4520171412</v>
      </c>
      <c r="D280" t="s">
        <v>84</v>
      </c>
      <c r="E280" t="s">
        <v>3876</v>
      </c>
      <c r="F280" t="s">
        <v>445</v>
      </c>
      <c r="G280" t="s">
        <v>176</v>
      </c>
      <c r="H280" t="s">
        <v>4121</v>
      </c>
      <c r="I280" t="s">
        <v>446</v>
      </c>
      <c r="J280" t="s">
        <v>447</v>
      </c>
      <c r="K280" t="s">
        <v>90</v>
      </c>
      <c r="L280" t="s">
        <v>429</v>
      </c>
      <c r="M280" t="s">
        <v>414</v>
      </c>
      <c r="N280" t="s">
        <v>448</v>
      </c>
      <c r="O280">
        <v>-15.4408356</v>
      </c>
      <c r="P280">
        <v>23.216745700000001</v>
      </c>
      <c r="Q280">
        <v>1026.517700195312</v>
      </c>
      <c r="R280">
        <v>4.4980000000000002</v>
      </c>
      <c r="S280" t="s">
        <v>84</v>
      </c>
      <c r="T280" t="s">
        <v>94</v>
      </c>
      <c r="U280">
        <v>3</v>
      </c>
      <c r="V280" t="s">
        <v>95</v>
      </c>
      <c r="W280" t="s">
        <v>907</v>
      </c>
      <c r="X280">
        <v>10</v>
      </c>
      <c r="Y280">
        <v>4</v>
      </c>
      <c r="Z280">
        <v>2</v>
      </c>
      <c r="AA280" t="s">
        <v>251</v>
      </c>
      <c r="AB280" t="s">
        <v>97</v>
      </c>
      <c r="AC280" t="s">
        <v>98</v>
      </c>
      <c r="AD280" t="s">
        <v>252</v>
      </c>
      <c r="AE280" t="s">
        <v>100</v>
      </c>
      <c r="AF280" t="s">
        <v>907</v>
      </c>
      <c r="AG280">
        <v>3000</v>
      </c>
      <c r="AH280" t="s">
        <v>304</v>
      </c>
      <c r="AI280" t="s">
        <v>907</v>
      </c>
      <c r="AJ280" s="5">
        <v>4000</v>
      </c>
      <c r="AK280" t="s">
        <v>102</v>
      </c>
      <c r="AL280" t="s">
        <v>907</v>
      </c>
      <c r="AM280" t="s">
        <v>253</v>
      </c>
      <c r="AN280" t="s">
        <v>907</v>
      </c>
      <c r="AO280" t="s">
        <v>449</v>
      </c>
      <c r="AP280" t="s">
        <v>450</v>
      </c>
      <c r="AQ280" t="s">
        <v>451</v>
      </c>
      <c r="AR280" t="s">
        <v>95</v>
      </c>
      <c r="AS280">
        <v>0</v>
      </c>
      <c r="AT280">
        <v>0</v>
      </c>
      <c r="AU280">
        <v>0</v>
      </c>
      <c r="AV280">
        <v>0</v>
      </c>
      <c r="AW280">
        <v>0</v>
      </c>
      <c r="AX280">
        <v>0</v>
      </c>
      <c r="AY280">
        <v>0</v>
      </c>
      <c r="AZ280" t="s">
        <v>106</v>
      </c>
      <c r="BA280" t="s">
        <v>452</v>
      </c>
      <c r="BB280" t="s">
        <v>154</v>
      </c>
      <c r="BC280" t="s">
        <v>907</v>
      </c>
      <c r="BD280" t="s">
        <v>257</v>
      </c>
      <c r="BE280" t="s">
        <v>363</v>
      </c>
      <c r="BF280" t="s">
        <v>453</v>
      </c>
      <c r="BG280" t="s">
        <v>235</v>
      </c>
      <c r="BH280">
        <v>35</v>
      </c>
      <c r="BL280">
        <v>5</v>
      </c>
      <c r="BN280">
        <v>1</v>
      </c>
      <c r="BP280">
        <v>5</v>
      </c>
      <c r="BR280">
        <v>10</v>
      </c>
      <c r="BT280">
        <v>5</v>
      </c>
      <c r="BV280">
        <v>4</v>
      </c>
      <c r="BX280">
        <v>5</v>
      </c>
      <c r="BY280" t="s">
        <v>189</v>
      </c>
      <c r="BZ280">
        <v>1</v>
      </c>
      <c r="CA280">
        <v>20</v>
      </c>
      <c r="CB280" t="s">
        <v>84</v>
      </c>
      <c r="CC280" t="s">
        <v>84</v>
      </c>
      <c r="CD280" t="s">
        <v>454</v>
      </c>
      <c r="CE280" t="s">
        <v>4251</v>
      </c>
      <c r="CF280" t="s">
        <v>455</v>
      </c>
      <c r="CG280" t="s">
        <v>907</v>
      </c>
      <c r="CH280">
        <v>15</v>
      </c>
      <c r="CI280" t="s">
        <v>84</v>
      </c>
      <c r="CJ280" t="s">
        <v>160</v>
      </c>
      <c r="CK280" t="s">
        <v>113</v>
      </c>
      <c r="CL280" t="s">
        <v>456</v>
      </c>
      <c r="CM280" t="s">
        <v>162</v>
      </c>
      <c r="CN280" t="s">
        <v>3874</v>
      </c>
      <c r="CO280" t="s">
        <v>95</v>
      </c>
      <c r="CP280" t="s">
        <v>907</v>
      </c>
      <c r="CQ280" t="s">
        <v>116</v>
      </c>
      <c r="CR280" t="s">
        <v>95</v>
      </c>
      <c r="CS280" t="s">
        <v>907</v>
      </c>
      <c r="CT280" t="s">
        <v>907</v>
      </c>
      <c r="CU280" t="s">
        <v>907</v>
      </c>
      <c r="CV280" t="s">
        <v>119</v>
      </c>
      <c r="CW280" t="s">
        <v>439</v>
      </c>
      <c r="CX280" t="s">
        <v>166</v>
      </c>
      <c r="CY280" t="s">
        <v>167</v>
      </c>
      <c r="CZ280" t="s">
        <v>457</v>
      </c>
      <c r="DA280">
        <v>0</v>
      </c>
      <c r="DB280">
        <v>0</v>
      </c>
      <c r="DC280" t="s">
        <v>169</v>
      </c>
      <c r="DD280" t="s">
        <v>907</v>
      </c>
      <c r="DE280">
        <v>1</v>
      </c>
      <c r="DF280">
        <v>50</v>
      </c>
      <c r="DG280" t="s">
        <v>95</v>
      </c>
      <c r="DH280" t="s">
        <v>95</v>
      </c>
      <c r="DI280" t="s">
        <v>907</v>
      </c>
      <c r="DJ280" t="s">
        <v>907</v>
      </c>
      <c r="DK280" t="s">
        <v>907</v>
      </c>
      <c r="DL280" t="s">
        <v>907</v>
      </c>
      <c r="DM280" t="s">
        <v>291</v>
      </c>
      <c r="DN280" t="s">
        <v>907</v>
      </c>
      <c r="DO280" t="s">
        <v>907</v>
      </c>
      <c r="DP280">
        <v>2</v>
      </c>
      <c r="DQ280" t="s">
        <v>441</v>
      </c>
      <c r="DR280" t="s">
        <v>907</v>
      </c>
      <c r="DS280" t="s">
        <v>458</v>
      </c>
      <c r="DT280" t="s">
        <v>459</v>
      </c>
      <c r="DU280" t="s">
        <v>95</v>
      </c>
      <c r="DV280" t="s">
        <v>907</v>
      </c>
      <c r="DW280" t="s">
        <v>907</v>
      </c>
      <c r="DX280" t="s">
        <v>907</v>
      </c>
      <c r="FQ280">
        <v>565242508</v>
      </c>
      <c r="FR280" t="s">
        <v>460</v>
      </c>
      <c r="FS280" s="1">
        <v>45923.830810185187</v>
      </c>
      <c r="FV280" t="s">
        <v>134</v>
      </c>
      <c r="FW280" t="s">
        <v>135</v>
      </c>
      <c r="FX280" t="s">
        <v>136</v>
      </c>
      <c r="FZ280">
        <v>127</v>
      </c>
    </row>
    <row r="281" spans="1:182" hidden="1" x14ac:dyDescent="0.3">
      <c r="A281" s="1">
        <v>45924.60343815972</v>
      </c>
      <c r="B281" s="1">
        <v>45924.639669305558</v>
      </c>
      <c r="D281" t="s">
        <v>84</v>
      </c>
      <c r="E281" t="s">
        <v>297</v>
      </c>
      <c r="F281" t="s">
        <v>1536</v>
      </c>
      <c r="G281" t="s">
        <v>176</v>
      </c>
      <c r="H281" t="s">
        <v>4122</v>
      </c>
      <c r="I281" t="s">
        <v>1537</v>
      </c>
      <c r="J281" t="s">
        <v>1538</v>
      </c>
      <c r="K281" t="s">
        <v>90</v>
      </c>
      <c r="L281" t="s">
        <v>1539</v>
      </c>
      <c r="M281" t="s">
        <v>277</v>
      </c>
      <c r="N281" t="s">
        <v>1540</v>
      </c>
      <c r="O281">
        <v>-15.3386193</v>
      </c>
      <c r="P281">
        <v>23.033380900000001</v>
      </c>
      <c r="Q281">
        <v>1048.617797851562</v>
      </c>
      <c r="R281">
        <v>4.7389999999999999</v>
      </c>
      <c r="S281" t="s">
        <v>84</v>
      </c>
      <c r="T281" t="s">
        <v>94</v>
      </c>
      <c r="U281">
        <v>12</v>
      </c>
      <c r="V281" t="s">
        <v>212</v>
      </c>
      <c r="W281" t="s">
        <v>1541</v>
      </c>
      <c r="X281">
        <v>16</v>
      </c>
      <c r="Y281">
        <v>3</v>
      </c>
      <c r="Z281">
        <v>3</v>
      </c>
      <c r="AA281" t="s">
        <v>251</v>
      </c>
      <c r="AB281" t="s">
        <v>351</v>
      </c>
      <c r="AC281" t="s">
        <v>98</v>
      </c>
      <c r="AD281" t="s">
        <v>520</v>
      </c>
      <c r="AE281" t="s">
        <v>101</v>
      </c>
      <c r="AF281" t="s">
        <v>907</v>
      </c>
      <c r="AG281">
        <v>4000</v>
      </c>
      <c r="AH281" t="s">
        <v>431</v>
      </c>
      <c r="AI281" t="s">
        <v>907</v>
      </c>
      <c r="AJ281" s="5">
        <v>6000</v>
      </c>
      <c r="AK281" t="s">
        <v>102</v>
      </c>
      <c r="AL281" t="s">
        <v>907</v>
      </c>
      <c r="AM281" t="s">
        <v>909</v>
      </c>
      <c r="AN281" t="s">
        <v>907</v>
      </c>
      <c r="AO281" t="s">
        <v>267</v>
      </c>
      <c r="AP281" t="s">
        <v>1542</v>
      </c>
      <c r="AQ281" t="s">
        <v>909</v>
      </c>
      <c r="AR281" t="s">
        <v>95</v>
      </c>
      <c r="AS281">
        <v>0</v>
      </c>
      <c r="AT281">
        <v>0</v>
      </c>
      <c r="AU281">
        <v>0</v>
      </c>
      <c r="AV281">
        <v>10</v>
      </c>
      <c r="AW281">
        <v>0</v>
      </c>
      <c r="AX281">
        <v>0</v>
      </c>
      <c r="AY281">
        <v>0</v>
      </c>
      <c r="AZ281" t="s">
        <v>256</v>
      </c>
      <c r="BA281" t="s">
        <v>95</v>
      </c>
      <c r="BB281" t="s">
        <v>154</v>
      </c>
      <c r="BC281" t="s">
        <v>907</v>
      </c>
      <c r="BD281" t="s">
        <v>107</v>
      </c>
      <c r="BE281" t="s">
        <v>810</v>
      </c>
      <c r="BF281" t="s">
        <v>3943</v>
      </c>
      <c r="BG281" t="s">
        <v>156</v>
      </c>
      <c r="BH281">
        <v>37</v>
      </c>
      <c r="BL281">
        <v>15</v>
      </c>
      <c r="BN281">
        <v>2</v>
      </c>
      <c r="BP281">
        <v>2</v>
      </c>
      <c r="BR281">
        <v>3</v>
      </c>
      <c r="BT281">
        <v>3</v>
      </c>
      <c r="BV281">
        <v>5</v>
      </c>
      <c r="BX281">
        <v>7</v>
      </c>
      <c r="BY281" t="s">
        <v>189</v>
      </c>
      <c r="BZ281">
        <v>5</v>
      </c>
      <c r="CA281">
        <v>15</v>
      </c>
      <c r="CB281" t="s">
        <v>84</v>
      </c>
      <c r="CC281" t="s">
        <v>84</v>
      </c>
      <c r="CD281" t="s">
        <v>334</v>
      </c>
      <c r="CE281" t="s">
        <v>4251</v>
      </c>
      <c r="CF281" t="s">
        <v>3939</v>
      </c>
      <c r="CG281" t="s">
        <v>907</v>
      </c>
      <c r="CH281">
        <v>16</v>
      </c>
      <c r="CI281" t="s">
        <v>84</v>
      </c>
      <c r="CJ281" t="s">
        <v>262</v>
      </c>
      <c r="CK281" t="s">
        <v>289</v>
      </c>
      <c r="CL281" t="s">
        <v>1494</v>
      </c>
      <c r="CM281" t="s">
        <v>193</v>
      </c>
      <c r="CN281" t="s">
        <v>3874</v>
      </c>
      <c r="CO281" t="s">
        <v>95</v>
      </c>
      <c r="CP281" t="s">
        <v>907</v>
      </c>
      <c r="CQ281" t="s">
        <v>116</v>
      </c>
      <c r="CR281" t="s">
        <v>84</v>
      </c>
      <c r="CS281" t="s">
        <v>117</v>
      </c>
      <c r="CT281" t="s">
        <v>264</v>
      </c>
      <c r="CU281" t="s">
        <v>438</v>
      </c>
      <c r="CV281" t="s">
        <v>119</v>
      </c>
      <c r="CW281" t="s">
        <v>550</v>
      </c>
      <c r="CX281" t="s">
        <v>1495</v>
      </c>
      <c r="CY281" t="s">
        <v>167</v>
      </c>
      <c r="CZ281" t="s">
        <v>1543</v>
      </c>
      <c r="DA281">
        <v>12</v>
      </c>
      <c r="DB281" s="10">
        <v>42000</v>
      </c>
      <c r="DC281" t="s">
        <v>123</v>
      </c>
      <c r="DD281" t="s">
        <v>1496</v>
      </c>
      <c r="DE281">
        <v>3</v>
      </c>
      <c r="DF281">
        <v>15</v>
      </c>
      <c r="DG281" t="s">
        <v>95</v>
      </c>
      <c r="DH281" t="s">
        <v>95</v>
      </c>
      <c r="DI281" t="s">
        <v>907</v>
      </c>
      <c r="DJ281" t="s">
        <v>907</v>
      </c>
      <c r="DK281" t="s">
        <v>907</v>
      </c>
      <c r="DL281" t="s">
        <v>907</v>
      </c>
      <c r="DM281" t="s">
        <v>291</v>
      </c>
      <c r="DN281" t="s">
        <v>907</v>
      </c>
      <c r="DO281" t="s">
        <v>907</v>
      </c>
      <c r="DP281">
        <v>15</v>
      </c>
      <c r="DQ281" t="s">
        <v>441</v>
      </c>
      <c r="DR281" t="s">
        <v>907</v>
      </c>
      <c r="DS281" t="s">
        <v>1204</v>
      </c>
      <c r="DT281" t="s">
        <v>271</v>
      </c>
      <c r="DU281" t="s">
        <v>84</v>
      </c>
      <c r="DV281" t="s">
        <v>294</v>
      </c>
      <c r="DW281" t="s">
        <v>423</v>
      </c>
      <c r="DX281" t="s">
        <v>84</v>
      </c>
      <c r="FQ281">
        <v>566103138</v>
      </c>
      <c r="FR281" t="s">
        <v>1544</v>
      </c>
      <c r="FS281" s="1">
        <v>45924.855636574073</v>
      </c>
      <c r="FV281" t="s">
        <v>134</v>
      </c>
      <c r="FW281" t="s">
        <v>135</v>
      </c>
      <c r="FX281" t="s">
        <v>136</v>
      </c>
      <c r="FZ281">
        <v>251</v>
      </c>
    </row>
    <row r="282" spans="1:182" x14ac:dyDescent="0.3">
      <c r="A282" s="1">
        <v>45929.528404872683</v>
      </c>
      <c r="B282" s="1">
        <v>45929.542160636571</v>
      </c>
      <c r="D282" t="s">
        <v>84</v>
      </c>
      <c r="E282" t="s">
        <v>297</v>
      </c>
      <c r="F282" t="s">
        <v>3365</v>
      </c>
      <c r="G282" t="s">
        <v>176</v>
      </c>
      <c r="H282" t="s">
        <v>4122</v>
      </c>
      <c r="I282" t="s">
        <v>3366</v>
      </c>
      <c r="J282" t="s">
        <v>3367</v>
      </c>
      <c r="K282" t="s">
        <v>90</v>
      </c>
      <c r="L282" t="s">
        <v>3368</v>
      </c>
      <c r="M282" t="s">
        <v>277</v>
      </c>
      <c r="N282" t="s">
        <v>3369</v>
      </c>
      <c r="O282">
        <v>-15.351204900000001</v>
      </c>
      <c r="P282">
        <v>23.0684881</v>
      </c>
      <c r="Q282">
        <v>1040.396118164062</v>
      </c>
      <c r="R282">
        <v>4.0640000000000001</v>
      </c>
      <c r="S282" t="s">
        <v>84</v>
      </c>
      <c r="T282" t="s">
        <v>94</v>
      </c>
      <c r="U282">
        <v>10</v>
      </c>
      <c r="V282" t="s">
        <v>95</v>
      </c>
      <c r="W282" t="s">
        <v>907</v>
      </c>
      <c r="X282">
        <v>40</v>
      </c>
      <c r="Y282">
        <v>1.2</v>
      </c>
      <c r="Z282">
        <v>1.2</v>
      </c>
      <c r="AA282" t="s">
        <v>504</v>
      </c>
      <c r="AB282" t="s">
        <v>489</v>
      </c>
      <c r="AC282" t="s">
        <v>98</v>
      </c>
      <c r="AD282" t="s">
        <v>280</v>
      </c>
      <c r="AE282" t="s">
        <v>101</v>
      </c>
      <c r="AF282" t="s">
        <v>907</v>
      </c>
      <c r="AG282">
        <v>300</v>
      </c>
      <c r="AH282" t="s">
        <v>3873</v>
      </c>
      <c r="AI282" t="s">
        <v>907</v>
      </c>
      <c r="AJ282" t="s">
        <v>907</v>
      </c>
      <c r="AK282" t="s">
        <v>102</v>
      </c>
      <c r="AL282" t="s">
        <v>907</v>
      </c>
      <c r="AM282" t="s">
        <v>4130</v>
      </c>
      <c r="AN282" t="s">
        <v>907</v>
      </c>
      <c r="AQ282" t="s">
        <v>466</v>
      </c>
      <c r="AR282" t="s">
        <v>95</v>
      </c>
      <c r="AS282">
        <v>0</v>
      </c>
      <c r="AT282">
        <v>0</v>
      </c>
      <c r="AU282">
        <v>0</v>
      </c>
      <c r="AV282">
        <v>0</v>
      </c>
      <c r="AW282">
        <v>0</v>
      </c>
      <c r="AX282">
        <v>0</v>
      </c>
      <c r="AY282">
        <v>0</v>
      </c>
      <c r="AZ282" t="s">
        <v>284</v>
      </c>
      <c r="BA282" t="s">
        <v>95</v>
      </c>
      <c r="BB282" t="s">
        <v>154</v>
      </c>
      <c r="BC282" t="s">
        <v>907</v>
      </c>
      <c r="BD282" t="s">
        <v>285</v>
      </c>
      <c r="BE282" t="s">
        <v>258</v>
      </c>
      <c r="BF282" t="s">
        <v>3370</v>
      </c>
      <c r="BG282" t="s">
        <v>156</v>
      </c>
      <c r="BH282">
        <v>80</v>
      </c>
      <c r="BL282">
        <v>52</v>
      </c>
      <c r="BN282">
        <v>3</v>
      </c>
      <c r="BP282">
        <v>8</v>
      </c>
      <c r="BR282">
        <v>0</v>
      </c>
      <c r="BT282">
        <v>6</v>
      </c>
      <c r="BV282">
        <v>0</v>
      </c>
      <c r="BX282">
        <v>11</v>
      </c>
      <c r="BY282" t="s">
        <v>110</v>
      </c>
      <c r="BZ282" t="s">
        <v>907</v>
      </c>
      <c r="CA282" t="s">
        <v>907</v>
      </c>
      <c r="CB282" t="s">
        <v>84</v>
      </c>
      <c r="CC282" t="s">
        <v>84</v>
      </c>
      <c r="CD282" t="s">
        <v>778</v>
      </c>
      <c r="CE282" t="s">
        <v>4251</v>
      </c>
      <c r="CF282" t="s">
        <v>3371</v>
      </c>
      <c r="CG282" t="s">
        <v>907</v>
      </c>
      <c r="CH282">
        <v>17</v>
      </c>
      <c r="CI282" t="s">
        <v>84</v>
      </c>
      <c r="CJ282" t="s">
        <v>262</v>
      </c>
      <c r="CK282" t="s">
        <v>289</v>
      </c>
      <c r="CL282" t="s">
        <v>1484</v>
      </c>
      <c r="CM282" t="s">
        <v>547</v>
      </c>
      <c r="CN282" t="s">
        <v>3874</v>
      </c>
      <c r="CO282" t="s">
        <v>95</v>
      </c>
      <c r="CP282" t="s">
        <v>907</v>
      </c>
      <c r="CQ282" t="s">
        <v>116</v>
      </c>
      <c r="CR282" t="s">
        <v>84</v>
      </c>
      <c r="CS282" t="s">
        <v>117</v>
      </c>
      <c r="CT282" t="s">
        <v>264</v>
      </c>
      <c r="CU282" t="s">
        <v>3869</v>
      </c>
      <c r="CV282" t="s">
        <v>812</v>
      </c>
      <c r="CW282" t="s">
        <v>907</v>
      </c>
      <c r="CX282" t="s">
        <v>166</v>
      </c>
      <c r="CY282" t="s">
        <v>167</v>
      </c>
      <c r="CZ282" t="s">
        <v>1252</v>
      </c>
      <c r="DA282">
        <v>4</v>
      </c>
      <c r="DB282" s="10">
        <v>15400</v>
      </c>
      <c r="DC282" t="s">
        <v>123</v>
      </c>
      <c r="DD282" t="s">
        <v>2514</v>
      </c>
      <c r="DE282">
        <v>2</v>
      </c>
      <c r="DF282">
        <v>20</v>
      </c>
      <c r="DG282" t="s">
        <v>95</v>
      </c>
      <c r="DH282" t="s">
        <v>95</v>
      </c>
      <c r="DI282" t="s">
        <v>907</v>
      </c>
      <c r="DJ282" t="s">
        <v>907</v>
      </c>
      <c r="DK282" t="s">
        <v>907</v>
      </c>
      <c r="DL282" t="s">
        <v>907</v>
      </c>
      <c r="DM282" t="s">
        <v>291</v>
      </c>
      <c r="DN282" t="s">
        <v>907</v>
      </c>
      <c r="DO282" t="s">
        <v>907</v>
      </c>
      <c r="DP282">
        <v>20</v>
      </c>
      <c r="DQ282" t="s">
        <v>441</v>
      </c>
      <c r="DR282" t="s">
        <v>907</v>
      </c>
      <c r="DS282" t="s">
        <v>3372</v>
      </c>
      <c r="DT282" t="s">
        <v>1459</v>
      </c>
      <c r="DU282" t="s">
        <v>95</v>
      </c>
      <c r="DV282" t="s">
        <v>907</v>
      </c>
      <c r="DW282" t="s">
        <v>907</v>
      </c>
      <c r="DX282" t="s">
        <v>907</v>
      </c>
      <c r="FQ282">
        <v>569761215</v>
      </c>
      <c r="FR282" t="s">
        <v>3373</v>
      </c>
      <c r="FS282" s="1">
        <v>45930.229108796288</v>
      </c>
      <c r="FV282" t="s">
        <v>134</v>
      </c>
      <c r="FW282" t="s">
        <v>135</v>
      </c>
      <c r="FX282" t="s">
        <v>136</v>
      </c>
      <c r="FZ282">
        <v>537</v>
      </c>
    </row>
    <row r="283" spans="1:182" x14ac:dyDescent="0.3">
      <c r="A283" s="1">
        <v>45926.452101354167</v>
      </c>
      <c r="B283" s="1">
        <v>45926.480774201387</v>
      </c>
      <c r="D283" t="s">
        <v>84</v>
      </c>
      <c r="E283" t="s">
        <v>1226</v>
      </c>
      <c r="F283" t="s">
        <v>3011</v>
      </c>
      <c r="G283" t="s">
        <v>176</v>
      </c>
      <c r="H283" t="s">
        <v>4121</v>
      </c>
      <c r="I283" t="s">
        <v>3012</v>
      </c>
      <c r="J283" t="s">
        <v>3013</v>
      </c>
      <c r="K283" t="s">
        <v>90</v>
      </c>
      <c r="L283" t="s">
        <v>3014</v>
      </c>
      <c r="M283" t="s">
        <v>3015</v>
      </c>
      <c r="N283" t="s">
        <v>3016</v>
      </c>
      <c r="O283">
        <v>-15.2475317</v>
      </c>
      <c r="P283">
        <v>22.961588299999999</v>
      </c>
      <c r="Q283">
        <v>1061.3</v>
      </c>
      <c r="R283">
        <v>5</v>
      </c>
      <c r="S283" t="s">
        <v>84</v>
      </c>
      <c r="T283" t="s">
        <v>94</v>
      </c>
      <c r="U283">
        <v>5</v>
      </c>
      <c r="V283" t="s">
        <v>95</v>
      </c>
      <c r="W283" t="s">
        <v>907</v>
      </c>
      <c r="X283">
        <v>10</v>
      </c>
      <c r="Y283">
        <v>80</v>
      </c>
      <c r="Z283">
        <v>1</v>
      </c>
      <c r="AA283" t="s">
        <v>251</v>
      </c>
      <c r="AB283" t="s">
        <v>97</v>
      </c>
      <c r="AC283" t="s">
        <v>144</v>
      </c>
      <c r="AD283" t="s">
        <v>252</v>
      </c>
      <c r="AE283" t="s">
        <v>431</v>
      </c>
      <c r="AF283" t="s">
        <v>907</v>
      </c>
      <c r="AG283" s="3">
        <v>10000</v>
      </c>
      <c r="AH283" t="s">
        <v>908</v>
      </c>
      <c r="AI283" t="s">
        <v>907</v>
      </c>
      <c r="AJ283" s="5">
        <v>2000</v>
      </c>
      <c r="AK283" t="s">
        <v>102</v>
      </c>
      <c r="AL283" t="s">
        <v>907</v>
      </c>
      <c r="AM283" t="s">
        <v>391</v>
      </c>
      <c r="AN283" t="s">
        <v>907</v>
      </c>
      <c r="AO283" t="s">
        <v>3017</v>
      </c>
      <c r="AP283" t="s">
        <v>3018</v>
      </c>
      <c r="AQ283" t="s">
        <v>1051</v>
      </c>
      <c r="AR283" t="s">
        <v>84</v>
      </c>
      <c r="AS283">
        <v>0</v>
      </c>
      <c r="AT283">
        <v>0</v>
      </c>
      <c r="AU283">
        <v>0</v>
      </c>
      <c r="AV283">
        <v>15</v>
      </c>
      <c r="AW283">
        <v>0</v>
      </c>
      <c r="AX283">
        <v>0</v>
      </c>
      <c r="AY283">
        <v>0</v>
      </c>
      <c r="AZ283" t="s">
        <v>284</v>
      </c>
      <c r="BA283" t="s">
        <v>452</v>
      </c>
      <c r="BB283" t="s">
        <v>154</v>
      </c>
      <c r="BC283" t="s">
        <v>907</v>
      </c>
      <c r="BD283" t="s">
        <v>107</v>
      </c>
      <c r="BE283" t="s">
        <v>470</v>
      </c>
      <c r="BF283" t="s">
        <v>2983</v>
      </c>
      <c r="BG283" t="s">
        <v>156</v>
      </c>
      <c r="BH283">
        <v>150</v>
      </c>
      <c r="BL283">
        <v>69</v>
      </c>
      <c r="BN283">
        <v>8</v>
      </c>
      <c r="BP283">
        <v>20</v>
      </c>
      <c r="BR283">
        <v>10</v>
      </c>
      <c r="BT283">
        <v>8</v>
      </c>
      <c r="BV283">
        <v>15</v>
      </c>
      <c r="BX283">
        <v>20</v>
      </c>
      <c r="BY283" t="s">
        <v>110</v>
      </c>
      <c r="BZ283" t="s">
        <v>907</v>
      </c>
      <c r="CA283" t="s">
        <v>907</v>
      </c>
      <c r="CB283" t="s">
        <v>84</v>
      </c>
      <c r="CC283" t="s">
        <v>84</v>
      </c>
      <c r="CD283" t="s">
        <v>778</v>
      </c>
      <c r="CE283" t="s">
        <v>4251</v>
      </c>
      <c r="CF283" t="s">
        <v>4033</v>
      </c>
      <c r="CG283" t="s">
        <v>907</v>
      </c>
      <c r="CH283">
        <v>17</v>
      </c>
      <c r="CI283" t="s">
        <v>84</v>
      </c>
      <c r="CJ283" t="s">
        <v>405</v>
      </c>
      <c r="CK283" t="s">
        <v>289</v>
      </c>
      <c r="CL283" t="s">
        <v>367</v>
      </c>
      <c r="CM283" t="s">
        <v>193</v>
      </c>
      <c r="CN283" t="s">
        <v>3874</v>
      </c>
      <c r="CO283" t="s">
        <v>95</v>
      </c>
      <c r="CP283" t="s">
        <v>907</v>
      </c>
      <c r="CQ283" t="s">
        <v>116</v>
      </c>
      <c r="CR283" t="s">
        <v>95</v>
      </c>
      <c r="CS283" t="s">
        <v>907</v>
      </c>
      <c r="CT283" t="s">
        <v>907</v>
      </c>
      <c r="CU283" t="s">
        <v>907</v>
      </c>
      <c r="CV283" t="s">
        <v>812</v>
      </c>
      <c r="CW283" t="s">
        <v>1622</v>
      </c>
      <c r="CX283" t="s">
        <v>166</v>
      </c>
      <c r="CY283" t="s">
        <v>167</v>
      </c>
      <c r="CZ283" t="s">
        <v>2320</v>
      </c>
      <c r="DA283">
        <v>2</v>
      </c>
      <c r="DB283" s="10">
        <v>16000</v>
      </c>
      <c r="DC283" t="s">
        <v>169</v>
      </c>
      <c r="DD283" t="s">
        <v>907</v>
      </c>
      <c r="DE283">
        <v>3</v>
      </c>
      <c r="DF283">
        <v>20</v>
      </c>
      <c r="DG283" t="s">
        <v>95</v>
      </c>
      <c r="DH283" t="s">
        <v>95</v>
      </c>
      <c r="DI283" t="s">
        <v>907</v>
      </c>
      <c r="DJ283" t="s">
        <v>907</v>
      </c>
      <c r="DK283" t="s">
        <v>907</v>
      </c>
      <c r="DL283" t="s">
        <v>907</v>
      </c>
      <c r="DM283" t="s">
        <v>291</v>
      </c>
      <c r="DN283" t="s">
        <v>907</v>
      </c>
      <c r="DO283" t="s">
        <v>907</v>
      </c>
      <c r="DP283">
        <v>200</v>
      </c>
      <c r="DQ283" t="s">
        <v>441</v>
      </c>
      <c r="DR283" t="s">
        <v>907</v>
      </c>
      <c r="DS283" t="s">
        <v>172</v>
      </c>
      <c r="DT283" t="s">
        <v>2265</v>
      </c>
      <c r="DU283" t="s">
        <v>84</v>
      </c>
      <c r="DV283" t="s">
        <v>864</v>
      </c>
      <c r="DW283" t="s">
        <v>132</v>
      </c>
      <c r="DX283" t="s">
        <v>95</v>
      </c>
      <c r="FQ283">
        <v>567708610</v>
      </c>
      <c r="FR283" t="s">
        <v>3019</v>
      </c>
      <c r="FS283" s="1">
        <v>45926.814733796287</v>
      </c>
      <c r="FV283" t="s">
        <v>134</v>
      </c>
      <c r="FW283" t="s">
        <v>135</v>
      </c>
      <c r="FX283" t="s">
        <v>136</v>
      </c>
      <c r="FZ283">
        <v>427</v>
      </c>
    </row>
    <row r="284" spans="1:182" hidden="1" x14ac:dyDescent="0.3">
      <c r="A284" s="1">
        <v>45925.623978900461</v>
      </c>
      <c r="B284" s="1">
        <v>45925.63636034722</v>
      </c>
      <c r="D284" t="s">
        <v>84</v>
      </c>
      <c r="E284" t="s">
        <v>771</v>
      </c>
      <c r="F284" t="s">
        <v>2083</v>
      </c>
      <c r="G284" t="s">
        <v>176</v>
      </c>
      <c r="H284" t="s">
        <v>4122</v>
      </c>
      <c r="I284" t="s">
        <v>2084</v>
      </c>
      <c r="J284" t="s">
        <v>2085</v>
      </c>
      <c r="K284" t="s">
        <v>90</v>
      </c>
      <c r="L284" t="s">
        <v>3975</v>
      </c>
      <c r="M284" t="s">
        <v>2086</v>
      </c>
      <c r="N284" t="s">
        <v>2087</v>
      </c>
      <c r="O284">
        <v>-15.164749199999999</v>
      </c>
      <c r="P284">
        <v>22.997788799999999</v>
      </c>
      <c r="Q284">
        <v>1026.39892578125</v>
      </c>
      <c r="R284">
        <v>4.367</v>
      </c>
      <c r="S284" t="s">
        <v>84</v>
      </c>
      <c r="T284" t="s">
        <v>182</v>
      </c>
      <c r="U284">
        <v>12</v>
      </c>
      <c r="V284" t="s">
        <v>95</v>
      </c>
      <c r="W284" t="s">
        <v>907</v>
      </c>
      <c r="X284">
        <v>4</v>
      </c>
      <c r="Y284">
        <v>0.5</v>
      </c>
      <c r="Z284">
        <v>0.5</v>
      </c>
      <c r="AA284" t="s">
        <v>96</v>
      </c>
      <c r="AB284" t="s">
        <v>351</v>
      </c>
      <c r="AC284" t="s">
        <v>98</v>
      </c>
      <c r="AD284" t="s">
        <v>280</v>
      </c>
      <c r="AE284" t="s">
        <v>2020</v>
      </c>
      <c r="AF284" t="s">
        <v>907</v>
      </c>
      <c r="AG284">
        <v>300</v>
      </c>
      <c r="AH284" t="s">
        <v>304</v>
      </c>
      <c r="AI284" t="s">
        <v>907</v>
      </c>
      <c r="AJ284" s="5">
        <v>0</v>
      </c>
      <c r="AK284" t="s">
        <v>102</v>
      </c>
      <c r="AL284" t="s">
        <v>907</v>
      </c>
      <c r="AM284" t="s">
        <v>4130</v>
      </c>
      <c r="AN284" t="s">
        <v>907</v>
      </c>
      <c r="AQ284" t="s">
        <v>466</v>
      </c>
      <c r="AR284" t="s">
        <v>95</v>
      </c>
      <c r="AS284">
        <v>0</v>
      </c>
      <c r="AT284">
        <v>0</v>
      </c>
      <c r="AU284">
        <v>0</v>
      </c>
      <c r="AV284">
        <v>0</v>
      </c>
      <c r="AW284">
        <v>0</v>
      </c>
      <c r="AX284">
        <v>0</v>
      </c>
      <c r="AY284">
        <v>0</v>
      </c>
      <c r="AZ284" t="s">
        <v>929</v>
      </c>
      <c r="BA284" t="s">
        <v>95</v>
      </c>
      <c r="BB284" t="s">
        <v>154</v>
      </c>
      <c r="BC284" t="s">
        <v>907</v>
      </c>
      <c r="BD284" t="s">
        <v>107</v>
      </c>
      <c r="BE284" t="s">
        <v>363</v>
      </c>
      <c r="BF284" t="s">
        <v>2023</v>
      </c>
      <c r="BG284" t="s">
        <v>109</v>
      </c>
      <c r="BH284">
        <v>57</v>
      </c>
      <c r="BL284">
        <v>52</v>
      </c>
      <c r="BN284">
        <v>3</v>
      </c>
      <c r="BT284">
        <v>11</v>
      </c>
      <c r="BX284">
        <v>9</v>
      </c>
      <c r="BY284" t="s">
        <v>189</v>
      </c>
      <c r="BZ284">
        <v>2</v>
      </c>
      <c r="CA284">
        <v>4</v>
      </c>
      <c r="CB284" t="s">
        <v>84</v>
      </c>
      <c r="CC284" t="s">
        <v>84</v>
      </c>
      <c r="CD284" t="s">
        <v>2088</v>
      </c>
      <c r="CE284" t="s">
        <v>4251</v>
      </c>
      <c r="CF284" t="s">
        <v>2024</v>
      </c>
      <c r="CG284" t="s">
        <v>907</v>
      </c>
      <c r="CH284">
        <v>18</v>
      </c>
      <c r="CI284" t="s">
        <v>95</v>
      </c>
      <c r="CJ284" t="s">
        <v>907</v>
      </c>
      <c r="CK284" t="s">
        <v>289</v>
      </c>
      <c r="CL284" t="s">
        <v>380</v>
      </c>
      <c r="CM284" t="s">
        <v>162</v>
      </c>
      <c r="CN284" t="s">
        <v>421</v>
      </c>
      <c r="CO284" t="s">
        <v>95</v>
      </c>
      <c r="CP284" t="s">
        <v>907</v>
      </c>
      <c r="CQ284" t="s">
        <v>116</v>
      </c>
      <c r="CR284" t="s">
        <v>84</v>
      </c>
      <c r="CS284" t="s">
        <v>117</v>
      </c>
      <c r="CT284" t="s">
        <v>907</v>
      </c>
      <c r="CU284" t="s">
        <v>438</v>
      </c>
      <c r="CV284" t="s">
        <v>812</v>
      </c>
      <c r="CW284" t="s">
        <v>2089</v>
      </c>
      <c r="CX284" t="s">
        <v>166</v>
      </c>
      <c r="CY284" t="s">
        <v>121</v>
      </c>
      <c r="CZ284" t="s">
        <v>2090</v>
      </c>
      <c r="DA284">
        <v>0</v>
      </c>
      <c r="DB284" s="10">
        <v>0</v>
      </c>
      <c r="DC284" t="s">
        <v>169</v>
      </c>
      <c r="DD284" t="s">
        <v>907</v>
      </c>
      <c r="DE284">
        <v>2</v>
      </c>
      <c r="DF284">
        <v>30</v>
      </c>
      <c r="DG284" t="s">
        <v>95</v>
      </c>
      <c r="DH284" t="s">
        <v>95</v>
      </c>
      <c r="DI284" t="s">
        <v>907</v>
      </c>
      <c r="DJ284" t="s">
        <v>907</v>
      </c>
      <c r="DK284" t="s">
        <v>907</v>
      </c>
      <c r="DL284" t="s">
        <v>907</v>
      </c>
      <c r="DM284" t="s">
        <v>291</v>
      </c>
      <c r="DN284" t="s">
        <v>907</v>
      </c>
      <c r="DO284" t="s">
        <v>907</v>
      </c>
      <c r="DP284">
        <v>4</v>
      </c>
      <c r="DQ284" t="s">
        <v>128</v>
      </c>
      <c r="DR284" t="s">
        <v>907</v>
      </c>
      <c r="DS284" t="s">
        <v>716</v>
      </c>
      <c r="DT284" t="s">
        <v>2091</v>
      </c>
      <c r="DU284" t="s">
        <v>84</v>
      </c>
      <c r="DV284" t="s">
        <v>532</v>
      </c>
      <c r="DW284" t="s">
        <v>2062</v>
      </c>
      <c r="DX284" t="s">
        <v>84</v>
      </c>
      <c r="FQ284">
        <v>566860849</v>
      </c>
      <c r="FR284" t="s">
        <v>2092</v>
      </c>
      <c r="FS284" s="1">
        <v>45925.728321759263</v>
      </c>
      <c r="FV284" t="s">
        <v>134</v>
      </c>
      <c r="FW284" t="s">
        <v>135</v>
      </c>
      <c r="FX284" t="s">
        <v>136</v>
      </c>
      <c r="FZ284">
        <v>304</v>
      </c>
    </row>
    <row r="285" spans="1:182" hidden="1" x14ac:dyDescent="0.3">
      <c r="A285" s="1">
        <v>45924.378512199073</v>
      </c>
      <c r="B285" s="1">
        <v>45924.771126793981</v>
      </c>
      <c r="D285" t="s">
        <v>84</v>
      </c>
      <c r="E285" t="s">
        <v>3876</v>
      </c>
      <c r="F285" t="s">
        <v>1028</v>
      </c>
      <c r="G285" t="s">
        <v>176</v>
      </c>
      <c r="H285" t="s">
        <v>4122</v>
      </c>
      <c r="I285" t="s">
        <v>1029</v>
      </c>
      <c r="J285" t="s">
        <v>1030</v>
      </c>
      <c r="K285" t="s">
        <v>90</v>
      </c>
      <c r="L285" t="s">
        <v>1031</v>
      </c>
      <c r="M285" t="s">
        <v>1032</v>
      </c>
      <c r="N285" t="s">
        <v>1033</v>
      </c>
      <c r="O285">
        <v>-15.269128500000001</v>
      </c>
      <c r="P285">
        <v>23.113444600000001</v>
      </c>
      <c r="Q285">
        <v>0</v>
      </c>
      <c r="R285">
        <v>2799.9989999999998</v>
      </c>
      <c r="S285" t="s">
        <v>84</v>
      </c>
      <c r="T285" t="s">
        <v>94</v>
      </c>
      <c r="U285">
        <v>4</v>
      </c>
      <c r="V285" t="s">
        <v>95</v>
      </c>
      <c r="W285" t="s">
        <v>907</v>
      </c>
      <c r="X285">
        <v>49</v>
      </c>
      <c r="Y285">
        <v>10</v>
      </c>
      <c r="Z285">
        <v>8</v>
      </c>
      <c r="AA285" t="s">
        <v>504</v>
      </c>
      <c r="AB285" t="s">
        <v>351</v>
      </c>
      <c r="AC285" t="s">
        <v>98</v>
      </c>
      <c r="AD285" t="s">
        <v>252</v>
      </c>
      <c r="AE285" t="s">
        <v>304</v>
      </c>
      <c r="AF285" t="s">
        <v>907</v>
      </c>
      <c r="AG285">
        <v>5000</v>
      </c>
      <c r="AH285" t="s">
        <v>100</v>
      </c>
      <c r="AI285" t="s">
        <v>907</v>
      </c>
      <c r="AJ285" s="5">
        <v>4000</v>
      </c>
      <c r="AK285" t="s">
        <v>102</v>
      </c>
      <c r="AL285" t="s">
        <v>907</v>
      </c>
      <c r="AM285" t="s">
        <v>1034</v>
      </c>
      <c r="AN285" t="s">
        <v>907</v>
      </c>
      <c r="AO285" t="s">
        <v>267</v>
      </c>
      <c r="AP285" t="s">
        <v>1035</v>
      </c>
      <c r="AQ285" t="s">
        <v>418</v>
      </c>
      <c r="AR285" t="s">
        <v>84</v>
      </c>
      <c r="AS285">
        <v>0</v>
      </c>
      <c r="AT285">
        <v>0</v>
      </c>
      <c r="AU285">
        <v>0</v>
      </c>
      <c r="AV285">
        <v>0</v>
      </c>
      <c r="AW285">
        <v>0</v>
      </c>
      <c r="AX285">
        <v>0</v>
      </c>
      <c r="AY285">
        <v>0</v>
      </c>
      <c r="AZ285" t="s">
        <v>1003</v>
      </c>
      <c r="BA285" t="s">
        <v>1036</v>
      </c>
      <c r="BB285" t="s">
        <v>154</v>
      </c>
      <c r="BC285" t="s">
        <v>907</v>
      </c>
      <c r="BD285" t="s">
        <v>107</v>
      </c>
      <c r="BE285" t="s">
        <v>258</v>
      </c>
      <c r="BF285" t="s">
        <v>1037</v>
      </c>
      <c r="BG285" t="s">
        <v>235</v>
      </c>
      <c r="BH285">
        <v>81</v>
      </c>
      <c r="BL285">
        <v>40</v>
      </c>
      <c r="BN285">
        <v>2</v>
      </c>
      <c r="BP285">
        <v>22</v>
      </c>
      <c r="BR285">
        <v>5</v>
      </c>
      <c r="BT285">
        <v>4</v>
      </c>
      <c r="BV285">
        <v>2</v>
      </c>
      <c r="BX285">
        <v>6</v>
      </c>
      <c r="BY285" t="s">
        <v>189</v>
      </c>
      <c r="BZ285">
        <v>4</v>
      </c>
      <c r="CA285">
        <v>61</v>
      </c>
      <c r="CB285" t="s">
        <v>84</v>
      </c>
      <c r="CC285" t="s">
        <v>84</v>
      </c>
      <c r="CD285" t="s">
        <v>1038</v>
      </c>
      <c r="CE285" t="s">
        <v>4250</v>
      </c>
      <c r="CF285" t="s">
        <v>1039</v>
      </c>
      <c r="CG285" t="s">
        <v>907</v>
      </c>
      <c r="CH285">
        <v>20</v>
      </c>
      <c r="CI285" t="s">
        <v>84</v>
      </c>
      <c r="CJ285" t="s">
        <v>586</v>
      </c>
      <c r="CK285" t="s">
        <v>289</v>
      </c>
      <c r="CL285" t="s">
        <v>1040</v>
      </c>
      <c r="CM285" t="s">
        <v>162</v>
      </c>
      <c r="CN285" t="s">
        <v>3874</v>
      </c>
      <c r="CO285" t="s">
        <v>95</v>
      </c>
      <c r="CP285" t="s">
        <v>907</v>
      </c>
      <c r="CQ285" t="s">
        <v>116</v>
      </c>
      <c r="CR285" t="s">
        <v>95</v>
      </c>
      <c r="CS285" t="s">
        <v>907</v>
      </c>
      <c r="CT285" t="s">
        <v>907</v>
      </c>
      <c r="CU285" t="s">
        <v>907</v>
      </c>
      <c r="CV285" t="s">
        <v>119</v>
      </c>
      <c r="CW285" t="s">
        <v>715</v>
      </c>
      <c r="CX285" t="s">
        <v>166</v>
      </c>
      <c r="CY285" t="s">
        <v>167</v>
      </c>
      <c r="CZ285" t="s">
        <v>440</v>
      </c>
      <c r="DA285">
        <v>3</v>
      </c>
      <c r="DB285" s="10">
        <v>20000</v>
      </c>
      <c r="DC285" t="s">
        <v>169</v>
      </c>
      <c r="DD285" t="s">
        <v>907</v>
      </c>
      <c r="DE285">
        <v>3</v>
      </c>
      <c r="DF285">
        <v>15</v>
      </c>
      <c r="DG285" t="s">
        <v>84</v>
      </c>
      <c r="DH285" t="s">
        <v>95</v>
      </c>
      <c r="DI285" t="s">
        <v>907</v>
      </c>
      <c r="DJ285" t="s">
        <v>907</v>
      </c>
      <c r="DK285" t="s">
        <v>907</v>
      </c>
      <c r="DL285" t="s">
        <v>907</v>
      </c>
      <c r="DM285" t="s">
        <v>291</v>
      </c>
      <c r="DN285" t="s">
        <v>907</v>
      </c>
      <c r="DO285" t="s">
        <v>907</v>
      </c>
      <c r="DP285">
        <v>3</v>
      </c>
      <c r="DQ285" t="s">
        <v>441</v>
      </c>
      <c r="DR285" t="s">
        <v>907</v>
      </c>
      <c r="DS285" t="s">
        <v>882</v>
      </c>
      <c r="DT285" t="s">
        <v>271</v>
      </c>
      <c r="DU285" t="s">
        <v>95</v>
      </c>
      <c r="DV285" t="s">
        <v>907</v>
      </c>
      <c r="DW285" t="s">
        <v>907</v>
      </c>
      <c r="DX285" t="s">
        <v>907</v>
      </c>
      <c r="FQ285">
        <v>565986378</v>
      </c>
      <c r="FR285" t="s">
        <v>1041</v>
      </c>
      <c r="FS285" s="1">
        <v>45924.707627314812</v>
      </c>
      <c r="FV285" t="s">
        <v>134</v>
      </c>
      <c r="FW285" t="s">
        <v>135</v>
      </c>
      <c r="FX285" t="s">
        <v>136</v>
      </c>
      <c r="FZ285">
        <v>189</v>
      </c>
    </row>
    <row r="286" spans="1:182" x14ac:dyDescent="0.3">
      <c r="A286" s="1">
        <v>45926.481090474539</v>
      </c>
      <c r="B286" s="1">
        <v>45926.506053946759</v>
      </c>
      <c r="D286" t="s">
        <v>84</v>
      </c>
      <c r="E286" t="s">
        <v>1226</v>
      </c>
      <c r="F286" t="s">
        <v>3020</v>
      </c>
      <c r="G286" t="s">
        <v>176</v>
      </c>
      <c r="H286" t="s">
        <v>4122</v>
      </c>
      <c r="I286" t="s">
        <v>3021</v>
      </c>
      <c r="J286" t="s">
        <v>3022</v>
      </c>
      <c r="K286" t="s">
        <v>90</v>
      </c>
      <c r="L286" t="s">
        <v>3023</v>
      </c>
      <c r="M286" t="s">
        <v>3024</v>
      </c>
      <c r="N286" t="s">
        <v>3025</v>
      </c>
      <c r="O286">
        <v>-15.2475533</v>
      </c>
      <c r="P286">
        <v>22.96153</v>
      </c>
      <c r="Q286">
        <v>1031.2</v>
      </c>
      <c r="R286">
        <v>4.9660000000000002</v>
      </c>
      <c r="S286" t="s">
        <v>84</v>
      </c>
      <c r="T286" t="s">
        <v>94</v>
      </c>
      <c r="U286">
        <v>7</v>
      </c>
      <c r="V286" t="s">
        <v>95</v>
      </c>
      <c r="W286" t="s">
        <v>907</v>
      </c>
      <c r="X286">
        <v>15</v>
      </c>
      <c r="Y286">
        <v>50</v>
      </c>
      <c r="Z286">
        <v>1.5</v>
      </c>
      <c r="AA286" t="s">
        <v>251</v>
      </c>
      <c r="AB286" t="s">
        <v>97</v>
      </c>
      <c r="AC286" t="s">
        <v>98</v>
      </c>
      <c r="AD286" t="s">
        <v>252</v>
      </c>
      <c r="AE286" t="s">
        <v>101</v>
      </c>
      <c r="AF286" t="s">
        <v>907</v>
      </c>
      <c r="AG286" s="3">
        <v>5000</v>
      </c>
      <c r="AH286" t="s">
        <v>304</v>
      </c>
      <c r="AI286" t="s">
        <v>907</v>
      </c>
      <c r="AJ286" s="5">
        <v>5000</v>
      </c>
      <c r="AK286" t="s">
        <v>102</v>
      </c>
      <c r="AL286" t="s">
        <v>907</v>
      </c>
      <c r="AM286" t="s">
        <v>2818</v>
      </c>
      <c r="AN286" t="s">
        <v>907</v>
      </c>
      <c r="AO286" t="s">
        <v>2143</v>
      </c>
      <c r="AP286" t="s">
        <v>2241</v>
      </c>
      <c r="AQ286" t="s">
        <v>466</v>
      </c>
      <c r="AR286" t="s">
        <v>95</v>
      </c>
      <c r="AS286">
        <v>10</v>
      </c>
      <c r="AT286">
        <v>0</v>
      </c>
      <c r="AU286">
        <v>0</v>
      </c>
      <c r="AV286">
        <v>8</v>
      </c>
      <c r="AW286">
        <v>0</v>
      </c>
      <c r="AX286">
        <v>0</v>
      </c>
      <c r="AY286">
        <v>0</v>
      </c>
      <c r="AZ286" t="s">
        <v>284</v>
      </c>
      <c r="BA286" t="s">
        <v>95</v>
      </c>
      <c r="BB286" t="s">
        <v>154</v>
      </c>
      <c r="BC286" t="s">
        <v>907</v>
      </c>
      <c r="BD286" t="s">
        <v>107</v>
      </c>
      <c r="BE286" t="s">
        <v>470</v>
      </c>
      <c r="BF286" t="s">
        <v>4034</v>
      </c>
      <c r="BG286" t="s">
        <v>156</v>
      </c>
      <c r="BH286">
        <v>50</v>
      </c>
      <c r="BL286">
        <v>20</v>
      </c>
      <c r="BN286">
        <v>1</v>
      </c>
      <c r="BP286">
        <v>10</v>
      </c>
      <c r="BR286">
        <v>0</v>
      </c>
      <c r="BT286">
        <v>4</v>
      </c>
      <c r="BV286">
        <v>5</v>
      </c>
      <c r="BX286">
        <v>10</v>
      </c>
      <c r="BY286" t="s">
        <v>189</v>
      </c>
      <c r="BZ286">
        <v>5</v>
      </c>
      <c r="CA286">
        <v>12</v>
      </c>
      <c r="CB286" t="s">
        <v>84</v>
      </c>
      <c r="CC286" t="s">
        <v>84</v>
      </c>
      <c r="CD286" t="s">
        <v>334</v>
      </c>
      <c r="CE286" t="s">
        <v>4251</v>
      </c>
      <c r="CF286" t="s">
        <v>4035</v>
      </c>
      <c r="CG286" t="s">
        <v>907</v>
      </c>
      <c r="CH286">
        <v>20</v>
      </c>
      <c r="CI286" t="s">
        <v>84</v>
      </c>
      <c r="CJ286" t="s">
        <v>405</v>
      </c>
      <c r="CK286" t="s">
        <v>289</v>
      </c>
      <c r="CL286" t="s">
        <v>367</v>
      </c>
      <c r="CM286" t="s">
        <v>193</v>
      </c>
      <c r="CN286" t="s">
        <v>3874</v>
      </c>
      <c r="CO286" t="s">
        <v>95</v>
      </c>
      <c r="CP286" t="s">
        <v>907</v>
      </c>
      <c r="CQ286" t="s">
        <v>116</v>
      </c>
      <c r="CR286" t="s">
        <v>84</v>
      </c>
      <c r="CS286" t="s">
        <v>117</v>
      </c>
      <c r="CT286" t="s">
        <v>163</v>
      </c>
      <c r="CU286" t="s">
        <v>438</v>
      </c>
      <c r="CV286" t="s">
        <v>812</v>
      </c>
      <c r="CW286" t="s">
        <v>907</v>
      </c>
      <c r="CX286" t="s">
        <v>166</v>
      </c>
      <c r="CY286" t="s">
        <v>167</v>
      </c>
      <c r="CZ286" t="s">
        <v>3026</v>
      </c>
      <c r="DA286">
        <v>3</v>
      </c>
      <c r="DB286" s="10">
        <v>25000</v>
      </c>
      <c r="DC286" t="s">
        <v>169</v>
      </c>
      <c r="DD286" t="s">
        <v>907</v>
      </c>
      <c r="DE286">
        <v>3</v>
      </c>
      <c r="DF286">
        <v>20</v>
      </c>
      <c r="DG286" t="s">
        <v>84</v>
      </c>
      <c r="DH286" t="s">
        <v>95</v>
      </c>
      <c r="DI286" t="s">
        <v>907</v>
      </c>
      <c r="DJ286" t="s">
        <v>907</v>
      </c>
      <c r="DK286" t="s">
        <v>907</v>
      </c>
      <c r="DL286" t="s">
        <v>907</v>
      </c>
      <c r="DM286" t="s">
        <v>291</v>
      </c>
      <c r="DN286" t="s">
        <v>907</v>
      </c>
      <c r="DO286" t="s">
        <v>907</v>
      </c>
      <c r="DP286">
        <v>300</v>
      </c>
      <c r="DQ286" t="s">
        <v>441</v>
      </c>
      <c r="DR286" t="s">
        <v>907</v>
      </c>
      <c r="DS286" t="s">
        <v>898</v>
      </c>
      <c r="DT286" t="s">
        <v>2265</v>
      </c>
      <c r="DU286" t="s">
        <v>84</v>
      </c>
      <c r="DV286" t="s">
        <v>864</v>
      </c>
      <c r="DW286" t="s">
        <v>132</v>
      </c>
      <c r="DX286" t="s">
        <v>95</v>
      </c>
      <c r="FQ286">
        <v>567708620</v>
      </c>
      <c r="FR286" t="s">
        <v>3027</v>
      </c>
      <c r="FS286" s="1">
        <v>45926.814733796287</v>
      </c>
      <c r="FV286" t="s">
        <v>134</v>
      </c>
      <c r="FW286" t="s">
        <v>135</v>
      </c>
      <c r="FX286" t="s">
        <v>136</v>
      </c>
      <c r="FZ286">
        <v>428</v>
      </c>
    </row>
    <row r="287" spans="1:182" ht="43.2" hidden="1" x14ac:dyDescent="0.3">
      <c r="A287" s="1">
        <v>45929.485058298611</v>
      </c>
      <c r="B287" s="1">
        <v>45929.509894502313</v>
      </c>
      <c r="D287" t="s">
        <v>84</v>
      </c>
      <c r="E287" t="s">
        <v>1878</v>
      </c>
      <c r="F287" s="2" t="s">
        <v>4054</v>
      </c>
      <c r="G287" t="s">
        <v>176</v>
      </c>
      <c r="H287" t="s">
        <v>4122</v>
      </c>
      <c r="I287" t="s">
        <v>3150</v>
      </c>
      <c r="J287" t="s">
        <v>3151</v>
      </c>
      <c r="K287" t="s">
        <v>90</v>
      </c>
      <c r="L287" t="s">
        <v>4055</v>
      </c>
      <c r="M287" t="s">
        <v>3152</v>
      </c>
      <c r="N287" t="s">
        <v>3153</v>
      </c>
      <c r="O287">
        <v>-15.3959584</v>
      </c>
      <c r="P287">
        <v>23.040619</v>
      </c>
      <c r="Q287">
        <v>1028.8</v>
      </c>
      <c r="R287">
        <v>4.92</v>
      </c>
      <c r="S287" t="s">
        <v>84</v>
      </c>
      <c r="T287" t="s">
        <v>182</v>
      </c>
      <c r="U287">
        <v>8</v>
      </c>
      <c r="V287" t="s">
        <v>95</v>
      </c>
      <c r="W287" t="s">
        <v>907</v>
      </c>
      <c r="X287">
        <v>30</v>
      </c>
      <c r="Y287">
        <v>2</v>
      </c>
      <c r="Z287">
        <v>1.8</v>
      </c>
      <c r="AA287" t="s">
        <v>96</v>
      </c>
      <c r="AB287" t="s">
        <v>351</v>
      </c>
      <c r="AC287" t="s">
        <v>98</v>
      </c>
      <c r="AD287" t="s">
        <v>99</v>
      </c>
      <c r="AE287" t="s">
        <v>304</v>
      </c>
      <c r="AF287" t="s">
        <v>907</v>
      </c>
      <c r="AG287">
        <v>48000</v>
      </c>
      <c r="AH287" t="s">
        <v>100</v>
      </c>
      <c r="AI287" t="s">
        <v>907</v>
      </c>
      <c r="AJ287" s="5">
        <v>6000</v>
      </c>
      <c r="AK287" t="s">
        <v>148</v>
      </c>
      <c r="AL287" t="s">
        <v>907</v>
      </c>
      <c r="AM287" t="s">
        <v>466</v>
      </c>
      <c r="AN287" t="s">
        <v>907</v>
      </c>
      <c r="AO287" t="s">
        <v>3154</v>
      </c>
      <c r="AP287" t="s">
        <v>3155</v>
      </c>
      <c r="AQ287" t="s">
        <v>3156</v>
      </c>
      <c r="AR287" t="s">
        <v>95</v>
      </c>
      <c r="AS287">
        <v>15</v>
      </c>
      <c r="AT287">
        <v>0</v>
      </c>
      <c r="AU287">
        <v>0</v>
      </c>
      <c r="AV287">
        <v>10</v>
      </c>
      <c r="AW287">
        <v>10</v>
      </c>
      <c r="AX287">
        <v>0</v>
      </c>
      <c r="AY287">
        <v>0</v>
      </c>
      <c r="AZ287" t="s">
        <v>929</v>
      </c>
      <c r="BA287" t="s">
        <v>452</v>
      </c>
      <c r="BB287" t="s">
        <v>308</v>
      </c>
      <c r="BC287" t="s">
        <v>907</v>
      </c>
      <c r="BD287" t="s">
        <v>107</v>
      </c>
      <c r="BE287" t="s">
        <v>810</v>
      </c>
      <c r="BF287" t="s">
        <v>3157</v>
      </c>
      <c r="BG287" t="s">
        <v>526</v>
      </c>
      <c r="BH287">
        <v>40</v>
      </c>
      <c r="BL287">
        <v>15</v>
      </c>
      <c r="BN287">
        <v>2</v>
      </c>
      <c r="BP287">
        <v>5</v>
      </c>
      <c r="BR287">
        <v>3</v>
      </c>
      <c r="BT287">
        <v>5</v>
      </c>
      <c r="BV287">
        <v>0</v>
      </c>
      <c r="BX287">
        <v>10</v>
      </c>
      <c r="BY287" t="s">
        <v>189</v>
      </c>
      <c r="BZ287">
        <v>4</v>
      </c>
      <c r="CA287">
        <v>10</v>
      </c>
      <c r="CB287" t="s">
        <v>84</v>
      </c>
      <c r="CC287" t="s">
        <v>84</v>
      </c>
      <c r="CD287" t="s">
        <v>3158</v>
      </c>
      <c r="CE287" t="s">
        <v>4250</v>
      </c>
      <c r="CF287" t="s">
        <v>4056</v>
      </c>
      <c r="CG287" t="s">
        <v>907</v>
      </c>
      <c r="CH287">
        <v>20</v>
      </c>
      <c r="CI287" t="s">
        <v>95</v>
      </c>
      <c r="CJ287" t="s">
        <v>907</v>
      </c>
      <c r="CK287" t="s">
        <v>289</v>
      </c>
      <c r="CL287" t="s">
        <v>4262</v>
      </c>
      <c r="CM287" t="s">
        <v>193</v>
      </c>
      <c r="CN287" t="s">
        <v>3874</v>
      </c>
      <c r="CO287" t="s">
        <v>95</v>
      </c>
      <c r="CP287" t="s">
        <v>907</v>
      </c>
      <c r="CQ287" t="s">
        <v>116</v>
      </c>
      <c r="CR287" t="s">
        <v>84</v>
      </c>
      <c r="CS287" t="s">
        <v>117</v>
      </c>
      <c r="CT287" t="s">
        <v>264</v>
      </c>
      <c r="CU287" t="s">
        <v>3869</v>
      </c>
      <c r="CV287" t="s">
        <v>812</v>
      </c>
      <c r="CW287" t="s">
        <v>495</v>
      </c>
      <c r="CX287" t="s">
        <v>166</v>
      </c>
      <c r="CY287" t="s">
        <v>167</v>
      </c>
      <c r="CZ287" t="s">
        <v>495</v>
      </c>
      <c r="DA287">
        <v>10</v>
      </c>
      <c r="DB287" s="10">
        <v>48000</v>
      </c>
      <c r="DC287" t="s">
        <v>169</v>
      </c>
      <c r="DD287" t="s">
        <v>907</v>
      </c>
      <c r="DE287">
        <v>1</v>
      </c>
      <c r="DF287">
        <v>16</v>
      </c>
      <c r="DG287" t="s">
        <v>95</v>
      </c>
      <c r="DH287" t="s">
        <v>95</v>
      </c>
      <c r="DI287" t="s">
        <v>907</v>
      </c>
      <c r="DJ287" t="s">
        <v>907</v>
      </c>
      <c r="DK287" t="s">
        <v>907</v>
      </c>
      <c r="DL287" t="s">
        <v>907</v>
      </c>
      <c r="DM287" t="s">
        <v>291</v>
      </c>
      <c r="DN287" t="s">
        <v>907</v>
      </c>
      <c r="DO287" t="s">
        <v>907</v>
      </c>
      <c r="DP287">
        <v>3</v>
      </c>
      <c r="DQ287" t="s">
        <v>128</v>
      </c>
      <c r="DR287" t="s">
        <v>907</v>
      </c>
      <c r="DS287" t="s">
        <v>852</v>
      </c>
      <c r="DT287" t="s">
        <v>932</v>
      </c>
      <c r="DU287" t="s">
        <v>84</v>
      </c>
      <c r="DV287" t="s">
        <v>1687</v>
      </c>
      <c r="DW287" t="s">
        <v>1120</v>
      </c>
      <c r="DX287" t="s">
        <v>95</v>
      </c>
      <c r="FQ287">
        <v>569368898</v>
      </c>
      <c r="FR287" t="s">
        <v>3159</v>
      </c>
      <c r="FS287" s="1">
        <v>45929.596435185187</v>
      </c>
      <c r="FV287" t="s">
        <v>134</v>
      </c>
      <c r="FW287" t="s">
        <v>135</v>
      </c>
      <c r="FX287" t="s">
        <v>136</v>
      </c>
      <c r="FZ287">
        <v>483</v>
      </c>
    </row>
    <row r="288" spans="1:182" hidden="1" x14ac:dyDescent="0.3">
      <c r="A288" s="1">
        <v>45925.375505949072</v>
      </c>
      <c r="B288" s="1">
        <v>45925.397281307873</v>
      </c>
      <c r="D288" t="s">
        <v>84</v>
      </c>
      <c r="E288" t="s">
        <v>297</v>
      </c>
      <c r="F288" t="s">
        <v>2564</v>
      </c>
      <c r="G288" t="s">
        <v>176</v>
      </c>
      <c r="H288" t="s">
        <v>4122</v>
      </c>
      <c r="I288" t="s">
        <v>2565</v>
      </c>
      <c r="J288" t="s">
        <v>2566</v>
      </c>
      <c r="K288" t="s">
        <v>90</v>
      </c>
      <c r="L288" t="s">
        <v>2567</v>
      </c>
      <c r="M288" t="s">
        <v>1883</v>
      </c>
      <c r="N288" t="s">
        <v>2568</v>
      </c>
      <c r="O288">
        <v>-15.19745</v>
      </c>
      <c r="P288">
        <v>22.9735662</v>
      </c>
      <c r="Q288">
        <v>1032.468505859375</v>
      </c>
      <c r="R288">
        <v>4.8460000000000001</v>
      </c>
      <c r="S288" t="s">
        <v>84</v>
      </c>
      <c r="T288" t="s">
        <v>94</v>
      </c>
      <c r="U288">
        <v>7</v>
      </c>
      <c r="V288" t="s">
        <v>95</v>
      </c>
      <c r="W288" t="s">
        <v>907</v>
      </c>
      <c r="X288">
        <v>30</v>
      </c>
      <c r="Y288">
        <v>5</v>
      </c>
      <c r="Z288">
        <v>5</v>
      </c>
      <c r="AA288" t="s">
        <v>96</v>
      </c>
      <c r="AB288" t="s">
        <v>97</v>
      </c>
      <c r="AC288" t="s">
        <v>144</v>
      </c>
      <c r="AD288" t="s">
        <v>280</v>
      </c>
      <c r="AE288" t="s">
        <v>304</v>
      </c>
      <c r="AF288" t="s">
        <v>907</v>
      </c>
      <c r="AG288">
        <v>30000</v>
      </c>
      <c r="AH288" t="s">
        <v>100</v>
      </c>
      <c r="AI288" t="s">
        <v>907</v>
      </c>
      <c r="AJ288" s="5">
        <v>25000</v>
      </c>
      <c r="AK288" t="s">
        <v>102</v>
      </c>
      <c r="AL288" t="s">
        <v>907</v>
      </c>
      <c r="AM288" t="s">
        <v>466</v>
      </c>
      <c r="AN288" t="s">
        <v>907</v>
      </c>
      <c r="AO288" t="s">
        <v>2569</v>
      </c>
      <c r="AP288" t="s">
        <v>2570</v>
      </c>
      <c r="AQ288" t="s">
        <v>466</v>
      </c>
      <c r="AR288" t="s">
        <v>95</v>
      </c>
      <c r="AS288">
        <v>30</v>
      </c>
      <c r="AT288">
        <v>0</v>
      </c>
      <c r="AU288">
        <v>0</v>
      </c>
      <c r="AV288">
        <v>100</v>
      </c>
      <c r="AW288">
        <v>0</v>
      </c>
      <c r="AX288">
        <v>0</v>
      </c>
      <c r="AY288">
        <v>0</v>
      </c>
      <c r="AZ288" t="s">
        <v>284</v>
      </c>
      <c r="BA288" t="s">
        <v>1065</v>
      </c>
      <c r="BB288" t="s">
        <v>154</v>
      </c>
      <c r="BC288" t="s">
        <v>907</v>
      </c>
      <c r="BD288" t="s">
        <v>107</v>
      </c>
      <c r="BE288" t="s">
        <v>258</v>
      </c>
      <c r="BF288" t="s">
        <v>2571</v>
      </c>
      <c r="BG288" t="s">
        <v>156</v>
      </c>
      <c r="BH288">
        <v>250</v>
      </c>
      <c r="BL288">
        <v>135</v>
      </c>
      <c r="BN288">
        <v>7</v>
      </c>
      <c r="BP288">
        <v>20</v>
      </c>
      <c r="BR288">
        <v>11</v>
      </c>
      <c r="BT288">
        <v>7</v>
      </c>
      <c r="BV288">
        <v>5</v>
      </c>
      <c r="BX288">
        <v>65</v>
      </c>
      <c r="BY288" t="s">
        <v>189</v>
      </c>
      <c r="BZ288">
        <v>6</v>
      </c>
      <c r="CA288">
        <v>50</v>
      </c>
      <c r="CB288" t="s">
        <v>84</v>
      </c>
      <c r="CC288" t="s">
        <v>84</v>
      </c>
      <c r="CD288" t="s">
        <v>2461</v>
      </c>
      <c r="CE288" t="s">
        <v>1998</v>
      </c>
      <c r="CF288" t="s">
        <v>2572</v>
      </c>
      <c r="CG288" t="s">
        <v>907</v>
      </c>
      <c r="CH288">
        <v>20</v>
      </c>
      <c r="CI288" t="s">
        <v>84</v>
      </c>
      <c r="CJ288" t="s">
        <v>160</v>
      </c>
      <c r="CK288" t="s">
        <v>113</v>
      </c>
      <c r="CL288" t="s">
        <v>1196</v>
      </c>
      <c r="CM288" t="s">
        <v>193</v>
      </c>
      <c r="CN288" t="s">
        <v>4007</v>
      </c>
      <c r="CO288" t="s">
        <v>95</v>
      </c>
      <c r="CP288" t="s">
        <v>907</v>
      </c>
      <c r="CQ288" t="s">
        <v>116</v>
      </c>
      <c r="CR288" t="s">
        <v>84</v>
      </c>
      <c r="CS288" t="s">
        <v>117</v>
      </c>
      <c r="CT288" t="s">
        <v>264</v>
      </c>
      <c r="CU288" t="s">
        <v>793</v>
      </c>
      <c r="CV288" t="s">
        <v>119</v>
      </c>
      <c r="CW288" t="s">
        <v>1565</v>
      </c>
      <c r="CX288" t="s">
        <v>166</v>
      </c>
      <c r="CY288" t="s">
        <v>167</v>
      </c>
      <c r="CZ288" t="s">
        <v>2573</v>
      </c>
      <c r="DA288">
        <v>15</v>
      </c>
      <c r="DB288" s="10">
        <v>90000</v>
      </c>
      <c r="DC288" t="s">
        <v>123</v>
      </c>
      <c r="DD288" t="s">
        <v>2574</v>
      </c>
      <c r="DE288">
        <v>1</v>
      </c>
      <c r="DF288">
        <v>25</v>
      </c>
      <c r="DG288" t="s">
        <v>95</v>
      </c>
      <c r="DH288" t="s">
        <v>95</v>
      </c>
      <c r="DI288" t="s">
        <v>907</v>
      </c>
      <c r="DJ288" t="s">
        <v>907</v>
      </c>
      <c r="DK288" t="s">
        <v>907</v>
      </c>
      <c r="DL288" t="s">
        <v>907</v>
      </c>
      <c r="DM288" t="s">
        <v>291</v>
      </c>
      <c r="DN288" t="s">
        <v>907</v>
      </c>
      <c r="DO288" t="s">
        <v>907</v>
      </c>
      <c r="DP288">
        <v>50</v>
      </c>
      <c r="DQ288" t="s">
        <v>441</v>
      </c>
      <c r="DR288" t="s">
        <v>907</v>
      </c>
      <c r="DS288" t="s">
        <v>2575</v>
      </c>
      <c r="DT288" t="s">
        <v>2576</v>
      </c>
      <c r="DU288" t="s">
        <v>95</v>
      </c>
      <c r="DV288" t="s">
        <v>907</v>
      </c>
      <c r="DW288" t="s">
        <v>907</v>
      </c>
      <c r="DX288" t="s">
        <v>907</v>
      </c>
      <c r="FQ288">
        <v>567124670</v>
      </c>
      <c r="FR288" t="s">
        <v>2577</v>
      </c>
      <c r="FS288" s="1">
        <v>45926.22016203704</v>
      </c>
      <c r="FV288" t="s">
        <v>134</v>
      </c>
      <c r="FW288" t="s">
        <v>135</v>
      </c>
      <c r="FX288" t="s">
        <v>136</v>
      </c>
      <c r="FZ288">
        <v>380</v>
      </c>
    </row>
    <row r="289" spans="1:182" x14ac:dyDescent="0.3">
      <c r="A289" s="1">
        <v>45926.405960405093</v>
      </c>
      <c r="B289" s="1">
        <v>45926.449434247683</v>
      </c>
      <c r="D289" t="s">
        <v>84</v>
      </c>
      <c r="E289" t="s">
        <v>1397</v>
      </c>
      <c r="F289" t="s">
        <v>2961</v>
      </c>
      <c r="G289" t="s">
        <v>87</v>
      </c>
      <c r="H289" t="s">
        <v>4122</v>
      </c>
      <c r="I289" t="s">
        <v>2962</v>
      </c>
      <c r="J289" t="s">
        <v>2963</v>
      </c>
      <c r="K289" t="s">
        <v>90</v>
      </c>
      <c r="L289" t="s">
        <v>2964</v>
      </c>
      <c r="M289" t="s">
        <v>2965</v>
      </c>
      <c r="N289" t="s">
        <v>2966</v>
      </c>
      <c r="O289">
        <v>-15.247531499999999</v>
      </c>
      <c r="P289">
        <v>22.961498500000001</v>
      </c>
      <c r="Q289">
        <v>1030.669189453125</v>
      </c>
      <c r="R289">
        <v>4.8529999999999998</v>
      </c>
      <c r="S289" t="s">
        <v>84</v>
      </c>
      <c r="T289" t="s">
        <v>94</v>
      </c>
      <c r="U289">
        <v>13</v>
      </c>
      <c r="V289" t="s">
        <v>95</v>
      </c>
      <c r="W289" t="s">
        <v>907</v>
      </c>
      <c r="X289">
        <v>7</v>
      </c>
      <c r="Y289">
        <v>160</v>
      </c>
      <c r="Z289">
        <v>15</v>
      </c>
      <c r="AA289" t="s">
        <v>251</v>
      </c>
      <c r="AB289" t="s">
        <v>143</v>
      </c>
      <c r="AC289" t="s">
        <v>144</v>
      </c>
      <c r="AD289" t="s">
        <v>252</v>
      </c>
      <c r="AE289" t="s">
        <v>146</v>
      </c>
      <c r="AF289" t="s">
        <v>907</v>
      </c>
      <c r="AG289" s="3">
        <v>12000</v>
      </c>
      <c r="AH289" t="s">
        <v>214</v>
      </c>
      <c r="AI289" t="s">
        <v>907</v>
      </c>
      <c r="AJ289" s="5">
        <v>24200</v>
      </c>
      <c r="AK289" t="s">
        <v>102</v>
      </c>
      <c r="AL289" t="s">
        <v>907</v>
      </c>
      <c r="AM289" t="s">
        <v>253</v>
      </c>
      <c r="AN289" t="s">
        <v>907</v>
      </c>
      <c r="AO289" t="s">
        <v>2967</v>
      </c>
      <c r="AP289" t="s">
        <v>2968</v>
      </c>
      <c r="AQ289" t="s">
        <v>956</v>
      </c>
      <c r="AR289" t="s">
        <v>84</v>
      </c>
      <c r="AS289">
        <v>0</v>
      </c>
      <c r="AT289">
        <v>40</v>
      </c>
      <c r="AU289">
        <v>0</v>
      </c>
      <c r="AV289">
        <v>0</v>
      </c>
      <c r="AW289">
        <v>5</v>
      </c>
      <c r="AX289">
        <v>0</v>
      </c>
      <c r="AY289">
        <v>0</v>
      </c>
      <c r="AZ289" t="s">
        <v>284</v>
      </c>
      <c r="BA289" t="s">
        <v>95</v>
      </c>
      <c r="BB289" t="s">
        <v>154</v>
      </c>
      <c r="BC289" t="s">
        <v>907</v>
      </c>
      <c r="BD289" t="s">
        <v>107</v>
      </c>
      <c r="BE289" t="s">
        <v>470</v>
      </c>
      <c r="BF289" t="s">
        <v>309</v>
      </c>
      <c r="BG289" t="s">
        <v>893</v>
      </c>
      <c r="BH289">
        <v>150</v>
      </c>
      <c r="BL289">
        <v>46</v>
      </c>
      <c r="BN289">
        <v>10</v>
      </c>
      <c r="BP289">
        <v>3</v>
      </c>
      <c r="BR289">
        <v>15</v>
      </c>
      <c r="BT289">
        <v>3</v>
      </c>
      <c r="BV289">
        <v>17</v>
      </c>
      <c r="BX289">
        <v>46</v>
      </c>
      <c r="BY289" t="s">
        <v>110</v>
      </c>
      <c r="BZ289" t="s">
        <v>907</v>
      </c>
      <c r="CA289" t="s">
        <v>907</v>
      </c>
      <c r="CB289" t="s">
        <v>84</v>
      </c>
      <c r="CC289" t="s">
        <v>84</v>
      </c>
      <c r="CD289" t="s">
        <v>778</v>
      </c>
      <c r="CE289" t="s">
        <v>4251</v>
      </c>
      <c r="CF289" t="s">
        <v>4028</v>
      </c>
      <c r="CG289" t="s">
        <v>907</v>
      </c>
      <c r="CH289">
        <v>20</v>
      </c>
      <c r="CI289" t="s">
        <v>84</v>
      </c>
      <c r="CJ289" t="s">
        <v>336</v>
      </c>
      <c r="CK289" t="s">
        <v>289</v>
      </c>
      <c r="CL289" t="s">
        <v>367</v>
      </c>
      <c r="CM289" t="s">
        <v>193</v>
      </c>
      <c r="CN289" t="s">
        <v>421</v>
      </c>
      <c r="CO289" t="s">
        <v>84</v>
      </c>
      <c r="CP289" t="s">
        <v>123</v>
      </c>
      <c r="CQ289" t="s">
        <v>116</v>
      </c>
      <c r="CR289" t="s">
        <v>84</v>
      </c>
      <c r="CS289" t="s">
        <v>117</v>
      </c>
      <c r="CT289" t="s">
        <v>163</v>
      </c>
      <c r="CU289" t="s">
        <v>438</v>
      </c>
      <c r="CV289" t="s">
        <v>119</v>
      </c>
      <c r="CW289" t="s">
        <v>2969</v>
      </c>
      <c r="CX289" t="s">
        <v>166</v>
      </c>
      <c r="CY289" t="s">
        <v>167</v>
      </c>
      <c r="CZ289" t="s">
        <v>2970</v>
      </c>
      <c r="DA289">
        <v>12</v>
      </c>
      <c r="DB289" s="10">
        <v>156000</v>
      </c>
      <c r="DC289" t="s">
        <v>169</v>
      </c>
      <c r="DD289" t="s">
        <v>907</v>
      </c>
      <c r="DE289">
        <v>4</v>
      </c>
      <c r="DF289">
        <v>20</v>
      </c>
      <c r="DG289" t="s">
        <v>95</v>
      </c>
      <c r="DH289" t="s">
        <v>95</v>
      </c>
      <c r="DI289" t="s">
        <v>907</v>
      </c>
      <c r="DJ289" t="s">
        <v>907</v>
      </c>
      <c r="DK289" t="s">
        <v>907</v>
      </c>
      <c r="DL289" t="s">
        <v>907</v>
      </c>
      <c r="DM289" t="s">
        <v>125</v>
      </c>
      <c r="DN289" t="s">
        <v>2971</v>
      </c>
      <c r="DO289" t="s">
        <v>1379</v>
      </c>
      <c r="DP289">
        <v>2</v>
      </c>
      <c r="DQ289" t="s">
        <v>343</v>
      </c>
      <c r="DR289" t="s">
        <v>907</v>
      </c>
      <c r="DS289" t="s">
        <v>2972</v>
      </c>
      <c r="DT289" t="s">
        <v>1408</v>
      </c>
      <c r="DU289" t="s">
        <v>84</v>
      </c>
      <c r="DV289" t="s">
        <v>2973</v>
      </c>
      <c r="DW289" t="s">
        <v>132</v>
      </c>
      <c r="DX289" t="s">
        <v>95</v>
      </c>
      <c r="FQ289">
        <v>567707527</v>
      </c>
      <c r="FR289" t="s">
        <v>2974</v>
      </c>
      <c r="FS289" s="1">
        <v>45926.813611111109</v>
      </c>
      <c r="FV289" t="s">
        <v>134</v>
      </c>
      <c r="FW289" t="s">
        <v>135</v>
      </c>
      <c r="FX289" t="s">
        <v>136</v>
      </c>
      <c r="FZ289">
        <v>422</v>
      </c>
    </row>
    <row r="290" spans="1:182" hidden="1" x14ac:dyDescent="0.3">
      <c r="A290" s="1">
        <v>45924.469338356481</v>
      </c>
      <c r="B290" s="1">
        <v>45924.483471747677</v>
      </c>
      <c r="D290" t="s">
        <v>84</v>
      </c>
      <c r="E290" t="s">
        <v>297</v>
      </c>
      <c r="F290" t="s">
        <v>1447</v>
      </c>
      <c r="G290" t="s">
        <v>176</v>
      </c>
      <c r="H290" t="s">
        <v>4122</v>
      </c>
      <c r="I290" t="s">
        <v>1448</v>
      </c>
      <c r="J290" t="s">
        <v>1449</v>
      </c>
      <c r="K290" t="s">
        <v>90</v>
      </c>
      <c r="L290" t="s">
        <v>1450</v>
      </c>
      <c r="M290" t="s">
        <v>1451</v>
      </c>
      <c r="N290" t="s">
        <v>1452</v>
      </c>
      <c r="O290">
        <v>-15.327768300000001</v>
      </c>
      <c r="P290">
        <v>23.0399067</v>
      </c>
      <c r="Q290">
        <v>1021.3</v>
      </c>
      <c r="R290">
        <v>4.55</v>
      </c>
      <c r="S290" t="s">
        <v>84</v>
      </c>
      <c r="T290" t="s">
        <v>94</v>
      </c>
      <c r="U290">
        <v>7</v>
      </c>
      <c r="V290" t="s">
        <v>95</v>
      </c>
      <c r="W290" t="s">
        <v>907</v>
      </c>
      <c r="X290">
        <v>35</v>
      </c>
      <c r="Y290">
        <v>6</v>
      </c>
      <c r="Z290">
        <v>2</v>
      </c>
      <c r="AA290" t="s">
        <v>96</v>
      </c>
      <c r="AB290" t="s">
        <v>489</v>
      </c>
      <c r="AC290" t="s">
        <v>98</v>
      </c>
      <c r="AD290" t="s">
        <v>145</v>
      </c>
      <c r="AE290" t="s">
        <v>100</v>
      </c>
      <c r="AF290" t="s">
        <v>907</v>
      </c>
      <c r="AG290">
        <v>6000</v>
      </c>
      <c r="AH290" t="s">
        <v>101</v>
      </c>
      <c r="AI290" t="s">
        <v>907</v>
      </c>
      <c r="AJ290" s="5">
        <v>2000</v>
      </c>
      <c r="AK290" t="s">
        <v>102</v>
      </c>
      <c r="AL290" t="s">
        <v>907</v>
      </c>
      <c r="AM290" t="s">
        <v>466</v>
      </c>
      <c r="AN290" t="s">
        <v>907</v>
      </c>
      <c r="AO290" t="s">
        <v>1453</v>
      </c>
      <c r="AP290" t="s">
        <v>1454</v>
      </c>
      <c r="AQ290" t="s">
        <v>253</v>
      </c>
      <c r="AR290" t="s">
        <v>95</v>
      </c>
      <c r="AS290">
        <v>8</v>
      </c>
      <c r="AT290">
        <v>0</v>
      </c>
      <c r="AU290">
        <v>0</v>
      </c>
      <c r="AV290">
        <v>45</v>
      </c>
      <c r="AW290">
        <v>0</v>
      </c>
      <c r="AX290">
        <v>0</v>
      </c>
      <c r="AY290">
        <v>0</v>
      </c>
      <c r="AZ290" t="s">
        <v>284</v>
      </c>
      <c r="BA290" t="s">
        <v>95</v>
      </c>
      <c r="BB290" t="s">
        <v>154</v>
      </c>
      <c r="BC290" t="s">
        <v>907</v>
      </c>
      <c r="BD290" t="s">
        <v>107</v>
      </c>
      <c r="BE290" t="s">
        <v>258</v>
      </c>
      <c r="BF290" t="s">
        <v>3935</v>
      </c>
      <c r="BG290" t="s">
        <v>235</v>
      </c>
      <c r="BH290">
        <v>39</v>
      </c>
      <c r="BL290">
        <v>12</v>
      </c>
      <c r="BN290">
        <v>0</v>
      </c>
      <c r="BP290">
        <v>2</v>
      </c>
      <c r="BR290">
        <v>9</v>
      </c>
      <c r="BT290">
        <v>2</v>
      </c>
      <c r="BV290">
        <v>1</v>
      </c>
      <c r="BX290">
        <v>9</v>
      </c>
      <c r="BY290" t="s">
        <v>189</v>
      </c>
      <c r="BZ290">
        <v>3</v>
      </c>
      <c r="CA290">
        <v>8</v>
      </c>
      <c r="CB290" t="s">
        <v>84</v>
      </c>
      <c r="CC290" t="s">
        <v>84</v>
      </c>
      <c r="CD290" t="s">
        <v>1455</v>
      </c>
      <c r="CE290" t="s">
        <v>1998</v>
      </c>
      <c r="CF290" t="s">
        <v>1456</v>
      </c>
      <c r="CG290" t="s">
        <v>907</v>
      </c>
      <c r="CH290">
        <v>22</v>
      </c>
      <c r="CI290" t="s">
        <v>84</v>
      </c>
      <c r="CJ290" t="s">
        <v>262</v>
      </c>
      <c r="CK290" t="s">
        <v>851</v>
      </c>
      <c r="CL290" t="s">
        <v>4262</v>
      </c>
      <c r="CM290" t="s">
        <v>193</v>
      </c>
      <c r="CN290" t="s">
        <v>381</v>
      </c>
      <c r="CO290" t="s">
        <v>95</v>
      </c>
      <c r="CP290" t="s">
        <v>907</v>
      </c>
      <c r="CQ290" t="s">
        <v>116</v>
      </c>
      <c r="CR290" t="s">
        <v>95</v>
      </c>
      <c r="CS290" t="s">
        <v>907</v>
      </c>
      <c r="CT290" t="s">
        <v>907</v>
      </c>
      <c r="CU290" t="s">
        <v>907</v>
      </c>
      <c r="CV290" t="s">
        <v>119</v>
      </c>
      <c r="CW290" t="s">
        <v>1457</v>
      </c>
      <c r="CX290" t="s">
        <v>166</v>
      </c>
      <c r="CY290" t="s">
        <v>167</v>
      </c>
      <c r="CZ290" t="s">
        <v>1377</v>
      </c>
      <c r="DA290">
        <v>4</v>
      </c>
      <c r="DB290" s="10">
        <v>14000</v>
      </c>
      <c r="DC290" t="s">
        <v>123</v>
      </c>
      <c r="DD290" t="s">
        <v>1458</v>
      </c>
      <c r="DE290">
        <v>1</v>
      </c>
      <c r="DF290">
        <v>55</v>
      </c>
      <c r="DG290" t="s">
        <v>95</v>
      </c>
      <c r="DH290" t="s">
        <v>95</v>
      </c>
      <c r="DI290" t="s">
        <v>907</v>
      </c>
      <c r="DJ290" t="s">
        <v>907</v>
      </c>
      <c r="DK290" t="s">
        <v>907</v>
      </c>
      <c r="DL290" t="s">
        <v>907</v>
      </c>
      <c r="DM290" t="s">
        <v>291</v>
      </c>
      <c r="DN290" t="s">
        <v>907</v>
      </c>
      <c r="DO290" t="s">
        <v>907</v>
      </c>
      <c r="DP290">
        <v>5</v>
      </c>
      <c r="DQ290" t="s">
        <v>441</v>
      </c>
      <c r="DR290" t="s">
        <v>907</v>
      </c>
      <c r="DS290" t="s">
        <v>172</v>
      </c>
      <c r="DT290" t="s">
        <v>1459</v>
      </c>
      <c r="DU290" t="s">
        <v>95</v>
      </c>
      <c r="DV290" t="s">
        <v>907</v>
      </c>
      <c r="DW290" t="s">
        <v>907</v>
      </c>
      <c r="DX290" t="s">
        <v>907</v>
      </c>
      <c r="FQ290">
        <v>566102247</v>
      </c>
      <c r="FR290" t="s">
        <v>1460</v>
      </c>
      <c r="FS290" s="1">
        <v>45924.854085648149</v>
      </c>
      <c r="FV290" t="s">
        <v>134</v>
      </c>
      <c r="FW290" t="s">
        <v>135</v>
      </c>
      <c r="FX290" t="s">
        <v>136</v>
      </c>
      <c r="FZ290">
        <v>243</v>
      </c>
    </row>
    <row r="291" spans="1:182" x14ac:dyDescent="0.3">
      <c r="A291" s="1">
        <v>45924.569507905093</v>
      </c>
      <c r="B291" s="1">
        <v>45924.601690914351</v>
      </c>
      <c r="D291" t="s">
        <v>84</v>
      </c>
      <c r="E291" t="s">
        <v>297</v>
      </c>
      <c r="F291" t="s">
        <v>1476</v>
      </c>
      <c r="G291" t="s">
        <v>176</v>
      </c>
      <c r="H291" t="s">
        <v>4121</v>
      </c>
      <c r="I291" t="s">
        <v>1477</v>
      </c>
      <c r="J291" t="s">
        <v>1478</v>
      </c>
      <c r="K291" t="s">
        <v>90</v>
      </c>
      <c r="L291" t="s">
        <v>1479</v>
      </c>
      <c r="M291" t="s">
        <v>349</v>
      </c>
      <c r="N291" t="s">
        <v>1480</v>
      </c>
      <c r="O291">
        <v>-15.3386361</v>
      </c>
      <c r="P291">
        <v>23.033425300000001</v>
      </c>
      <c r="Q291">
        <v>1016.4</v>
      </c>
      <c r="R291">
        <v>4.633</v>
      </c>
      <c r="S291" t="s">
        <v>84</v>
      </c>
      <c r="T291" t="s">
        <v>94</v>
      </c>
      <c r="U291">
        <v>4</v>
      </c>
      <c r="V291" t="s">
        <v>212</v>
      </c>
      <c r="W291" t="s">
        <v>1481</v>
      </c>
      <c r="X291">
        <v>5</v>
      </c>
      <c r="Y291">
        <v>2.5</v>
      </c>
      <c r="Z291">
        <v>2.5</v>
      </c>
      <c r="AA291" t="s">
        <v>96</v>
      </c>
      <c r="AB291" t="s">
        <v>351</v>
      </c>
      <c r="AC291" t="s">
        <v>98</v>
      </c>
      <c r="AD291" t="s">
        <v>520</v>
      </c>
      <c r="AE291" t="s">
        <v>101</v>
      </c>
      <c r="AF291" t="s">
        <v>907</v>
      </c>
      <c r="AG291">
        <v>6000</v>
      </c>
      <c r="AH291" t="s">
        <v>431</v>
      </c>
      <c r="AI291" t="s">
        <v>907</v>
      </c>
      <c r="AJ291" s="5">
        <v>200</v>
      </c>
      <c r="AK291" t="s">
        <v>102</v>
      </c>
      <c r="AL291" t="s">
        <v>907</v>
      </c>
      <c r="AM291" t="s">
        <v>4130</v>
      </c>
      <c r="AN291" t="s">
        <v>907</v>
      </c>
      <c r="AQ291" t="s">
        <v>1341</v>
      </c>
      <c r="AR291" t="s">
        <v>95</v>
      </c>
      <c r="AS291">
        <v>0</v>
      </c>
      <c r="AT291">
        <v>0</v>
      </c>
      <c r="AU291">
        <v>0</v>
      </c>
      <c r="AV291">
        <v>0</v>
      </c>
      <c r="AW291">
        <v>0</v>
      </c>
      <c r="AX291">
        <v>0</v>
      </c>
      <c r="AY291">
        <v>0</v>
      </c>
      <c r="AZ291" t="s">
        <v>284</v>
      </c>
      <c r="BA291" t="s">
        <v>95</v>
      </c>
      <c r="BB291" t="s">
        <v>154</v>
      </c>
      <c r="BC291" t="s">
        <v>907</v>
      </c>
      <c r="BD291" t="s">
        <v>107</v>
      </c>
      <c r="BE291" t="s">
        <v>258</v>
      </c>
      <c r="BF291" t="s">
        <v>3937</v>
      </c>
      <c r="BG291" t="s">
        <v>790</v>
      </c>
      <c r="BH291">
        <v>1</v>
      </c>
      <c r="BL291">
        <v>0</v>
      </c>
      <c r="BN291">
        <v>0</v>
      </c>
      <c r="BP291">
        <v>0</v>
      </c>
      <c r="BR291">
        <v>0</v>
      </c>
      <c r="BT291">
        <v>1</v>
      </c>
      <c r="BV291">
        <v>0</v>
      </c>
      <c r="BX291">
        <v>0</v>
      </c>
      <c r="BY291" t="s">
        <v>110</v>
      </c>
      <c r="BZ291" t="s">
        <v>907</v>
      </c>
      <c r="CA291" t="s">
        <v>907</v>
      </c>
      <c r="CB291" t="s">
        <v>84</v>
      </c>
      <c r="CC291" t="s">
        <v>84</v>
      </c>
      <c r="CD291" t="s">
        <v>1482</v>
      </c>
      <c r="CE291" t="s">
        <v>4252</v>
      </c>
      <c r="CF291" t="s">
        <v>1483</v>
      </c>
      <c r="CG291" t="s">
        <v>907</v>
      </c>
      <c r="CH291">
        <v>23</v>
      </c>
      <c r="CI291" t="s">
        <v>84</v>
      </c>
      <c r="CJ291" t="s">
        <v>160</v>
      </c>
      <c r="CK291" t="s">
        <v>113</v>
      </c>
      <c r="CL291" t="s">
        <v>1484</v>
      </c>
      <c r="CM291" t="s">
        <v>547</v>
      </c>
      <c r="CN291" t="s">
        <v>3874</v>
      </c>
      <c r="CO291" t="s">
        <v>95</v>
      </c>
      <c r="CP291" t="s">
        <v>907</v>
      </c>
      <c r="CQ291" t="s">
        <v>116</v>
      </c>
      <c r="CR291" t="s">
        <v>84</v>
      </c>
      <c r="CS291" t="s">
        <v>117</v>
      </c>
      <c r="CT291" t="s">
        <v>264</v>
      </c>
      <c r="CU291" t="s">
        <v>1485</v>
      </c>
      <c r="CV291" t="s">
        <v>812</v>
      </c>
      <c r="CW291" t="s">
        <v>907</v>
      </c>
      <c r="CX291" t="s">
        <v>907</v>
      </c>
      <c r="CY291" t="s">
        <v>907</v>
      </c>
      <c r="CZ291" t="s">
        <v>907</v>
      </c>
      <c r="DA291" t="s">
        <v>907</v>
      </c>
      <c r="DB291" t="s">
        <v>907</v>
      </c>
      <c r="DC291" t="s">
        <v>907</v>
      </c>
      <c r="DD291" t="s">
        <v>907</v>
      </c>
      <c r="DE291" t="s">
        <v>907</v>
      </c>
      <c r="DF291" t="s">
        <v>907</v>
      </c>
      <c r="DG291" t="s">
        <v>95</v>
      </c>
      <c r="DH291" t="s">
        <v>95</v>
      </c>
      <c r="DI291" t="s">
        <v>907</v>
      </c>
      <c r="DJ291" t="s">
        <v>907</v>
      </c>
      <c r="DK291" t="s">
        <v>907</v>
      </c>
      <c r="DL291" t="s">
        <v>907</v>
      </c>
      <c r="DM291" t="s">
        <v>291</v>
      </c>
      <c r="DN291" t="s">
        <v>907</v>
      </c>
      <c r="DO291" t="s">
        <v>907</v>
      </c>
      <c r="DP291">
        <v>6</v>
      </c>
      <c r="DQ291" t="s">
        <v>441</v>
      </c>
      <c r="DR291" t="s">
        <v>907</v>
      </c>
      <c r="DS291" t="s">
        <v>1486</v>
      </c>
      <c r="DT291" t="s">
        <v>1459</v>
      </c>
      <c r="DU291" t="s">
        <v>95</v>
      </c>
      <c r="DV291" t="s">
        <v>907</v>
      </c>
      <c r="DW291" t="s">
        <v>907</v>
      </c>
      <c r="DX291" t="s">
        <v>907</v>
      </c>
      <c r="FQ291">
        <v>566102259</v>
      </c>
      <c r="FR291" t="s">
        <v>1487</v>
      </c>
      <c r="FS291" s="1">
        <v>45924.854108796288</v>
      </c>
      <c r="FV291" t="s">
        <v>134</v>
      </c>
      <c r="FW291" t="s">
        <v>135</v>
      </c>
      <c r="FX291" t="s">
        <v>136</v>
      </c>
      <c r="FZ291">
        <v>245</v>
      </c>
    </row>
    <row r="292" spans="1:182" x14ac:dyDescent="0.3">
      <c r="A292" s="1">
        <v>45930.386323541657</v>
      </c>
      <c r="B292" s="1">
        <v>45930.421150925933</v>
      </c>
      <c r="D292" t="s">
        <v>84</v>
      </c>
      <c r="E292" t="s">
        <v>1226</v>
      </c>
      <c r="F292" t="s">
        <v>3708</v>
      </c>
      <c r="G292" t="s">
        <v>176</v>
      </c>
      <c r="H292" t="s">
        <v>4122</v>
      </c>
      <c r="I292" t="s">
        <v>3709</v>
      </c>
      <c r="J292" t="s">
        <v>3710</v>
      </c>
      <c r="K292" t="s">
        <v>90</v>
      </c>
      <c r="L292" t="s">
        <v>3711</v>
      </c>
      <c r="M292" t="s">
        <v>3712</v>
      </c>
      <c r="N292" t="s">
        <v>3713</v>
      </c>
      <c r="O292">
        <v>-15.194141699999999</v>
      </c>
      <c r="P292">
        <v>22.914224999999998</v>
      </c>
      <c r="Q292">
        <v>1002.9</v>
      </c>
      <c r="R292">
        <v>4.6660000000000004</v>
      </c>
      <c r="S292" t="s">
        <v>84</v>
      </c>
      <c r="T292" t="s">
        <v>94</v>
      </c>
      <c r="U292">
        <v>5</v>
      </c>
      <c r="V292" t="s">
        <v>95</v>
      </c>
      <c r="W292" t="s">
        <v>907</v>
      </c>
      <c r="X292">
        <v>30</v>
      </c>
      <c r="Y292">
        <v>80</v>
      </c>
      <c r="Z292">
        <v>1</v>
      </c>
      <c r="AA292" t="s">
        <v>251</v>
      </c>
      <c r="AB292" t="s">
        <v>97</v>
      </c>
      <c r="AC292" t="s">
        <v>98</v>
      </c>
      <c r="AD292" t="s">
        <v>252</v>
      </c>
      <c r="AE292" t="s">
        <v>304</v>
      </c>
      <c r="AF292" t="s">
        <v>907</v>
      </c>
      <c r="AG292">
        <v>2000</v>
      </c>
      <c r="AH292" t="s">
        <v>100</v>
      </c>
      <c r="AI292" t="s">
        <v>907</v>
      </c>
      <c r="AJ292" s="5">
        <v>1000</v>
      </c>
      <c r="AK292" t="s">
        <v>102</v>
      </c>
      <c r="AL292" t="s">
        <v>907</v>
      </c>
      <c r="AM292" t="s">
        <v>2818</v>
      </c>
      <c r="AN292" t="s">
        <v>907</v>
      </c>
      <c r="AO292" t="s">
        <v>3017</v>
      </c>
      <c r="AP292" t="s">
        <v>3714</v>
      </c>
      <c r="AQ292" t="s">
        <v>477</v>
      </c>
      <c r="AR292" t="s">
        <v>84</v>
      </c>
      <c r="AS292">
        <v>0</v>
      </c>
      <c r="AT292">
        <v>0</v>
      </c>
      <c r="AU292">
        <v>0</v>
      </c>
      <c r="AV292">
        <v>0</v>
      </c>
      <c r="AW292">
        <v>0</v>
      </c>
      <c r="AX292">
        <v>0</v>
      </c>
      <c r="AY292">
        <v>0</v>
      </c>
      <c r="AZ292" t="s">
        <v>284</v>
      </c>
      <c r="BA292" t="s">
        <v>452</v>
      </c>
      <c r="BB292" t="s">
        <v>154</v>
      </c>
      <c r="BC292" t="s">
        <v>907</v>
      </c>
      <c r="BD292" t="s">
        <v>107</v>
      </c>
      <c r="BE292" t="s">
        <v>258</v>
      </c>
      <c r="BF292" t="s">
        <v>4108</v>
      </c>
      <c r="BG292" t="s">
        <v>156</v>
      </c>
      <c r="BH292">
        <v>67</v>
      </c>
      <c r="BL292">
        <v>20</v>
      </c>
      <c r="BN292">
        <v>3</v>
      </c>
      <c r="BP292">
        <v>10</v>
      </c>
      <c r="BR292">
        <v>9</v>
      </c>
      <c r="BT292">
        <v>4</v>
      </c>
      <c r="BV292">
        <v>4</v>
      </c>
      <c r="BX292">
        <v>17</v>
      </c>
      <c r="BY292" t="s">
        <v>110</v>
      </c>
      <c r="BZ292" t="s">
        <v>907</v>
      </c>
      <c r="CA292" t="s">
        <v>907</v>
      </c>
      <c r="CB292" t="s">
        <v>84</v>
      </c>
      <c r="CC292" t="s">
        <v>84</v>
      </c>
      <c r="CD292" t="s">
        <v>334</v>
      </c>
      <c r="CE292" t="s">
        <v>4250</v>
      </c>
      <c r="CF292" t="s">
        <v>4109</v>
      </c>
      <c r="CG292" t="s">
        <v>907</v>
      </c>
      <c r="CH292">
        <v>23</v>
      </c>
      <c r="CI292" t="s">
        <v>84</v>
      </c>
      <c r="CJ292" t="s">
        <v>262</v>
      </c>
      <c r="CK292" t="s">
        <v>289</v>
      </c>
      <c r="CL292" t="s">
        <v>3715</v>
      </c>
      <c r="CM292" t="s">
        <v>193</v>
      </c>
      <c r="CN292" t="s">
        <v>421</v>
      </c>
      <c r="CO292" t="s">
        <v>95</v>
      </c>
      <c r="CP292" t="s">
        <v>907</v>
      </c>
      <c r="CQ292" t="s">
        <v>116</v>
      </c>
      <c r="CR292" t="s">
        <v>95</v>
      </c>
      <c r="CS292" t="s">
        <v>907</v>
      </c>
      <c r="CT292" t="s">
        <v>907</v>
      </c>
      <c r="CU292" t="s">
        <v>907</v>
      </c>
      <c r="CV292" t="s">
        <v>812</v>
      </c>
      <c r="CW292" t="s">
        <v>715</v>
      </c>
      <c r="CX292" t="s">
        <v>166</v>
      </c>
      <c r="CY292" t="s">
        <v>167</v>
      </c>
      <c r="CZ292" t="s">
        <v>3716</v>
      </c>
      <c r="DA292">
        <v>1</v>
      </c>
      <c r="DB292" s="10">
        <v>9000</v>
      </c>
      <c r="DC292" t="s">
        <v>169</v>
      </c>
      <c r="DD292" t="s">
        <v>907</v>
      </c>
      <c r="DE292">
        <v>3</v>
      </c>
      <c r="DF292">
        <v>25</v>
      </c>
      <c r="DG292" t="s">
        <v>95</v>
      </c>
      <c r="DH292" t="s">
        <v>84</v>
      </c>
      <c r="DI292" t="s">
        <v>197</v>
      </c>
      <c r="DJ292" t="s">
        <v>648</v>
      </c>
      <c r="DK292" t="s">
        <v>907</v>
      </c>
      <c r="DL292" t="s">
        <v>3717</v>
      </c>
      <c r="DM292" t="s">
        <v>291</v>
      </c>
      <c r="DN292" t="s">
        <v>907</v>
      </c>
      <c r="DO292" t="s">
        <v>907</v>
      </c>
      <c r="DP292">
        <v>300</v>
      </c>
      <c r="DQ292" t="s">
        <v>441</v>
      </c>
      <c r="DR292" t="s">
        <v>907</v>
      </c>
      <c r="DS292" t="s">
        <v>917</v>
      </c>
      <c r="DT292" t="s">
        <v>2205</v>
      </c>
      <c r="DU292" t="s">
        <v>84</v>
      </c>
      <c r="DV292" t="s">
        <v>864</v>
      </c>
      <c r="DW292" t="s">
        <v>2686</v>
      </c>
      <c r="DX292" t="s">
        <v>95</v>
      </c>
      <c r="FQ292">
        <v>570585119</v>
      </c>
      <c r="FR292" t="s">
        <v>3718</v>
      </c>
      <c r="FS292" s="1">
        <v>45931.275543981479</v>
      </c>
      <c r="FV292" t="s">
        <v>134</v>
      </c>
      <c r="FW292" t="s">
        <v>135</v>
      </c>
      <c r="FX292" t="s">
        <v>136</v>
      </c>
      <c r="FZ292">
        <v>634</v>
      </c>
    </row>
    <row r="293" spans="1:182" x14ac:dyDescent="0.3">
      <c r="A293" s="1">
        <v>45925.416270995367</v>
      </c>
      <c r="B293" s="1">
        <v>45925.847735416668</v>
      </c>
      <c r="D293" t="s">
        <v>84</v>
      </c>
      <c r="E293" t="s">
        <v>85</v>
      </c>
      <c r="F293" t="s">
        <v>2377</v>
      </c>
      <c r="G293" t="s">
        <v>176</v>
      </c>
      <c r="H293" t="s">
        <v>4122</v>
      </c>
      <c r="I293" t="s">
        <v>2378</v>
      </c>
      <c r="J293" t="s">
        <v>2379</v>
      </c>
      <c r="K293" t="s">
        <v>90</v>
      </c>
      <c r="L293" t="s">
        <v>2380</v>
      </c>
      <c r="M293" t="s">
        <v>141</v>
      </c>
      <c r="N293" t="s">
        <v>2381</v>
      </c>
      <c r="O293">
        <v>-15.385923399999999</v>
      </c>
      <c r="P293">
        <v>23.184913099999999</v>
      </c>
      <c r="Q293">
        <v>1033.50732421875</v>
      </c>
      <c r="R293">
        <v>3.798</v>
      </c>
      <c r="S293" t="s">
        <v>84</v>
      </c>
      <c r="T293" t="s">
        <v>182</v>
      </c>
      <c r="U293">
        <v>7</v>
      </c>
      <c r="V293" t="s">
        <v>724</v>
      </c>
      <c r="W293" t="s">
        <v>2382</v>
      </c>
      <c r="X293">
        <v>35</v>
      </c>
      <c r="Y293">
        <v>50</v>
      </c>
      <c r="Z293">
        <v>4</v>
      </c>
      <c r="AA293" t="s">
        <v>96</v>
      </c>
      <c r="AB293" t="s">
        <v>97</v>
      </c>
      <c r="AC293" t="s">
        <v>98</v>
      </c>
      <c r="AD293" t="s">
        <v>99</v>
      </c>
      <c r="AE293" t="s">
        <v>100</v>
      </c>
      <c r="AF293" t="s">
        <v>907</v>
      </c>
      <c r="AG293">
        <v>0</v>
      </c>
      <c r="AH293" t="s">
        <v>100</v>
      </c>
      <c r="AI293" t="s">
        <v>907</v>
      </c>
      <c r="AJ293" s="5">
        <v>0</v>
      </c>
      <c r="AK293" t="s">
        <v>102</v>
      </c>
      <c r="AL293" t="s">
        <v>907</v>
      </c>
      <c r="AM293" t="s">
        <v>543</v>
      </c>
      <c r="AN293" t="s">
        <v>907</v>
      </c>
      <c r="AO293">
        <v>0</v>
      </c>
      <c r="AP293" t="s">
        <v>2383</v>
      </c>
      <c r="AQ293" t="s">
        <v>543</v>
      </c>
      <c r="AR293" t="s">
        <v>95</v>
      </c>
      <c r="AS293">
        <v>0</v>
      </c>
      <c r="AT293">
        <v>0</v>
      </c>
      <c r="AU293">
        <v>0</v>
      </c>
      <c r="AV293">
        <v>11</v>
      </c>
      <c r="AW293">
        <v>36</v>
      </c>
      <c r="AX293">
        <v>0</v>
      </c>
      <c r="AY293">
        <v>0</v>
      </c>
      <c r="AZ293" t="s">
        <v>284</v>
      </c>
      <c r="BA293" t="s">
        <v>95</v>
      </c>
      <c r="BB293" t="s">
        <v>154</v>
      </c>
      <c r="BC293" t="s">
        <v>907</v>
      </c>
      <c r="BD293" t="s">
        <v>107</v>
      </c>
      <c r="BE293" t="s">
        <v>108</v>
      </c>
      <c r="BF293" t="s">
        <v>309</v>
      </c>
      <c r="BG293" t="s">
        <v>235</v>
      </c>
      <c r="BH293">
        <v>141</v>
      </c>
      <c r="BY293" t="s">
        <v>110</v>
      </c>
      <c r="BZ293" t="s">
        <v>907</v>
      </c>
      <c r="CA293" t="s">
        <v>907</v>
      </c>
      <c r="CB293" t="s">
        <v>84</v>
      </c>
      <c r="CC293" t="s">
        <v>84</v>
      </c>
      <c r="CD293" t="s">
        <v>545</v>
      </c>
      <c r="CE293" t="s">
        <v>4250</v>
      </c>
      <c r="CF293" t="s">
        <v>2384</v>
      </c>
      <c r="CG293" t="s">
        <v>907</v>
      </c>
      <c r="CH293">
        <v>25</v>
      </c>
      <c r="CI293" t="s">
        <v>95</v>
      </c>
      <c r="CJ293" t="s">
        <v>907</v>
      </c>
      <c r="CK293" t="s">
        <v>289</v>
      </c>
      <c r="CL293" t="s">
        <v>2385</v>
      </c>
      <c r="CM293" t="s">
        <v>115</v>
      </c>
      <c r="CN293" t="s">
        <v>3883</v>
      </c>
      <c r="CO293" t="s">
        <v>95</v>
      </c>
      <c r="CP293" t="s">
        <v>907</v>
      </c>
      <c r="CQ293" t="s">
        <v>116</v>
      </c>
      <c r="CR293" t="s">
        <v>84</v>
      </c>
      <c r="CS293" t="s">
        <v>117</v>
      </c>
      <c r="CT293" t="s">
        <v>163</v>
      </c>
      <c r="CU293" t="s">
        <v>3869</v>
      </c>
      <c r="CV293" t="s">
        <v>119</v>
      </c>
      <c r="CW293" t="s">
        <v>168</v>
      </c>
      <c r="CX293" t="s">
        <v>166</v>
      </c>
      <c r="CY293" t="s">
        <v>549</v>
      </c>
      <c r="CZ293" t="s">
        <v>168</v>
      </c>
      <c r="DA293">
        <v>10</v>
      </c>
      <c r="DB293" s="10">
        <v>62000</v>
      </c>
      <c r="DC293" t="s">
        <v>169</v>
      </c>
      <c r="DD293" t="s">
        <v>907</v>
      </c>
      <c r="DE293">
        <v>3</v>
      </c>
      <c r="DF293">
        <v>16</v>
      </c>
      <c r="DG293" t="s">
        <v>84</v>
      </c>
      <c r="DH293" t="s">
        <v>95</v>
      </c>
      <c r="DI293" t="s">
        <v>907</v>
      </c>
      <c r="DJ293" t="s">
        <v>907</v>
      </c>
      <c r="DK293" t="s">
        <v>907</v>
      </c>
      <c r="DL293" t="s">
        <v>907</v>
      </c>
      <c r="DM293" t="s">
        <v>125</v>
      </c>
      <c r="DN293" t="s">
        <v>2386</v>
      </c>
      <c r="DO293" t="s">
        <v>324</v>
      </c>
      <c r="DP293">
        <v>7</v>
      </c>
      <c r="DQ293" t="s">
        <v>128</v>
      </c>
      <c r="DR293" t="s">
        <v>907</v>
      </c>
      <c r="DS293" t="s">
        <v>716</v>
      </c>
      <c r="DT293" t="s">
        <v>2387</v>
      </c>
      <c r="DU293" t="s">
        <v>95</v>
      </c>
      <c r="DV293" t="s">
        <v>907</v>
      </c>
      <c r="DW293" t="s">
        <v>907</v>
      </c>
      <c r="DX293" t="s">
        <v>907</v>
      </c>
      <c r="FQ293">
        <v>566893249</v>
      </c>
      <c r="FR293" t="s">
        <v>2388</v>
      </c>
      <c r="FS293" s="1">
        <v>45925.765057870369</v>
      </c>
      <c r="FV293" t="s">
        <v>134</v>
      </c>
      <c r="FW293" t="s">
        <v>135</v>
      </c>
      <c r="FX293" t="s">
        <v>136</v>
      </c>
      <c r="FZ293">
        <v>331</v>
      </c>
    </row>
    <row r="294" spans="1:182" ht="43.2" x14ac:dyDescent="0.3">
      <c r="A294" s="1">
        <v>45925.405043217594</v>
      </c>
      <c r="B294" s="1">
        <v>45925.415686018518</v>
      </c>
      <c r="D294" t="s">
        <v>84</v>
      </c>
      <c r="E294" t="s">
        <v>535</v>
      </c>
      <c r="F294" t="s">
        <v>2334</v>
      </c>
      <c r="G294" t="s">
        <v>176</v>
      </c>
      <c r="H294" t="s">
        <v>4122</v>
      </c>
      <c r="I294" t="s">
        <v>2335</v>
      </c>
      <c r="J294" t="s">
        <v>2336</v>
      </c>
      <c r="K294" t="s">
        <v>90</v>
      </c>
      <c r="L294" t="s">
        <v>2337</v>
      </c>
      <c r="M294" t="s">
        <v>540</v>
      </c>
      <c r="N294" t="s">
        <v>2338</v>
      </c>
      <c r="O294">
        <v>-15.385901</v>
      </c>
      <c r="P294">
        <v>23.184862500000001</v>
      </c>
      <c r="Q294">
        <v>1032.361083984375</v>
      </c>
      <c r="R294">
        <v>4.0529999999999999</v>
      </c>
      <c r="S294" t="s">
        <v>84</v>
      </c>
      <c r="T294" t="s">
        <v>182</v>
      </c>
      <c r="U294">
        <v>9</v>
      </c>
      <c r="V294" t="s">
        <v>724</v>
      </c>
      <c r="W294" t="s">
        <v>2339</v>
      </c>
      <c r="X294">
        <v>30</v>
      </c>
      <c r="Y294">
        <v>70</v>
      </c>
      <c r="Z294">
        <v>6</v>
      </c>
      <c r="AA294" t="s">
        <v>96</v>
      </c>
      <c r="AB294" t="s">
        <v>97</v>
      </c>
      <c r="AC294" t="s">
        <v>98</v>
      </c>
      <c r="AD294" t="s">
        <v>99</v>
      </c>
      <c r="AE294" t="s">
        <v>100</v>
      </c>
      <c r="AF294" t="s">
        <v>907</v>
      </c>
      <c r="AG294">
        <v>0</v>
      </c>
      <c r="AH294" t="s">
        <v>147</v>
      </c>
      <c r="AI294" t="s">
        <v>907</v>
      </c>
      <c r="AJ294" s="5">
        <v>0</v>
      </c>
      <c r="AK294" t="s">
        <v>102</v>
      </c>
      <c r="AL294" t="s">
        <v>907</v>
      </c>
      <c r="AM294" t="s">
        <v>543</v>
      </c>
      <c r="AN294" t="s">
        <v>907</v>
      </c>
      <c r="AO294" t="s">
        <v>2340</v>
      </c>
      <c r="AP294" s="2" t="s">
        <v>4131</v>
      </c>
      <c r="AQ294" t="s">
        <v>185</v>
      </c>
      <c r="AR294" t="s">
        <v>84</v>
      </c>
      <c r="AS294">
        <v>12</v>
      </c>
      <c r="AT294">
        <v>60</v>
      </c>
      <c r="AU294">
        <v>0</v>
      </c>
      <c r="AV294">
        <v>0</v>
      </c>
      <c r="AW294">
        <v>120</v>
      </c>
      <c r="AX294">
        <v>0</v>
      </c>
      <c r="AY294">
        <v>0</v>
      </c>
      <c r="AZ294" t="s">
        <v>1003</v>
      </c>
      <c r="BA294" t="s">
        <v>95</v>
      </c>
      <c r="BB294" t="s">
        <v>154</v>
      </c>
      <c r="BC294" t="s">
        <v>907</v>
      </c>
      <c r="BD294" t="s">
        <v>107</v>
      </c>
      <c r="BE294" t="s">
        <v>108</v>
      </c>
      <c r="BF294" t="s">
        <v>309</v>
      </c>
      <c r="BG294" t="s">
        <v>235</v>
      </c>
      <c r="BH294">
        <v>60</v>
      </c>
      <c r="BY294" t="s">
        <v>110</v>
      </c>
      <c r="BZ294" t="s">
        <v>907</v>
      </c>
      <c r="CA294" t="s">
        <v>907</v>
      </c>
      <c r="CB294" t="s">
        <v>84</v>
      </c>
      <c r="CC294" t="s">
        <v>84</v>
      </c>
      <c r="CD294" t="s">
        <v>545</v>
      </c>
      <c r="CE294" t="s">
        <v>4250</v>
      </c>
      <c r="CF294" t="s">
        <v>2341</v>
      </c>
      <c r="CG294" t="s">
        <v>907</v>
      </c>
      <c r="CH294">
        <v>26</v>
      </c>
      <c r="CI294" t="s">
        <v>95</v>
      </c>
      <c r="CJ294" t="s">
        <v>907</v>
      </c>
      <c r="CK294" t="s">
        <v>289</v>
      </c>
      <c r="CL294" t="s">
        <v>2342</v>
      </c>
      <c r="CM294" t="s">
        <v>193</v>
      </c>
      <c r="CN294" t="s">
        <v>3883</v>
      </c>
      <c r="CO294" t="s">
        <v>95</v>
      </c>
      <c r="CP294" t="s">
        <v>907</v>
      </c>
      <c r="CQ294" t="s">
        <v>116</v>
      </c>
      <c r="CR294" t="s">
        <v>84</v>
      </c>
      <c r="CS294" t="s">
        <v>117</v>
      </c>
      <c r="CT294" t="s">
        <v>163</v>
      </c>
      <c r="CU294" t="s">
        <v>3869</v>
      </c>
      <c r="CV294" t="s">
        <v>119</v>
      </c>
      <c r="CW294" t="s">
        <v>559</v>
      </c>
      <c r="CX294" t="s">
        <v>166</v>
      </c>
      <c r="CY294" t="s">
        <v>549</v>
      </c>
      <c r="CZ294" t="s">
        <v>559</v>
      </c>
      <c r="DA294">
        <v>8</v>
      </c>
      <c r="DB294" s="10">
        <v>12000</v>
      </c>
      <c r="DC294" t="s">
        <v>169</v>
      </c>
      <c r="DD294" t="s">
        <v>907</v>
      </c>
      <c r="DE294">
        <v>2</v>
      </c>
      <c r="DF294">
        <v>16</v>
      </c>
      <c r="DG294" t="s">
        <v>84</v>
      </c>
      <c r="DH294" t="s">
        <v>95</v>
      </c>
      <c r="DI294" t="s">
        <v>907</v>
      </c>
      <c r="DJ294" t="s">
        <v>907</v>
      </c>
      <c r="DK294" t="s">
        <v>907</v>
      </c>
      <c r="DL294" t="s">
        <v>907</v>
      </c>
      <c r="DM294" t="s">
        <v>125</v>
      </c>
      <c r="DN294" t="s">
        <v>170</v>
      </c>
      <c r="DO294" t="s">
        <v>171</v>
      </c>
      <c r="DP294">
        <v>6</v>
      </c>
      <c r="DQ294" t="s">
        <v>128</v>
      </c>
      <c r="DR294" t="s">
        <v>907</v>
      </c>
      <c r="DS294" t="s">
        <v>716</v>
      </c>
      <c r="DT294" t="s">
        <v>2343</v>
      </c>
      <c r="DU294" t="s">
        <v>84</v>
      </c>
      <c r="DV294" t="s">
        <v>225</v>
      </c>
      <c r="DW294" t="s">
        <v>533</v>
      </c>
      <c r="DX294" t="s">
        <v>95</v>
      </c>
      <c r="FQ294">
        <v>566893213</v>
      </c>
      <c r="FR294" t="s">
        <v>2344</v>
      </c>
      <c r="FS294" s="1">
        <v>45925.765011574083</v>
      </c>
      <c r="FV294" t="s">
        <v>134</v>
      </c>
      <c r="FW294" t="s">
        <v>135</v>
      </c>
      <c r="FX294" t="s">
        <v>136</v>
      </c>
      <c r="FZ294">
        <v>327</v>
      </c>
    </row>
    <row r="295" spans="1:182" x14ac:dyDescent="0.3">
      <c r="A295" s="1">
        <v>45930.386507905103</v>
      </c>
      <c r="B295" s="1">
        <v>45930.421136365738</v>
      </c>
      <c r="D295" t="s">
        <v>84</v>
      </c>
      <c r="E295" t="s">
        <v>1397</v>
      </c>
      <c r="F295" t="s">
        <v>3742</v>
      </c>
      <c r="G295" t="s">
        <v>176</v>
      </c>
      <c r="H295" t="s">
        <v>4122</v>
      </c>
      <c r="I295" t="s">
        <v>3743</v>
      </c>
      <c r="J295" t="s">
        <v>3744</v>
      </c>
      <c r="K295" t="s">
        <v>90</v>
      </c>
      <c r="L295" t="s">
        <v>3737</v>
      </c>
      <c r="M295" t="s">
        <v>3712</v>
      </c>
      <c r="N295" t="s">
        <v>3745</v>
      </c>
      <c r="O295">
        <v>-15.194087400000001</v>
      </c>
      <c r="P295">
        <v>22.914089400000002</v>
      </c>
      <c r="Q295">
        <v>1030.2294921875</v>
      </c>
      <c r="R295">
        <v>3.79</v>
      </c>
      <c r="S295" t="s">
        <v>84</v>
      </c>
      <c r="T295" t="s">
        <v>94</v>
      </c>
      <c r="U295">
        <v>12</v>
      </c>
      <c r="V295" t="s">
        <v>212</v>
      </c>
      <c r="W295" t="s">
        <v>3746</v>
      </c>
      <c r="X295">
        <v>10</v>
      </c>
      <c r="Y295">
        <v>80</v>
      </c>
      <c r="Z295">
        <v>1</v>
      </c>
      <c r="AA295" t="s">
        <v>251</v>
      </c>
      <c r="AB295" t="s">
        <v>97</v>
      </c>
      <c r="AC295" t="s">
        <v>98</v>
      </c>
      <c r="AD295" t="s">
        <v>252</v>
      </c>
      <c r="AE295" t="s">
        <v>101</v>
      </c>
      <c r="AF295" t="s">
        <v>907</v>
      </c>
      <c r="AG295" s="3">
        <v>5000</v>
      </c>
      <c r="AH295" t="s">
        <v>100</v>
      </c>
      <c r="AI295" t="s">
        <v>907</v>
      </c>
      <c r="AJ295" s="5">
        <v>5000</v>
      </c>
      <c r="AK295" t="s">
        <v>102</v>
      </c>
      <c r="AL295" t="s">
        <v>907</v>
      </c>
      <c r="AM295" t="s">
        <v>2818</v>
      </c>
      <c r="AN295" t="s">
        <v>907</v>
      </c>
      <c r="AO295" t="s">
        <v>3747</v>
      </c>
      <c r="AP295" t="s">
        <v>3714</v>
      </c>
      <c r="AQ295" t="s">
        <v>477</v>
      </c>
      <c r="AR295" t="s">
        <v>95</v>
      </c>
      <c r="AS295">
        <v>0</v>
      </c>
      <c r="AT295">
        <v>0</v>
      </c>
      <c r="AU295">
        <v>0</v>
      </c>
      <c r="AV295">
        <v>0</v>
      </c>
      <c r="AW295">
        <v>0</v>
      </c>
      <c r="AX295">
        <v>0</v>
      </c>
      <c r="AY295">
        <v>0</v>
      </c>
      <c r="AZ295" t="s">
        <v>284</v>
      </c>
      <c r="BA295" t="s">
        <v>452</v>
      </c>
      <c r="BB295" t="s">
        <v>154</v>
      </c>
      <c r="BC295" t="s">
        <v>907</v>
      </c>
      <c r="BD295" t="s">
        <v>107</v>
      </c>
      <c r="BE295" t="s">
        <v>258</v>
      </c>
      <c r="BF295" t="s">
        <v>4114</v>
      </c>
      <c r="BG295" t="s">
        <v>156</v>
      </c>
      <c r="BH295">
        <v>120</v>
      </c>
      <c r="BL295">
        <v>50</v>
      </c>
      <c r="BN295">
        <v>4</v>
      </c>
      <c r="BP295">
        <v>12</v>
      </c>
      <c r="BR295">
        <v>15</v>
      </c>
      <c r="BT295">
        <v>4</v>
      </c>
      <c r="BV295">
        <v>10</v>
      </c>
      <c r="BX295">
        <v>25</v>
      </c>
      <c r="BY295" t="s">
        <v>189</v>
      </c>
      <c r="BZ295">
        <v>10</v>
      </c>
      <c r="CA295">
        <v>20</v>
      </c>
      <c r="CB295" t="s">
        <v>84</v>
      </c>
      <c r="CC295" t="s">
        <v>84</v>
      </c>
      <c r="CD295" t="s">
        <v>334</v>
      </c>
      <c r="CE295" t="s">
        <v>4250</v>
      </c>
      <c r="CF295" t="s">
        <v>4109</v>
      </c>
      <c r="CG295" t="s">
        <v>907</v>
      </c>
      <c r="CH295">
        <v>27</v>
      </c>
      <c r="CI295" t="s">
        <v>84</v>
      </c>
      <c r="CJ295" t="s">
        <v>262</v>
      </c>
      <c r="CK295" t="s">
        <v>289</v>
      </c>
      <c r="CL295" t="s">
        <v>3715</v>
      </c>
      <c r="CM295" t="s">
        <v>193</v>
      </c>
      <c r="CN295" t="s">
        <v>421</v>
      </c>
      <c r="CO295" t="s">
        <v>95</v>
      </c>
      <c r="CP295" t="s">
        <v>907</v>
      </c>
      <c r="CQ295" t="s">
        <v>116</v>
      </c>
      <c r="CR295" t="s">
        <v>95</v>
      </c>
      <c r="CS295" t="s">
        <v>907</v>
      </c>
      <c r="CT295" t="s">
        <v>907</v>
      </c>
      <c r="CU295" t="s">
        <v>907</v>
      </c>
      <c r="CV295" t="s">
        <v>812</v>
      </c>
      <c r="CW295" t="s">
        <v>495</v>
      </c>
      <c r="CX295" t="s">
        <v>166</v>
      </c>
      <c r="CY295" t="s">
        <v>167</v>
      </c>
      <c r="CZ295" t="s">
        <v>3716</v>
      </c>
      <c r="DA295">
        <v>1</v>
      </c>
      <c r="DB295" s="10">
        <v>5000</v>
      </c>
      <c r="DC295" t="s">
        <v>169</v>
      </c>
      <c r="DD295" t="s">
        <v>907</v>
      </c>
      <c r="DE295">
        <v>3</v>
      </c>
      <c r="DF295">
        <v>25</v>
      </c>
      <c r="DG295" t="s">
        <v>95</v>
      </c>
      <c r="DH295" t="s">
        <v>84</v>
      </c>
      <c r="DI295" t="s">
        <v>197</v>
      </c>
      <c r="DJ295" t="s">
        <v>648</v>
      </c>
      <c r="DK295" t="s">
        <v>907</v>
      </c>
      <c r="DL295" t="s">
        <v>3717</v>
      </c>
      <c r="DM295" t="s">
        <v>291</v>
      </c>
      <c r="DN295" t="s">
        <v>907</v>
      </c>
      <c r="DO295" t="s">
        <v>907</v>
      </c>
      <c r="DP295">
        <v>300</v>
      </c>
      <c r="DQ295" t="s">
        <v>441</v>
      </c>
      <c r="DR295" t="s">
        <v>907</v>
      </c>
      <c r="DS295" t="s">
        <v>917</v>
      </c>
      <c r="DT295" t="s">
        <v>1408</v>
      </c>
      <c r="DU295" t="s">
        <v>84</v>
      </c>
      <c r="DV295" t="s">
        <v>864</v>
      </c>
      <c r="DW295" t="s">
        <v>2686</v>
      </c>
      <c r="DX295" t="s">
        <v>95</v>
      </c>
      <c r="FQ295">
        <v>570586233</v>
      </c>
      <c r="FR295" t="s">
        <v>3748</v>
      </c>
      <c r="FS295" s="1">
        <v>45931.276863425926</v>
      </c>
      <c r="FV295" t="s">
        <v>134</v>
      </c>
      <c r="FW295" t="s">
        <v>135</v>
      </c>
      <c r="FX295" t="s">
        <v>136</v>
      </c>
      <c r="FZ295">
        <v>638</v>
      </c>
    </row>
    <row r="296" spans="1:182" hidden="1" x14ac:dyDescent="0.3">
      <c r="A296" s="1">
        <v>45923.428850150463</v>
      </c>
      <c r="B296" s="1">
        <v>45923.44691136574</v>
      </c>
      <c r="D296" t="s">
        <v>84</v>
      </c>
      <c r="E296" t="s">
        <v>297</v>
      </c>
      <c r="F296" t="s">
        <v>372</v>
      </c>
      <c r="G296" t="s">
        <v>176</v>
      </c>
      <c r="H296" t="s">
        <v>4122</v>
      </c>
      <c r="I296" t="s">
        <v>373</v>
      </c>
      <c r="J296" t="s">
        <v>374</v>
      </c>
      <c r="K296" t="s">
        <v>90</v>
      </c>
      <c r="L296" t="s">
        <v>276</v>
      </c>
      <c r="M296" t="s">
        <v>277</v>
      </c>
      <c r="N296" t="s">
        <v>375</v>
      </c>
      <c r="O296">
        <v>-15.440799999999999</v>
      </c>
      <c r="P296">
        <v>23.2167767</v>
      </c>
      <c r="Q296">
        <v>1010</v>
      </c>
      <c r="R296">
        <v>4.16</v>
      </c>
      <c r="S296" t="s">
        <v>84</v>
      </c>
      <c r="T296" t="s">
        <v>182</v>
      </c>
      <c r="U296">
        <v>5</v>
      </c>
      <c r="V296" t="s">
        <v>95</v>
      </c>
      <c r="W296" t="s">
        <v>907</v>
      </c>
      <c r="X296">
        <v>30</v>
      </c>
      <c r="Y296">
        <v>5</v>
      </c>
      <c r="Z296">
        <v>3</v>
      </c>
      <c r="AA296" t="s">
        <v>279</v>
      </c>
      <c r="AB296" t="s">
        <v>351</v>
      </c>
      <c r="AC296" t="s">
        <v>98</v>
      </c>
      <c r="AD296" t="s">
        <v>252</v>
      </c>
      <c r="AE296" t="s">
        <v>100</v>
      </c>
      <c r="AF296" t="s">
        <v>907</v>
      </c>
      <c r="AG296">
        <v>8000</v>
      </c>
      <c r="AH296" t="s">
        <v>101</v>
      </c>
      <c r="AI296" t="s">
        <v>907</v>
      </c>
      <c r="AJ296" s="5">
        <v>500</v>
      </c>
      <c r="AK296" t="s">
        <v>102</v>
      </c>
      <c r="AL296" t="s">
        <v>907</v>
      </c>
      <c r="AM296" t="s">
        <v>253</v>
      </c>
      <c r="AN296" t="s">
        <v>907</v>
      </c>
      <c r="AO296" t="s">
        <v>376</v>
      </c>
      <c r="AP296" t="s">
        <v>377</v>
      </c>
      <c r="AQ296" t="s">
        <v>307</v>
      </c>
      <c r="AR296" t="s">
        <v>95</v>
      </c>
      <c r="AS296">
        <v>0</v>
      </c>
      <c r="AT296">
        <v>15</v>
      </c>
      <c r="AU296">
        <v>0</v>
      </c>
      <c r="AV296">
        <v>0</v>
      </c>
      <c r="AW296">
        <v>0</v>
      </c>
      <c r="AX296">
        <v>0</v>
      </c>
      <c r="AY296">
        <v>0</v>
      </c>
      <c r="AZ296" t="s">
        <v>284</v>
      </c>
      <c r="BA296" t="s">
        <v>95</v>
      </c>
      <c r="BB296" t="s">
        <v>154</v>
      </c>
      <c r="BC296" t="s">
        <v>907</v>
      </c>
      <c r="BD296" t="s">
        <v>107</v>
      </c>
      <c r="BE296" t="s">
        <v>258</v>
      </c>
      <c r="BF296" t="s">
        <v>309</v>
      </c>
      <c r="BG296" t="s">
        <v>156</v>
      </c>
      <c r="BH296">
        <v>8</v>
      </c>
      <c r="BL296">
        <v>2</v>
      </c>
      <c r="BN296">
        <v>0</v>
      </c>
      <c r="BP296">
        <v>1</v>
      </c>
      <c r="BR296">
        <v>1</v>
      </c>
      <c r="BT296">
        <v>0</v>
      </c>
      <c r="BV296">
        <v>0</v>
      </c>
      <c r="BX296">
        <v>4</v>
      </c>
      <c r="BY296" t="s">
        <v>110</v>
      </c>
      <c r="BZ296" t="s">
        <v>907</v>
      </c>
      <c r="CA296" t="s">
        <v>907</v>
      </c>
      <c r="CB296" t="s">
        <v>84</v>
      </c>
      <c r="CC296" t="s">
        <v>84</v>
      </c>
      <c r="CD296" t="s">
        <v>378</v>
      </c>
      <c r="CE296" t="s">
        <v>4250</v>
      </c>
      <c r="CF296" t="s">
        <v>379</v>
      </c>
      <c r="CG296" t="s">
        <v>907</v>
      </c>
      <c r="CH296">
        <v>27</v>
      </c>
      <c r="CI296" t="s">
        <v>84</v>
      </c>
      <c r="CJ296" t="s">
        <v>262</v>
      </c>
      <c r="CK296" t="s">
        <v>289</v>
      </c>
      <c r="CL296" t="s">
        <v>380</v>
      </c>
      <c r="CM296" t="s">
        <v>193</v>
      </c>
      <c r="CN296" t="s">
        <v>381</v>
      </c>
      <c r="CO296" t="s">
        <v>95</v>
      </c>
      <c r="CP296" t="s">
        <v>907</v>
      </c>
      <c r="CQ296" t="s">
        <v>116</v>
      </c>
      <c r="CR296" t="s">
        <v>84</v>
      </c>
      <c r="CS296" t="s">
        <v>117</v>
      </c>
      <c r="CT296" t="s">
        <v>264</v>
      </c>
      <c r="CU296" t="s">
        <v>3869</v>
      </c>
      <c r="CV296" t="s">
        <v>119</v>
      </c>
      <c r="CW296" t="s">
        <v>196</v>
      </c>
      <c r="CX296" t="s">
        <v>166</v>
      </c>
      <c r="CY296" t="s">
        <v>167</v>
      </c>
      <c r="CZ296" t="s">
        <v>382</v>
      </c>
      <c r="DA296">
        <v>0</v>
      </c>
      <c r="DB296" s="10">
        <v>0</v>
      </c>
      <c r="DC296" t="s">
        <v>169</v>
      </c>
      <c r="DD296" t="s">
        <v>907</v>
      </c>
      <c r="DE296">
        <v>1</v>
      </c>
      <c r="DF296">
        <v>55</v>
      </c>
      <c r="DG296" t="s">
        <v>95</v>
      </c>
      <c r="DH296" t="s">
        <v>95</v>
      </c>
      <c r="DI296" t="s">
        <v>907</v>
      </c>
      <c r="DJ296" t="s">
        <v>907</v>
      </c>
      <c r="DK296" t="s">
        <v>907</v>
      </c>
      <c r="DL296" t="s">
        <v>907</v>
      </c>
      <c r="DM296" t="s">
        <v>291</v>
      </c>
      <c r="DN296" t="s">
        <v>907</v>
      </c>
      <c r="DO296" t="s">
        <v>907</v>
      </c>
      <c r="DP296">
        <v>0</v>
      </c>
      <c r="DQ296" t="s">
        <v>128</v>
      </c>
      <c r="DR296" t="s">
        <v>907</v>
      </c>
      <c r="DS296" t="s">
        <v>383</v>
      </c>
      <c r="DT296" t="s">
        <v>271</v>
      </c>
      <c r="DU296" t="s">
        <v>95</v>
      </c>
      <c r="DV296" t="s">
        <v>907</v>
      </c>
      <c r="DW296" t="s">
        <v>907</v>
      </c>
      <c r="DX296" t="s">
        <v>907</v>
      </c>
      <c r="FQ296">
        <v>565241807</v>
      </c>
      <c r="FR296" t="s">
        <v>384</v>
      </c>
      <c r="FS296" s="1">
        <v>45923.829791666663</v>
      </c>
      <c r="FV296" t="s">
        <v>134</v>
      </c>
      <c r="FW296" t="s">
        <v>135</v>
      </c>
      <c r="FX296" t="s">
        <v>136</v>
      </c>
      <c r="FZ296">
        <v>122</v>
      </c>
    </row>
    <row r="297" spans="1:182" hidden="1" x14ac:dyDescent="0.3">
      <c r="A297" s="1">
        <v>45924.569517048607</v>
      </c>
      <c r="B297" s="1">
        <v>45924.601665902781</v>
      </c>
      <c r="D297" t="s">
        <v>84</v>
      </c>
      <c r="E297" t="s">
        <v>297</v>
      </c>
      <c r="F297" t="s">
        <v>1527</v>
      </c>
      <c r="G297" t="s">
        <v>176</v>
      </c>
      <c r="H297" t="s">
        <v>4122</v>
      </c>
      <c r="I297" t="s">
        <v>1528</v>
      </c>
      <c r="J297" t="s">
        <v>1529</v>
      </c>
      <c r="K297" t="s">
        <v>90</v>
      </c>
      <c r="L297" t="s">
        <v>1530</v>
      </c>
      <c r="M297" t="s">
        <v>349</v>
      </c>
      <c r="N297" t="s">
        <v>1531</v>
      </c>
      <c r="O297">
        <v>-15.338702400000001</v>
      </c>
      <c r="P297">
        <v>23.033287600000001</v>
      </c>
      <c r="Q297">
        <v>1009.820556640625</v>
      </c>
      <c r="R297">
        <v>4.8869999999999996</v>
      </c>
      <c r="S297" t="s">
        <v>84</v>
      </c>
      <c r="T297" t="s">
        <v>94</v>
      </c>
      <c r="U297">
        <v>12</v>
      </c>
      <c r="V297" t="s">
        <v>212</v>
      </c>
      <c r="W297" t="s">
        <v>1532</v>
      </c>
      <c r="X297">
        <v>30</v>
      </c>
      <c r="Y297">
        <v>6</v>
      </c>
      <c r="Z297">
        <v>6</v>
      </c>
      <c r="AA297" t="s">
        <v>96</v>
      </c>
      <c r="AB297" t="s">
        <v>97</v>
      </c>
      <c r="AC297" t="s">
        <v>98</v>
      </c>
      <c r="AD297" t="s">
        <v>520</v>
      </c>
      <c r="AE297" t="s">
        <v>101</v>
      </c>
      <c r="AF297" t="s">
        <v>907</v>
      </c>
      <c r="AG297">
        <v>500</v>
      </c>
      <c r="AH297" t="s">
        <v>3873</v>
      </c>
      <c r="AI297" t="s">
        <v>907</v>
      </c>
      <c r="AJ297" t="s">
        <v>907</v>
      </c>
      <c r="AK297" t="s">
        <v>102</v>
      </c>
      <c r="AL297" t="s">
        <v>907</v>
      </c>
      <c r="AM297" t="s">
        <v>4130</v>
      </c>
      <c r="AN297" t="s">
        <v>907</v>
      </c>
      <c r="AQ297" t="s">
        <v>1533</v>
      </c>
      <c r="AR297" t="s">
        <v>95</v>
      </c>
      <c r="AS297">
        <v>0</v>
      </c>
      <c r="AT297">
        <v>0</v>
      </c>
      <c r="AU297">
        <v>0</v>
      </c>
      <c r="AV297">
        <v>0</v>
      </c>
      <c r="AW297">
        <v>0</v>
      </c>
      <c r="AX297">
        <v>0</v>
      </c>
      <c r="AY297">
        <v>0</v>
      </c>
      <c r="AZ297" t="s">
        <v>284</v>
      </c>
      <c r="BA297" t="s">
        <v>95</v>
      </c>
      <c r="BB297" t="s">
        <v>154</v>
      </c>
      <c r="BC297" t="s">
        <v>907</v>
      </c>
      <c r="BD297" t="s">
        <v>107</v>
      </c>
      <c r="BE297" t="s">
        <v>258</v>
      </c>
      <c r="BF297" t="s">
        <v>1534</v>
      </c>
      <c r="BG297" t="s">
        <v>526</v>
      </c>
      <c r="BH297">
        <v>48</v>
      </c>
      <c r="BL297">
        <v>26</v>
      </c>
      <c r="BN297">
        <v>3</v>
      </c>
      <c r="BP297">
        <v>5</v>
      </c>
      <c r="BR297">
        <v>5</v>
      </c>
      <c r="BT297">
        <v>0</v>
      </c>
      <c r="BV297">
        <v>0</v>
      </c>
      <c r="BX297">
        <v>9</v>
      </c>
      <c r="BY297" t="s">
        <v>110</v>
      </c>
      <c r="BZ297" t="s">
        <v>907</v>
      </c>
      <c r="CA297" t="s">
        <v>907</v>
      </c>
      <c r="CB297" t="s">
        <v>84</v>
      </c>
      <c r="CC297" t="s">
        <v>84</v>
      </c>
      <c r="CD297" t="s">
        <v>334</v>
      </c>
      <c r="CE297" t="s">
        <v>4251</v>
      </c>
      <c r="CF297" t="s">
        <v>3942</v>
      </c>
      <c r="CG297" t="s">
        <v>907</v>
      </c>
      <c r="CH297">
        <v>27</v>
      </c>
      <c r="CI297" t="s">
        <v>95</v>
      </c>
      <c r="CJ297" t="s">
        <v>907</v>
      </c>
      <c r="CK297" t="s">
        <v>289</v>
      </c>
      <c r="CL297" t="s">
        <v>4262</v>
      </c>
      <c r="CM297" t="s">
        <v>193</v>
      </c>
      <c r="CN297" t="s">
        <v>3874</v>
      </c>
      <c r="CO297" t="s">
        <v>95</v>
      </c>
      <c r="CP297" t="s">
        <v>907</v>
      </c>
      <c r="CQ297" t="s">
        <v>116</v>
      </c>
      <c r="CR297" t="s">
        <v>84</v>
      </c>
      <c r="CS297" t="s">
        <v>117</v>
      </c>
      <c r="CT297" t="s">
        <v>163</v>
      </c>
      <c r="CU297" t="s">
        <v>438</v>
      </c>
      <c r="CV297" t="s">
        <v>812</v>
      </c>
      <c r="CW297" t="s">
        <v>907</v>
      </c>
      <c r="CX297" t="s">
        <v>166</v>
      </c>
      <c r="CY297" t="s">
        <v>167</v>
      </c>
      <c r="CZ297" t="s">
        <v>1301</v>
      </c>
      <c r="DA297">
        <v>7</v>
      </c>
      <c r="DB297" s="10">
        <v>35000</v>
      </c>
      <c r="DC297" t="s">
        <v>169</v>
      </c>
      <c r="DD297" t="s">
        <v>907</v>
      </c>
      <c r="DE297">
        <v>1</v>
      </c>
      <c r="DF297">
        <v>68</v>
      </c>
      <c r="DG297" t="s">
        <v>95</v>
      </c>
      <c r="DH297" t="s">
        <v>95</v>
      </c>
      <c r="DI297" t="s">
        <v>907</v>
      </c>
      <c r="DJ297" t="s">
        <v>907</v>
      </c>
      <c r="DK297" t="s">
        <v>907</v>
      </c>
      <c r="DL297" t="s">
        <v>907</v>
      </c>
      <c r="DM297" t="s">
        <v>291</v>
      </c>
      <c r="DN297" t="s">
        <v>907</v>
      </c>
      <c r="DO297" t="s">
        <v>907</v>
      </c>
      <c r="DP297">
        <v>24</v>
      </c>
      <c r="DQ297" t="s">
        <v>441</v>
      </c>
      <c r="DR297" t="s">
        <v>907</v>
      </c>
      <c r="DS297" t="s">
        <v>1486</v>
      </c>
      <c r="DT297" t="s">
        <v>1459</v>
      </c>
      <c r="DU297" t="s">
        <v>95</v>
      </c>
      <c r="DV297" t="s">
        <v>907</v>
      </c>
      <c r="DW297" t="s">
        <v>907</v>
      </c>
      <c r="DX297" t="s">
        <v>907</v>
      </c>
      <c r="FQ297">
        <v>566103086</v>
      </c>
      <c r="FR297" t="s">
        <v>1535</v>
      </c>
      <c r="FS297" s="1">
        <v>45924.855532407397</v>
      </c>
      <c r="FV297" t="s">
        <v>134</v>
      </c>
      <c r="FW297" t="s">
        <v>135</v>
      </c>
      <c r="FX297" t="s">
        <v>136</v>
      </c>
      <c r="FZ297">
        <v>250</v>
      </c>
    </row>
    <row r="298" spans="1:182" hidden="1" x14ac:dyDescent="0.3">
      <c r="A298" s="1">
        <v>45924.50981358796</v>
      </c>
      <c r="B298" s="1">
        <v>45924.532928761582</v>
      </c>
      <c r="D298" t="s">
        <v>84</v>
      </c>
      <c r="E298" t="s">
        <v>901</v>
      </c>
      <c r="F298" t="s">
        <v>948</v>
      </c>
      <c r="G298" t="s">
        <v>176</v>
      </c>
      <c r="H298" t="s">
        <v>4122</v>
      </c>
      <c r="I298" t="s">
        <v>949</v>
      </c>
      <c r="J298" t="s">
        <v>950</v>
      </c>
      <c r="K298" t="s">
        <v>90</v>
      </c>
      <c r="L298" t="s">
        <v>951</v>
      </c>
      <c r="M298" t="s">
        <v>722</v>
      </c>
      <c r="N298" t="s">
        <v>952</v>
      </c>
      <c r="O298">
        <v>-15.297049100000001</v>
      </c>
      <c r="P298">
        <v>23.032088600000002</v>
      </c>
      <c r="Q298">
        <v>1020.762939453125</v>
      </c>
      <c r="R298">
        <v>4.5880000000000001</v>
      </c>
      <c r="S298" t="s">
        <v>84</v>
      </c>
      <c r="T298" t="s">
        <v>182</v>
      </c>
      <c r="U298">
        <v>17</v>
      </c>
      <c r="V298" t="s">
        <v>95</v>
      </c>
      <c r="W298" t="s">
        <v>907</v>
      </c>
      <c r="X298">
        <v>25</v>
      </c>
      <c r="Y298">
        <v>2</v>
      </c>
      <c r="Z298">
        <v>2</v>
      </c>
      <c r="AA298" t="s">
        <v>504</v>
      </c>
      <c r="AB298" t="s">
        <v>489</v>
      </c>
      <c r="AC298" t="s">
        <v>144</v>
      </c>
      <c r="AD298" t="s">
        <v>520</v>
      </c>
      <c r="AE298" t="s">
        <v>431</v>
      </c>
      <c r="AF298" t="s">
        <v>907</v>
      </c>
      <c r="AG298">
        <v>500</v>
      </c>
      <c r="AH298" t="s">
        <v>953</v>
      </c>
      <c r="AI298" t="s">
        <v>907</v>
      </c>
      <c r="AJ298" s="5">
        <v>0</v>
      </c>
      <c r="AK298" t="s">
        <v>148</v>
      </c>
      <c r="AL298" t="s">
        <v>907</v>
      </c>
      <c r="AM298" t="s">
        <v>466</v>
      </c>
      <c r="AN298" t="s">
        <v>907</v>
      </c>
      <c r="AO298" t="s">
        <v>954</v>
      </c>
      <c r="AP298" t="s">
        <v>955</v>
      </c>
      <c r="AQ298" t="s">
        <v>956</v>
      </c>
      <c r="AR298" t="s">
        <v>95</v>
      </c>
      <c r="AS298">
        <v>25</v>
      </c>
      <c r="AT298">
        <v>0</v>
      </c>
      <c r="AU298">
        <v>0</v>
      </c>
      <c r="AV298">
        <v>30</v>
      </c>
      <c r="AW298">
        <v>0</v>
      </c>
      <c r="AX298">
        <v>0</v>
      </c>
      <c r="AY298">
        <v>0</v>
      </c>
      <c r="AZ298" t="s">
        <v>629</v>
      </c>
      <c r="BA298" t="s">
        <v>95</v>
      </c>
      <c r="BB298" t="s">
        <v>154</v>
      </c>
      <c r="BC298" t="s">
        <v>907</v>
      </c>
      <c r="BD298" t="s">
        <v>107</v>
      </c>
      <c r="BE298" t="s">
        <v>363</v>
      </c>
      <c r="BF298" t="s">
        <v>403</v>
      </c>
      <c r="BG298" t="s">
        <v>790</v>
      </c>
      <c r="BH298">
        <v>162</v>
      </c>
      <c r="BL298">
        <v>50</v>
      </c>
      <c r="BN298">
        <v>9</v>
      </c>
      <c r="BP298">
        <v>20</v>
      </c>
      <c r="BR298">
        <v>15</v>
      </c>
      <c r="BT298">
        <v>26</v>
      </c>
      <c r="BV298">
        <v>10</v>
      </c>
      <c r="BX298">
        <v>32</v>
      </c>
      <c r="BY298" t="s">
        <v>110</v>
      </c>
      <c r="BZ298" t="s">
        <v>907</v>
      </c>
      <c r="CA298" t="s">
        <v>907</v>
      </c>
      <c r="CB298" t="s">
        <v>84</v>
      </c>
      <c r="CC298" t="s">
        <v>84</v>
      </c>
      <c r="CD298" t="s">
        <v>957</v>
      </c>
      <c r="CE298" t="s">
        <v>4251</v>
      </c>
      <c r="CF298" t="s">
        <v>3905</v>
      </c>
      <c r="CG298" t="s">
        <v>907</v>
      </c>
      <c r="CH298">
        <v>27</v>
      </c>
      <c r="CI298" t="s">
        <v>84</v>
      </c>
      <c r="CJ298" t="s">
        <v>405</v>
      </c>
      <c r="CK298" t="s">
        <v>289</v>
      </c>
      <c r="CL298" t="s">
        <v>958</v>
      </c>
      <c r="CM298" t="s">
        <v>162</v>
      </c>
      <c r="CN298" t="s">
        <v>3874</v>
      </c>
      <c r="CO298" t="s">
        <v>95</v>
      </c>
      <c r="CP298" t="s">
        <v>907</v>
      </c>
      <c r="CQ298" t="s">
        <v>116</v>
      </c>
      <c r="CR298" t="s">
        <v>84</v>
      </c>
      <c r="CS298" t="s">
        <v>117</v>
      </c>
      <c r="CT298" t="s">
        <v>163</v>
      </c>
      <c r="CU298" t="s">
        <v>793</v>
      </c>
      <c r="CV298" t="s">
        <v>812</v>
      </c>
      <c r="CW298" t="s">
        <v>907</v>
      </c>
      <c r="CX298" t="s">
        <v>166</v>
      </c>
      <c r="CY298" t="s">
        <v>167</v>
      </c>
      <c r="CZ298" t="s">
        <v>959</v>
      </c>
      <c r="DA298">
        <v>30</v>
      </c>
      <c r="DB298" s="10">
        <v>300000</v>
      </c>
      <c r="DC298" t="s">
        <v>169</v>
      </c>
      <c r="DD298" t="s">
        <v>907</v>
      </c>
      <c r="DE298">
        <v>1</v>
      </c>
      <c r="DF298">
        <v>12</v>
      </c>
      <c r="DG298" t="s">
        <v>84</v>
      </c>
      <c r="DH298" t="s">
        <v>95</v>
      </c>
      <c r="DI298" t="s">
        <v>907</v>
      </c>
      <c r="DJ298" t="s">
        <v>907</v>
      </c>
      <c r="DK298" t="s">
        <v>907</v>
      </c>
      <c r="DL298" t="s">
        <v>907</v>
      </c>
      <c r="DM298" t="s">
        <v>291</v>
      </c>
      <c r="DN298" t="s">
        <v>907</v>
      </c>
      <c r="DO298" t="s">
        <v>907</v>
      </c>
      <c r="DP298">
        <v>1</v>
      </c>
      <c r="DQ298" t="s">
        <v>441</v>
      </c>
      <c r="DR298" t="s">
        <v>907</v>
      </c>
      <c r="DS298" t="s">
        <v>882</v>
      </c>
      <c r="DT298" t="s">
        <v>863</v>
      </c>
      <c r="DU298" t="s">
        <v>84</v>
      </c>
      <c r="DV298" t="s">
        <v>864</v>
      </c>
      <c r="DW298" t="s">
        <v>533</v>
      </c>
      <c r="DX298" t="s">
        <v>95</v>
      </c>
      <c r="FQ298">
        <v>565934907</v>
      </c>
      <c r="FR298" t="s">
        <v>960</v>
      </c>
      <c r="FS298" s="1">
        <v>45924.665902777779</v>
      </c>
      <c r="FV298" t="s">
        <v>134</v>
      </c>
      <c r="FW298" t="s">
        <v>135</v>
      </c>
      <c r="FX298" t="s">
        <v>136</v>
      </c>
      <c r="FZ298">
        <v>181</v>
      </c>
    </row>
    <row r="299" spans="1:182" x14ac:dyDescent="0.3">
      <c r="A299" s="1">
        <v>45924.439244293979</v>
      </c>
      <c r="B299" s="1">
        <v>45924.771934826393</v>
      </c>
      <c r="D299" t="s">
        <v>84</v>
      </c>
      <c r="E299" t="s">
        <v>3876</v>
      </c>
      <c r="F299" t="s">
        <v>1057</v>
      </c>
      <c r="G299" t="s">
        <v>176</v>
      </c>
      <c r="H299" t="s">
        <v>4122</v>
      </c>
      <c r="I299" t="s">
        <v>1058</v>
      </c>
      <c r="J299" t="s">
        <v>1059</v>
      </c>
      <c r="K299" t="s">
        <v>90</v>
      </c>
      <c r="L299" t="s">
        <v>1060</v>
      </c>
      <c r="M299" t="s">
        <v>1061</v>
      </c>
      <c r="S299" t="s">
        <v>84</v>
      </c>
      <c r="T299" t="s">
        <v>94</v>
      </c>
      <c r="U299">
        <v>4</v>
      </c>
      <c r="V299" t="s">
        <v>95</v>
      </c>
      <c r="W299" t="s">
        <v>907</v>
      </c>
      <c r="X299">
        <v>30</v>
      </c>
      <c r="Y299">
        <v>3</v>
      </c>
      <c r="Z299">
        <v>3</v>
      </c>
      <c r="AA299" t="s">
        <v>251</v>
      </c>
      <c r="AB299" t="s">
        <v>97</v>
      </c>
      <c r="AC299" t="s">
        <v>144</v>
      </c>
      <c r="AD299" t="s">
        <v>280</v>
      </c>
      <c r="AE299" t="s">
        <v>100</v>
      </c>
      <c r="AF299" t="s">
        <v>907</v>
      </c>
      <c r="AG299">
        <v>19000</v>
      </c>
      <c r="AH299" t="s">
        <v>304</v>
      </c>
      <c r="AI299" t="s">
        <v>907</v>
      </c>
      <c r="AJ299" s="5">
        <v>9000</v>
      </c>
      <c r="AK299" t="s">
        <v>102</v>
      </c>
      <c r="AL299" t="s">
        <v>907</v>
      </c>
      <c r="AM299" t="s">
        <v>1062</v>
      </c>
      <c r="AN299" t="s">
        <v>1063</v>
      </c>
      <c r="AO299" t="s">
        <v>1064</v>
      </c>
      <c r="AP299" t="s">
        <v>3914</v>
      </c>
      <c r="AQ299" t="s">
        <v>466</v>
      </c>
      <c r="AR299" t="s">
        <v>95</v>
      </c>
      <c r="AS299">
        <v>0</v>
      </c>
      <c r="AT299">
        <v>0</v>
      </c>
      <c r="AU299">
        <v>0</v>
      </c>
      <c r="AV299">
        <v>0</v>
      </c>
      <c r="AW299">
        <v>0</v>
      </c>
      <c r="AX299">
        <v>0</v>
      </c>
      <c r="AY299">
        <v>0</v>
      </c>
      <c r="AZ299" t="s">
        <v>1003</v>
      </c>
      <c r="BA299" t="s">
        <v>1065</v>
      </c>
      <c r="BB299" t="s">
        <v>154</v>
      </c>
      <c r="BC299" t="s">
        <v>907</v>
      </c>
      <c r="BD299" t="s">
        <v>107</v>
      </c>
      <c r="BE299" t="s">
        <v>258</v>
      </c>
      <c r="BF299" t="s">
        <v>3915</v>
      </c>
      <c r="BG299" t="s">
        <v>156</v>
      </c>
      <c r="BH299">
        <v>16</v>
      </c>
      <c r="BL299">
        <v>5</v>
      </c>
      <c r="BN299">
        <v>1</v>
      </c>
      <c r="BP299">
        <v>0</v>
      </c>
      <c r="BR299">
        <v>0</v>
      </c>
      <c r="BT299">
        <v>10</v>
      </c>
      <c r="BV299">
        <v>0</v>
      </c>
      <c r="BX299">
        <v>0</v>
      </c>
      <c r="BY299" t="s">
        <v>110</v>
      </c>
      <c r="BZ299" t="s">
        <v>907</v>
      </c>
      <c r="CA299" t="s">
        <v>907</v>
      </c>
      <c r="CB299" t="s">
        <v>84</v>
      </c>
      <c r="CC299" t="s">
        <v>84</v>
      </c>
      <c r="CD299" t="s">
        <v>1066</v>
      </c>
      <c r="CE299" t="s">
        <v>4250</v>
      </c>
      <c r="CF299" t="s">
        <v>1067</v>
      </c>
      <c r="CG299" t="s">
        <v>907</v>
      </c>
      <c r="CH299">
        <v>29</v>
      </c>
      <c r="CI299" t="s">
        <v>84</v>
      </c>
      <c r="CJ299" t="s">
        <v>586</v>
      </c>
      <c r="CK299" t="s">
        <v>1005</v>
      </c>
      <c r="CL299" t="s">
        <v>619</v>
      </c>
      <c r="CM299" t="s">
        <v>162</v>
      </c>
      <c r="CN299" t="s">
        <v>3874</v>
      </c>
      <c r="CO299" t="s">
        <v>95</v>
      </c>
      <c r="CP299" t="s">
        <v>907</v>
      </c>
      <c r="CQ299" t="s">
        <v>116</v>
      </c>
      <c r="CR299" t="s">
        <v>95</v>
      </c>
      <c r="CS299" t="s">
        <v>907</v>
      </c>
      <c r="CT299" t="s">
        <v>907</v>
      </c>
      <c r="CU299" t="s">
        <v>907</v>
      </c>
      <c r="CV299" t="s">
        <v>119</v>
      </c>
      <c r="CW299" t="s">
        <v>1068</v>
      </c>
      <c r="CX299" t="s">
        <v>166</v>
      </c>
      <c r="CY299" t="s">
        <v>167</v>
      </c>
      <c r="CZ299" t="s">
        <v>1069</v>
      </c>
      <c r="DA299">
        <v>4</v>
      </c>
      <c r="DB299" s="10">
        <v>21000</v>
      </c>
      <c r="DC299" t="s">
        <v>169</v>
      </c>
      <c r="DD299" t="s">
        <v>907</v>
      </c>
      <c r="DE299">
        <v>2</v>
      </c>
      <c r="DF299">
        <v>15</v>
      </c>
      <c r="DG299" t="s">
        <v>84</v>
      </c>
      <c r="DH299" t="s">
        <v>95</v>
      </c>
      <c r="DI299" t="s">
        <v>907</v>
      </c>
      <c r="DJ299" t="s">
        <v>907</v>
      </c>
      <c r="DK299" t="s">
        <v>907</v>
      </c>
      <c r="DL299" t="s">
        <v>907</v>
      </c>
      <c r="DM299" t="s">
        <v>291</v>
      </c>
      <c r="DN299" t="s">
        <v>907</v>
      </c>
      <c r="DO299" t="s">
        <v>907</v>
      </c>
      <c r="DP299">
        <v>1</v>
      </c>
      <c r="DQ299" t="s">
        <v>441</v>
      </c>
      <c r="DR299" t="s">
        <v>907</v>
      </c>
      <c r="DS299" t="s">
        <v>270</v>
      </c>
      <c r="DT299" t="s">
        <v>1070</v>
      </c>
      <c r="DU299" t="s">
        <v>95</v>
      </c>
      <c r="DV299" t="s">
        <v>907</v>
      </c>
      <c r="DW299" t="s">
        <v>907</v>
      </c>
      <c r="DX299" t="s">
        <v>907</v>
      </c>
      <c r="FQ299">
        <v>565986405</v>
      </c>
      <c r="FR299" t="s">
        <v>1071</v>
      </c>
      <c r="FS299" s="1">
        <v>45924.707650462973</v>
      </c>
      <c r="FV299" t="s">
        <v>134</v>
      </c>
      <c r="FW299" t="s">
        <v>135</v>
      </c>
      <c r="FX299" t="s">
        <v>136</v>
      </c>
      <c r="FZ299">
        <v>191</v>
      </c>
    </row>
    <row r="300" spans="1:182" hidden="1" x14ac:dyDescent="0.3">
      <c r="A300" s="1">
        <v>45930.373225069437</v>
      </c>
      <c r="B300" s="1">
        <v>45931.372784629631</v>
      </c>
      <c r="D300" t="s">
        <v>84</v>
      </c>
      <c r="E300" t="s">
        <v>85</v>
      </c>
      <c r="F300" t="s">
        <v>4106</v>
      </c>
      <c r="G300" t="s">
        <v>176</v>
      </c>
      <c r="H300" t="s">
        <v>4122</v>
      </c>
      <c r="I300" t="s">
        <v>3665</v>
      </c>
      <c r="J300" t="s">
        <v>3666</v>
      </c>
      <c r="K300" t="s">
        <v>90</v>
      </c>
      <c r="L300" t="s">
        <v>4107</v>
      </c>
      <c r="M300" t="s">
        <v>3667</v>
      </c>
      <c r="N300" t="s">
        <v>3668</v>
      </c>
      <c r="O300">
        <v>-15.1811924</v>
      </c>
      <c r="P300">
        <v>22.838786599999999</v>
      </c>
      <c r="Q300">
        <v>1039.63134765625</v>
      </c>
      <c r="R300">
        <v>4.6879999999999997</v>
      </c>
      <c r="S300" t="s">
        <v>84</v>
      </c>
      <c r="T300" t="s">
        <v>182</v>
      </c>
      <c r="U300">
        <v>8</v>
      </c>
      <c r="V300" t="s">
        <v>302</v>
      </c>
      <c r="W300" t="s">
        <v>3222</v>
      </c>
      <c r="X300">
        <v>30</v>
      </c>
      <c r="Y300">
        <v>50</v>
      </c>
      <c r="Z300">
        <v>1.5</v>
      </c>
      <c r="AA300" t="s">
        <v>96</v>
      </c>
      <c r="AB300" t="s">
        <v>351</v>
      </c>
      <c r="AC300" t="s">
        <v>98</v>
      </c>
      <c r="AD300" t="s">
        <v>99</v>
      </c>
      <c r="AE300" t="s">
        <v>304</v>
      </c>
      <c r="AF300" t="s">
        <v>907</v>
      </c>
      <c r="AG300">
        <v>0</v>
      </c>
      <c r="AH300" t="s">
        <v>147</v>
      </c>
      <c r="AI300" t="s">
        <v>907</v>
      </c>
      <c r="AJ300" s="5">
        <v>0</v>
      </c>
      <c r="AK300" t="s">
        <v>148</v>
      </c>
      <c r="AL300" t="s">
        <v>907</v>
      </c>
      <c r="AM300" t="s">
        <v>466</v>
      </c>
      <c r="AN300" t="s">
        <v>907</v>
      </c>
      <c r="AO300">
        <v>0</v>
      </c>
      <c r="AP300">
        <v>0</v>
      </c>
      <c r="AQ300" t="s">
        <v>185</v>
      </c>
      <c r="AR300" t="s">
        <v>84</v>
      </c>
      <c r="AS300">
        <v>0</v>
      </c>
      <c r="AT300">
        <v>0</v>
      </c>
      <c r="AU300">
        <v>0</v>
      </c>
      <c r="AV300">
        <v>0</v>
      </c>
      <c r="AW300">
        <v>0</v>
      </c>
      <c r="AX300">
        <v>0</v>
      </c>
      <c r="AY300">
        <v>0</v>
      </c>
      <c r="AZ300" t="s">
        <v>1003</v>
      </c>
      <c r="BA300" t="s">
        <v>95</v>
      </c>
      <c r="BB300" t="s">
        <v>154</v>
      </c>
      <c r="BC300" t="s">
        <v>907</v>
      </c>
      <c r="BD300" t="s">
        <v>107</v>
      </c>
      <c r="BE300" t="s">
        <v>108</v>
      </c>
      <c r="BF300" t="s">
        <v>321</v>
      </c>
      <c r="BG300" t="s">
        <v>235</v>
      </c>
      <c r="BH300">
        <v>250</v>
      </c>
      <c r="BY300" t="s">
        <v>110</v>
      </c>
      <c r="BZ300" t="s">
        <v>907</v>
      </c>
      <c r="CA300" t="s">
        <v>907</v>
      </c>
      <c r="CB300" t="s">
        <v>84</v>
      </c>
      <c r="CC300" t="s">
        <v>84</v>
      </c>
      <c r="CD300" t="s">
        <v>3669</v>
      </c>
      <c r="CE300" t="s">
        <v>4250</v>
      </c>
      <c r="CF300" t="s">
        <v>3670</v>
      </c>
      <c r="CG300" t="s">
        <v>907</v>
      </c>
      <c r="CH300" s="2">
        <v>30</v>
      </c>
      <c r="CI300" t="s">
        <v>95</v>
      </c>
      <c r="CJ300" t="s">
        <v>907</v>
      </c>
      <c r="CK300" t="s">
        <v>289</v>
      </c>
      <c r="CL300" t="s">
        <v>4262</v>
      </c>
      <c r="CM300" t="s">
        <v>115</v>
      </c>
      <c r="CN300" t="s">
        <v>3868</v>
      </c>
      <c r="CO300" t="s">
        <v>95</v>
      </c>
      <c r="CP300" t="s">
        <v>907</v>
      </c>
      <c r="CQ300" t="s">
        <v>116</v>
      </c>
      <c r="CR300" t="s">
        <v>84</v>
      </c>
      <c r="CS300" t="s">
        <v>117</v>
      </c>
      <c r="CT300" t="s">
        <v>163</v>
      </c>
      <c r="CU300" t="s">
        <v>3869</v>
      </c>
      <c r="CV300" t="s">
        <v>119</v>
      </c>
      <c r="CW300" t="s">
        <v>168</v>
      </c>
      <c r="CX300" t="s">
        <v>166</v>
      </c>
      <c r="CY300" t="s">
        <v>3671</v>
      </c>
      <c r="CZ300" t="s">
        <v>559</v>
      </c>
      <c r="DA300">
        <v>2</v>
      </c>
      <c r="DB300">
        <v>12000</v>
      </c>
      <c r="DC300" t="s">
        <v>169</v>
      </c>
      <c r="DD300" t="s">
        <v>907</v>
      </c>
      <c r="DE300">
        <v>2</v>
      </c>
      <c r="DF300">
        <v>35</v>
      </c>
      <c r="DG300" t="s">
        <v>95</v>
      </c>
      <c r="DH300" t="s">
        <v>95</v>
      </c>
      <c r="DI300" t="s">
        <v>907</v>
      </c>
      <c r="DJ300" t="s">
        <v>907</v>
      </c>
      <c r="DK300" t="s">
        <v>907</v>
      </c>
      <c r="DL300" t="s">
        <v>907</v>
      </c>
      <c r="DM300" t="s">
        <v>125</v>
      </c>
      <c r="DN300" t="s">
        <v>200</v>
      </c>
      <c r="DO300" t="s">
        <v>2790</v>
      </c>
      <c r="DP300">
        <v>7</v>
      </c>
      <c r="DQ300" t="s">
        <v>128</v>
      </c>
      <c r="DR300" t="s">
        <v>907</v>
      </c>
      <c r="DS300" t="s">
        <v>2972</v>
      </c>
      <c r="DT300" t="s">
        <v>552</v>
      </c>
      <c r="DU300" t="s">
        <v>95</v>
      </c>
      <c r="DV300" t="s">
        <v>907</v>
      </c>
      <c r="DW300" t="s">
        <v>907</v>
      </c>
      <c r="DX300" t="s">
        <v>907</v>
      </c>
      <c r="FQ300">
        <v>570597371</v>
      </c>
      <c r="FR300" t="s">
        <v>3672</v>
      </c>
      <c r="FS300" s="1">
        <v>45931.289652777778</v>
      </c>
      <c r="FV300" t="s">
        <v>134</v>
      </c>
      <c r="FW300" t="s">
        <v>135</v>
      </c>
      <c r="FX300" t="s">
        <v>136</v>
      </c>
      <c r="FZ300">
        <v>640</v>
      </c>
    </row>
    <row r="301" spans="1:182" hidden="1" x14ac:dyDescent="0.3">
      <c r="A301" s="1">
        <v>45926.51755971065</v>
      </c>
      <c r="B301" s="1">
        <v>45926.530572731477</v>
      </c>
      <c r="D301" t="s">
        <v>84</v>
      </c>
      <c r="E301" t="s">
        <v>3878</v>
      </c>
      <c r="F301" t="s">
        <v>2928</v>
      </c>
      <c r="G301" t="s">
        <v>176</v>
      </c>
      <c r="H301" t="s">
        <v>4122</v>
      </c>
      <c r="I301" t="s">
        <v>2929</v>
      </c>
      <c r="J301" t="s">
        <v>2930</v>
      </c>
      <c r="K301" t="s">
        <v>90</v>
      </c>
      <c r="L301" t="s">
        <v>2867</v>
      </c>
      <c r="M301" t="s">
        <v>2868</v>
      </c>
      <c r="N301" t="s">
        <v>2931</v>
      </c>
      <c r="O301">
        <v>-15.214359699999999</v>
      </c>
      <c r="P301">
        <v>22.934927600000002</v>
      </c>
      <c r="Q301">
        <v>1047.2</v>
      </c>
      <c r="R301">
        <v>4.95</v>
      </c>
      <c r="S301" t="s">
        <v>84</v>
      </c>
      <c r="T301" t="s">
        <v>94</v>
      </c>
      <c r="U301">
        <v>6</v>
      </c>
      <c r="V301" t="s">
        <v>95</v>
      </c>
      <c r="W301" t="s">
        <v>907</v>
      </c>
      <c r="X301">
        <v>20</v>
      </c>
      <c r="Y301">
        <v>1</v>
      </c>
      <c r="Z301">
        <v>1</v>
      </c>
      <c r="AA301" t="s">
        <v>96</v>
      </c>
      <c r="AB301" t="s">
        <v>351</v>
      </c>
      <c r="AC301" t="s">
        <v>98</v>
      </c>
      <c r="AD301" t="s">
        <v>252</v>
      </c>
      <c r="AE301" t="s">
        <v>304</v>
      </c>
      <c r="AF301" t="s">
        <v>907</v>
      </c>
      <c r="AG301">
        <v>11000</v>
      </c>
      <c r="AH301" t="s">
        <v>431</v>
      </c>
      <c r="AI301" t="s">
        <v>907</v>
      </c>
      <c r="AJ301" s="5">
        <v>600</v>
      </c>
      <c r="AK301" t="s">
        <v>102</v>
      </c>
      <c r="AL301" t="s">
        <v>907</v>
      </c>
      <c r="AM301" t="s">
        <v>4130</v>
      </c>
      <c r="AN301" t="s">
        <v>907</v>
      </c>
      <c r="AQ301" t="s">
        <v>2932</v>
      </c>
      <c r="AR301" t="s">
        <v>95</v>
      </c>
      <c r="AS301">
        <v>0</v>
      </c>
      <c r="AT301">
        <v>0</v>
      </c>
      <c r="AU301">
        <v>0</v>
      </c>
      <c r="AV301">
        <v>0</v>
      </c>
      <c r="AW301">
        <v>0</v>
      </c>
      <c r="AX301">
        <v>0</v>
      </c>
      <c r="AY301">
        <v>0</v>
      </c>
      <c r="AZ301" t="s">
        <v>929</v>
      </c>
      <c r="BA301" t="s">
        <v>95</v>
      </c>
      <c r="BB301" t="s">
        <v>154</v>
      </c>
      <c r="BC301" t="s">
        <v>907</v>
      </c>
      <c r="BD301" t="s">
        <v>107</v>
      </c>
      <c r="BE301" t="s">
        <v>258</v>
      </c>
      <c r="BF301" t="s">
        <v>1183</v>
      </c>
      <c r="BG301" t="s">
        <v>156</v>
      </c>
      <c r="BH301">
        <v>50</v>
      </c>
      <c r="BL301">
        <v>30</v>
      </c>
      <c r="BN301">
        <v>3</v>
      </c>
      <c r="BP301">
        <v>0</v>
      </c>
      <c r="BR301">
        <v>0</v>
      </c>
      <c r="BT301">
        <v>6</v>
      </c>
      <c r="BV301">
        <v>0</v>
      </c>
      <c r="BX301">
        <v>11</v>
      </c>
      <c r="BY301" t="s">
        <v>189</v>
      </c>
      <c r="BZ301">
        <v>1</v>
      </c>
      <c r="CA301">
        <v>30</v>
      </c>
      <c r="CB301" t="s">
        <v>84</v>
      </c>
      <c r="CC301" t="s">
        <v>84</v>
      </c>
      <c r="CD301" t="s">
        <v>2933</v>
      </c>
      <c r="CE301" t="s">
        <v>4251</v>
      </c>
      <c r="CF301" t="s">
        <v>1577</v>
      </c>
      <c r="CG301" t="s">
        <v>907</v>
      </c>
      <c r="CH301">
        <v>30</v>
      </c>
      <c r="CI301" t="s">
        <v>84</v>
      </c>
      <c r="CJ301" t="s">
        <v>405</v>
      </c>
      <c r="CK301" t="s">
        <v>113</v>
      </c>
      <c r="CL301" t="s">
        <v>4262</v>
      </c>
      <c r="CM301" t="s">
        <v>162</v>
      </c>
      <c r="CN301" t="s">
        <v>3874</v>
      </c>
      <c r="CO301" t="s">
        <v>95</v>
      </c>
      <c r="CP301" t="s">
        <v>907</v>
      </c>
      <c r="CQ301" t="s">
        <v>116</v>
      </c>
      <c r="CR301" t="s">
        <v>95</v>
      </c>
      <c r="CS301" t="s">
        <v>907</v>
      </c>
      <c r="CT301" t="s">
        <v>907</v>
      </c>
      <c r="CU301" t="s">
        <v>907</v>
      </c>
      <c r="CV301" t="s">
        <v>812</v>
      </c>
      <c r="CW301" t="s">
        <v>907</v>
      </c>
      <c r="CX301" t="s">
        <v>166</v>
      </c>
      <c r="CY301" t="s">
        <v>167</v>
      </c>
      <c r="CZ301" t="s">
        <v>2934</v>
      </c>
      <c r="DA301">
        <v>6</v>
      </c>
      <c r="DB301" s="10">
        <v>37500</v>
      </c>
      <c r="DC301" t="s">
        <v>169</v>
      </c>
      <c r="DD301" t="s">
        <v>907</v>
      </c>
      <c r="DE301">
        <v>4</v>
      </c>
      <c r="DF301">
        <v>25</v>
      </c>
      <c r="DG301" t="s">
        <v>84</v>
      </c>
      <c r="DH301" t="s">
        <v>95</v>
      </c>
      <c r="DI301" t="s">
        <v>907</v>
      </c>
      <c r="DJ301" t="s">
        <v>907</v>
      </c>
      <c r="DK301" t="s">
        <v>907</v>
      </c>
      <c r="DL301" t="s">
        <v>907</v>
      </c>
      <c r="DM301" t="s">
        <v>291</v>
      </c>
      <c r="DN301" t="s">
        <v>907</v>
      </c>
      <c r="DO301" t="s">
        <v>907</v>
      </c>
      <c r="DP301">
        <v>2</v>
      </c>
      <c r="DQ301" t="s">
        <v>441</v>
      </c>
      <c r="DR301" t="s">
        <v>907</v>
      </c>
      <c r="DS301" t="s">
        <v>2935</v>
      </c>
      <c r="DT301" t="s">
        <v>552</v>
      </c>
      <c r="DU301" t="s">
        <v>95</v>
      </c>
      <c r="DV301" t="s">
        <v>907</v>
      </c>
      <c r="DW301" t="s">
        <v>907</v>
      </c>
      <c r="DX301" t="s">
        <v>907</v>
      </c>
      <c r="FQ301">
        <v>567443397</v>
      </c>
      <c r="FR301" t="s">
        <v>2936</v>
      </c>
      <c r="FS301" s="1">
        <v>45926.568240740737</v>
      </c>
      <c r="FV301" t="s">
        <v>134</v>
      </c>
      <c r="FW301" t="s">
        <v>135</v>
      </c>
      <c r="FX301" t="s">
        <v>136</v>
      </c>
      <c r="FZ301">
        <v>418</v>
      </c>
    </row>
    <row r="302" spans="1:182" hidden="1" x14ac:dyDescent="0.3">
      <c r="A302" s="1">
        <v>45926.427863761572</v>
      </c>
      <c r="B302" s="1">
        <v>45926.467497002312</v>
      </c>
      <c r="D302" t="s">
        <v>84</v>
      </c>
      <c r="E302" t="s">
        <v>798</v>
      </c>
      <c r="F302" t="s">
        <v>2698</v>
      </c>
      <c r="G302" t="s">
        <v>176</v>
      </c>
      <c r="H302" t="s">
        <v>4122</v>
      </c>
      <c r="I302" t="s">
        <v>2699</v>
      </c>
      <c r="J302" t="s">
        <v>2700</v>
      </c>
      <c r="K302" t="s">
        <v>90</v>
      </c>
      <c r="L302" t="s">
        <v>2701</v>
      </c>
      <c r="M302" t="s">
        <v>2702</v>
      </c>
      <c r="N302" t="s">
        <v>2703</v>
      </c>
      <c r="O302">
        <v>-15.196853300000001</v>
      </c>
      <c r="P302">
        <v>22.953692199999999</v>
      </c>
      <c r="Q302">
        <v>1043.2529296875</v>
      </c>
      <c r="R302">
        <v>4.7409999999999997</v>
      </c>
      <c r="S302" t="s">
        <v>84</v>
      </c>
      <c r="T302" t="s">
        <v>182</v>
      </c>
      <c r="U302">
        <v>3</v>
      </c>
      <c r="V302" t="s">
        <v>212</v>
      </c>
      <c r="W302" t="s">
        <v>2704</v>
      </c>
      <c r="X302">
        <v>35</v>
      </c>
      <c r="Y302">
        <v>5</v>
      </c>
      <c r="Z302">
        <v>5</v>
      </c>
      <c r="AA302" t="s">
        <v>96</v>
      </c>
      <c r="AB302" t="s">
        <v>97</v>
      </c>
      <c r="AC302" t="s">
        <v>98</v>
      </c>
      <c r="AD302" t="s">
        <v>280</v>
      </c>
      <c r="AE302" t="s">
        <v>304</v>
      </c>
      <c r="AF302" t="s">
        <v>907</v>
      </c>
      <c r="AG302">
        <v>2916</v>
      </c>
      <c r="AH302" t="s">
        <v>123</v>
      </c>
      <c r="AI302" t="s">
        <v>4015</v>
      </c>
      <c r="AJ302" s="5">
        <v>2500</v>
      </c>
      <c r="AK302" t="s">
        <v>148</v>
      </c>
      <c r="AL302" t="s">
        <v>907</v>
      </c>
      <c r="AM302" t="s">
        <v>2705</v>
      </c>
      <c r="AN302" t="s">
        <v>1342</v>
      </c>
      <c r="AO302" t="s">
        <v>2706</v>
      </c>
      <c r="AP302" t="s">
        <v>2707</v>
      </c>
      <c r="AQ302" t="s">
        <v>2708</v>
      </c>
      <c r="AR302" t="s">
        <v>84</v>
      </c>
      <c r="AS302">
        <v>0</v>
      </c>
      <c r="AT302">
        <v>0</v>
      </c>
      <c r="AU302">
        <v>0</v>
      </c>
      <c r="AV302">
        <v>50</v>
      </c>
      <c r="AW302">
        <v>50</v>
      </c>
      <c r="AX302">
        <v>0</v>
      </c>
      <c r="AY302">
        <v>0</v>
      </c>
      <c r="AZ302" t="s">
        <v>1003</v>
      </c>
      <c r="BA302" t="s">
        <v>1065</v>
      </c>
      <c r="BB302" t="s">
        <v>154</v>
      </c>
      <c r="BC302" t="s">
        <v>907</v>
      </c>
      <c r="BD302" t="s">
        <v>257</v>
      </c>
      <c r="BE302" t="s">
        <v>258</v>
      </c>
      <c r="BF302" t="s">
        <v>4010</v>
      </c>
      <c r="BG302" t="s">
        <v>109</v>
      </c>
      <c r="BH302">
        <v>70</v>
      </c>
      <c r="BL302">
        <v>35</v>
      </c>
      <c r="BN302">
        <v>2</v>
      </c>
      <c r="BP302">
        <v>15</v>
      </c>
      <c r="BR302">
        <v>5</v>
      </c>
      <c r="BT302">
        <v>10</v>
      </c>
      <c r="BV302">
        <v>0</v>
      </c>
      <c r="BX302">
        <v>10</v>
      </c>
      <c r="BY302" t="s">
        <v>189</v>
      </c>
      <c r="BZ302">
        <v>3</v>
      </c>
      <c r="CA302">
        <v>20</v>
      </c>
      <c r="CB302" t="s">
        <v>84</v>
      </c>
      <c r="CC302" t="s">
        <v>84</v>
      </c>
      <c r="CD302" t="s">
        <v>2709</v>
      </c>
      <c r="CE302" t="s">
        <v>4250</v>
      </c>
      <c r="CF302" t="s">
        <v>4016</v>
      </c>
      <c r="CG302" t="s">
        <v>907</v>
      </c>
      <c r="CH302">
        <v>32</v>
      </c>
      <c r="CI302" t="s">
        <v>84</v>
      </c>
      <c r="CJ302" t="s">
        <v>160</v>
      </c>
      <c r="CK302" t="s">
        <v>289</v>
      </c>
      <c r="CL302" t="s">
        <v>263</v>
      </c>
      <c r="CM302" t="s">
        <v>162</v>
      </c>
      <c r="CN302" t="s">
        <v>3874</v>
      </c>
      <c r="CO302" t="s">
        <v>95</v>
      </c>
      <c r="CP302" t="s">
        <v>907</v>
      </c>
      <c r="CQ302" t="s">
        <v>116</v>
      </c>
      <c r="CR302" t="s">
        <v>95</v>
      </c>
      <c r="CS302" t="s">
        <v>907</v>
      </c>
      <c r="CT302" t="s">
        <v>907</v>
      </c>
      <c r="CU302" t="s">
        <v>907</v>
      </c>
      <c r="CV302" t="s">
        <v>812</v>
      </c>
      <c r="CW302" t="s">
        <v>559</v>
      </c>
      <c r="CX302" t="s">
        <v>166</v>
      </c>
      <c r="CY302" t="s">
        <v>167</v>
      </c>
      <c r="CZ302" t="s">
        <v>550</v>
      </c>
      <c r="DA302">
        <v>0</v>
      </c>
      <c r="DB302" s="10">
        <v>0</v>
      </c>
      <c r="DC302" t="s">
        <v>169</v>
      </c>
      <c r="DD302" t="s">
        <v>907</v>
      </c>
      <c r="DE302">
        <v>1</v>
      </c>
      <c r="DF302">
        <v>25</v>
      </c>
      <c r="DG302" t="s">
        <v>84</v>
      </c>
      <c r="DH302" t="s">
        <v>95</v>
      </c>
      <c r="DI302" t="s">
        <v>907</v>
      </c>
      <c r="DJ302" t="s">
        <v>907</v>
      </c>
      <c r="DK302" t="s">
        <v>907</v>
      </c>
      <c r="DL302" t="s">
        <v>907</v>
      </c>
      <c r="DM302" t="s">
        <v>291</v>
      </c>
      <c r="DN302" t="s">
        <v>907</v>
      </c>
      <c r="DO302" t="s">
        <v>907</v>
      </c>
      <c r="DP302">
        <v>3</v>
      </c>
      <c r="DQ302" t="s">
        <v>128</v>
      </c>
      <c r="DR302" t="s">
        <v>907</v>
      </c>
      <c r="DS302" t="s">
        <v>1330</v>
      </c>
      <c r="DT302" t="s">
        <v>2672</v>
      </c>
      <c r="DU302" t="s">
        <v>84</v>
      </c>
      <c r="DV302" t="s">
        <v>294</v>
      </c>
      <c r="DW302" t="s">
        <v>1979</v>
      </c>
      <c r="DX302" t="s">
        <v>95</v>
      </c>
      <c r="FQ302">
        <v>567388742</v>
      </c>
      <c r="FR302" t="s">
        <v>2710</v>
      </c>
      <c r="FS302" s="1">
        <v>45926.519074074073</v>
      </c>
      <c r="FV302" t="s">
        <v>134</v>
      </c>
      <c r="FW302" t="s">
        <v>135</v>
      </c>
      <c r="FX302" t="s">
        <v>136</v>
      </c>
      <c r="FZ302">
        <v>393</v>
      </c>
    </row>
    <row r="303" spans="1:182" x14ac:dyDescent="0.3">
      <c r="A303" s="1">
        <v>45929.428308298608</v>
      </c>
      <c r="B303" s="1">
        <v>45930.282928842593</v>
      </c>
      <c r="D303" t="s">
        <v>84</v>
      </c>
      <c r="E303" t="s">
        <v>3876</v>
      </c>
      <c r="F303" t="s">
        <v>3228</v>
      </c>
      <c r="G303" t="s">
        <v>176</v>
      </c>
      <c r="H303" t="s">
        <v>4122</v>
      </c>
      <c r="I303" t="s">
        <v>3229</v>
      </c>
      <c r="J303" t="s">
        <v>3230</v>
      </c>
      <c r="K303" t="s">
        <v>90</v>
      </c>
      <c r="L303" t="s">
        <v>3231</v>
      </c>
      <c r="M303" t="s">
        <v>414</v>
      </c>
      <c r="S303" t="s">
        <v>84</v>
      </c>
      <c r="T303" t="s">
        <v>94</v>
      </c>
      <c r="U303">
        <v>7</v>
      </c>
      <c r="V303" t="s">
        <v>95</v>
      </c>
      <c r="W303" t="s">
        <v>907</v>
      </c>
      <c r="X303">
        <v>20</v>
      </c>
      <c r="Y303">
        <v>4</v>
      </c>
      <c r="Z303">
        <v>4</v>
      </c>
      <c r="AA303" t="s">
        <v>504</v>
      </c>
      <c r="AB303" t="s">
        <v>351</v>
      </c>
      <c r="AC303" t="s">
        <v>144</v>
      </c>
      <c r="AD303" t="s">
        <v>280</v>
      </c>
      <c r="AE303" t="s">
        <v>304</v>
      </c>
      <c r="AF303" t="s">
        <v>907</v>
      </c>
      <c r="AG303">
        <v>7000</v>
      </c>
      <c r="AH303" t="s">
        <v>805</v>
      </c>
      <c r="AI303" t="s">
        <v>907</v>
      </c>
      <c r="AJ303" s="5">
        <v>10000</v>
      </c>
      <c r="AK303" t="s">
        <v>102</v>
      </c>
      <c r="AL303" t="s">
        <v>907</v>
      </c>
      <c r="AM303" t="s">
        <v>149</v>
      </c>
      <c r="AN303" t="s">
        <v>907</v>
      </c>
      <c r="AO303" t="s">
        <v>3232</v>
      </c>
      <c r="AP303" t="s">
        <v>267</v>
      </c>
      <c r="AQ303" t="s">
        <v>391</v>
      </c>
      <c r="AR303" t="s">
        <v>95</v>
      </c>
      <c r="AS303">
        <v>0</v>
      </c>
      <c r="AT303">
        <v>0</v>
      </c>
      <c r="AU303">
        <v>0</v>
      </c>
      <c r="AV303">
        <v>0</v>
      </c>
      <c r="AW303">
        <v>0</v>
      </c>
      <c r="AX303">
        <v>0</v>
      </c>
      <c r="AY303">
        <v>0</v>
      </c>
      <c r="AZ303" t="s">
        <v>1003</v>
      </c>
      <c r="BA303" t="s">
        <v>95</v>
      </c>
      <c r="BB303" t="s">
        <v>308</v>
      </c>
      <c r="BC303" t="s">
        <v>907</v>
      </c>
      <c r="BD303" t="s">
        <v>107</v>
      </c>
      <c r="BE303" t="s">
        <v>258</v>
      </c>
      <c r="BF303" t="s">
        <v>3233</v>
      </c>
      <c r="BG303" t="s">
        <v>156</v>
      </c>
      <c r="BH303">
        <v>80</v>
      </c>
      <c r="BL303">
        <v>30</v>
      </c>
      <c r="BN303">
        <v>1</v>
      </c>
      <c r="BP303">
        <v>10</v>
      </c>
      <c r="BR303">
        <v>10</v>
      </c>
      <c r="BT303">
        <v>14</v>
      </c>
      <c r="BV303">
        <v>0</v>
      </c>
      <c r="BX303">
        <v>15</v>
      </c>
      <c r="BY303" t="s">
        <v>110</v>
      </c>
      <c r="BZ303" t="s">
        <v>907</v>
      </c>
      <c r="CA303" t="s">
        <v>907</v>
      </c>
      <c r="CB303" t="s">
        <v>84</v>
      </c>
      <c r="CC303" t="s">
        <v>84</v>
      </c>
      <c r="CD303" t="s">
        <v>1901</v>
      </c>
      <c r="CE303" t="s">
        <v>4251</v>
      </c>
      <c r="CF303" t="s">
        <v>3234</v>
      </c>
      <c r="CG303" t="s">
        <v>907</v>
      </c>
      <c r="CH303">
        <v>32</v>
      </c>
      <c r="CI303" t="s">
        <v>95</v>
      </c>
      <c r="CJ303" t="s">
        <v>907</v>
      </c>
      <c r="CK303" t="s">
        <v>1005</v>
      </c>
      <c r="CL303" t="s">
        <v>3235</v>
      </c>
      <c r="CM303" t="s">
        <v>193</v>
      </c>
      <c r="CN303" t="s">
        <v>3874</v>
      </c>
      <c r="CO303" t="s">
        <v>95</v>
      </c>
      <c r="CP303" t="s">
        <v>907</v>
      </c>
      <c r="CQ303" t="s">
        <v>116</v>
      </c>
      <c r="CR303" t="s">
        <v>95</v>
      </c>
      <c r="CS303" t="s">
        <v>907</v>
      </c>
      <c r="CT303" t="s">
        <v>907</v>
      </c>
      <c r="CU303" t="s">
        <v>907</v>
      </c>
      <c r="CV303" t="s">
        <v>812</v>
      </c>
      <c r="CW303" t="s">
        <v>3236</v>
      </c>
      <c r="CX303" t="s">
        <v>166</v>
      </c>
      <c r="CY303" t="s">
        <v>167</v>
      </c>
      <c r="CZ303" t="s">
        <v>495</v>
      </c>
      <c r="DA303">
        <v>15</v>
      </c>
      <c r="DB303" s="10">
        <v>95000</v>
      </c>
      <c r="DC303" t="s">
        <v>169</v>
      </c>
      <c r="DD303" t="s">
        <v>907</v>
      </c>
      <c r="DE303">
        <v>4</v>
      </c>
      <c r="DF303">
        <v>20</v>
      </c>
      <c r="DG303" t="s">
        <v>95</v>
      </c>
      <c r="DH303" t="s">
        <v>95</v>
      </c>
      <c r="DI303" t="s">
        <v>907</v>
      </c>
      <c r="DJ303" t="s">
        <v>907</v>
      </c>
      <c r="DK303" t="s">
        <v>907</v>
      </c>
      <c r="DL303" t="s">
        <v>907</v>
      </c>
      <c r="DM303" t="s">
        <v>291</v>
      </c>
      <c r="DN303" t="s">
        <v>907</v>
      </c>
      <c r="DO303" t="s">
        <v>907</v>
      </c>
      <c r="DP303">
        <v>1</v>
      </c>
      <c r="DQ303" t="s">
        <v>441</v>
      </c>
      <c r="DR303" t="s">
        <v>907</v>
      </c>
      <c r="DS303" t="s">
        <v>172</v>
      </c>
      <c r="DT303" t="s">
        <v>3237</v>
      </c>
      <c r="DU303" t="s">
        <v>84</v>
      </c>
      <c r="DV303" t="s">
        <v>294</v>
      </c>
      <c r="DW303" t="s">
        <v>132</v>
      </c>
      <c r="DX303" t="s">
        <v>95</v>
      </c>
      <c r="FQ303">
        <v>569746335</v>
      </c>
      <c r="FR303" t="s">
        <v>3238</v>
      </c>
      <c r="FS303" s="1">
        <v>45930.200173611112</v>
      </c>
      <c r="FV303" t="s">
        <v>134</v>
      </c>
      <c r="FW303" t="s">
        <v>135</v>
      </c>
      <c r="FX303" t="s">
        <v>136</v>
      </c>
      <c r="FZ303">
        <v>521</v>
      </c>
    </row>
    <row r="304" spans="1:182" hidden="1" x14ac:dyDescent="0.3">
      <c r="A304" s="1">
        <v>45923.362853240738</v>
      </c>
      <c r="B304" s="1">
        <v>45923.399704849537</v>
      </c>
      <c r="D304" t="s">
        <v>84</v>
      </c>
      <c r="E304" t="s">
        <v>245</v>
      </c>
      <c r="F304" t="s">
        <v>246</v>
      </c>
      <c r="G304" t="s">
        <v>176</v>
      </c>
      <c r="H304" t="s">
        <v>4121</v>
      </c>
      <c r="I304" t="s">
        <v>247</v>
      </c>
      <c r="J304" t="s">
        <v>248</v>
      </c>
      <c r="K304" t="s">
        <v>90</v>
      </c>
      <c r="L304" t="s">
        <v>249</v>
      </c>
      <c r="M304" t="s">
        <v>141</v>
      </c>
      <c r="N304" t="s">
        <v>250</v>
      </c>
      <c r="O304">
        <v>-15.440671699999999</v>
      </c>
      <c r="P304">
        <v>23.21725</v>
      </c>
      <c r="Q304">
        <v>965.5</v>
      </c>
      <c r="R304">
        <v>13.18</v>
      </c>
      <c r="S304" t="s">
        <v>84</v>
      </c>
      <c r="T304" t="s">
        <v>182</v>
      </c>
      <c r="U304">
        <v>4</v>
      </c>
      <c r="V304" t="s">
        <v>95</v>
      </c>
      <c r="W304" t="s">
        <v>907</v>
      </c>
      <c r="X304">
        <v>15</v>
      </c>
      <c r="Y304">
        <v>4</v>
      </c>
      <c r="Z304">
        <v>4</v>
      </c>
      <c r="AA304" t="s">
        <v>251</v>
      </c>
      <c r="AB304" t="s">
        <v>97</v>
      </c>
      <c r="AC304" t="s">
        <v>98</v>
      </c>
      <c r="AD304" t="s">
        <v>252</v>
      </c>
      <c r="AE304" t="s">
        <v>100</v>
      </c>
      <c r="AF304" t="s">
        <v>907</v>
      </c>
      <c r="AG304">
        <v>40000</v>
      </c>
      <c r="AH304" t="s">
        <v>3873</v>
      </c>
      <c r="AI304" t="s">
        <v>907</v>
      </c>
      <c r="AJ304" t="s">
        <v>907</v>
      </c>
      <c r="AK304" t="s">
        <v>102</v>
      </c>
      <c r="AL304" t="s">
        <v>907</v>
      </c>
      <c r="AM304" t="s">
        <v>253</v>
      </c>
      <c r="AN304" t="s">
        <v>907</v>
      </c>
      <c r="AO304" t="s">
        <v>254</v>
      </c>
      <c r="AP304" t="s">
        <v>255</v>
      </c>
      <c r="AQ304" t="s">
        <v>253</v>
      </c>
      <c r="AR304" t="s">
        <v>95</v>
      </c>
      <c r="AS304">
        <v>0</v>
      </c>
      <c r="AT304">
        <v>23</v>
      </c>
      <c r="AU304">
        <v>0</v>
      </c>
      <c r="AV304">
        <v>0</v>
      </c>
      <c r="AW304">
        <v>10</v>
      </c>
      <c r="AX304">
        <v>0</v>
      </c>
      <c r="AY304">
        <v>0</v>
      </c>
      <c r="AZ304" t="s">
        <v>256</v>
      </c>
      <c r="BA304" t="s">
        <v>95</v>
      </c>
      <c r="BB304" t="s">
        <v>154</v>
      </c>
      <c r="BC304" t="s">
        <v>907</v>
      </c>
      <c r="BD304" t="s">
        <v>257</v>
      </c>
      <c r="BE304" t="s">
        <v>258</v>
      </c>
      <c r="BF304" t="s">
        <v>259</v>
      </c>
      <c r="BG304" t="s">
        <v>235</v>
      </c>
      <c r="BH304">
        <v>64</v>
      </c>
      <c r="BL304">
        <v>9</v>
      </c>
      <c r="BN304">
        <v>2</v>
      </c>
      <c r="BP304">
        <v>29</v>
      </c>
      <c r="BR304">
        <v>8</v>
      </c>
      <c r="BT304">
        <v>8</v>
      </c>
      <c r="BV304">
        <v>8</v>
      </c>
      <c r="BX304">
        <v>9</v>
      </c>
      <c r="BY304" t="s">
        <v>189</v>
      </c>
      <c r="BZ304">
        <v>1</v>
      </c>
      <c r="CA304">
        <v>11</v>
      </c>
      <c r="CB304" t="s">
        <v>84</v>
      </c>
      <c r="CC304" t="s">
        <v>84</v>
      </c>
      <c r="CD304" t="s">
        <v>260</v>
      </c>
      <c r="CE304" t="s">
        <v>4251</v>
      </c>
      <c r="CF304" t="s">
        <v>261</v>
      </c>
      <c r="CG304" t="s">
        <v>907</v>
      </c>
      <c r="CH304">
        <v>34</v>
      </c>
      <c r="CI304" t="s">
        <v>84</v>
      </c>
      <c r="CJ304" t="s">
        <v>262</v>
      </c>
      <c r="CK304" t="s">
        <v>113</v>
      </c>
      <c r="CL304" t="s">
        <v>263</v>
      </c>
      <c r="CM304" t="s">
        <v>193</v>
      </c>
      <c r="CN304" t="s">
        <v>3874</v>
      </c>
      <c r="CO304" t="s">
        <v>95</v>
      </c>
      <c r="CP304" t="s">
        <v>907</v>
      </c>
      <c r="CQ304" t="s">
        <v>116</v>
      </c>
      <c r="CR304" t="s">
        <v>84</v>
      </c>
      <c r="CS304" t="s">
        <v>117</v>
      </c>
      <c r="CT304" t="s">
        <v>264</v>
      </c>
      <c r="CU304" t="s">
        <v>3869</v>
      </c>
      <c r="CV304" t="s">
        <v>119</v>
      </c>
      <c r="CW304" t="s">
        <v>265</v>
      </c>
      <c r="CX304" t="s">
        <v>166</v>
      </c>
      <c r="CY304" t="s">
        <v>167</v>
      </c>
      <c r="CZ304" t="s">
        <v>266</v>
      </c>
      <c r="DA304">
        <v>0</v>
      </c>
      <c r="DB304" s="10">
        <v>0</v>
      </c>
      <c r="DC304" t="s">
        <v>169</v>
      </c>
      <c r="DD304" t="s">
        <v>907</v>
      </c>
      <c r="DE304">
        <v>1</v>
      </c>
      <c r="DF304">
        <v>50</v>
      </c>
      <c r="DG304" t="s">
        <v>95</v>
      </c>
      <c r="DH304" t="s">
        <v>95</v>
      </c>
      <c r="DI304" t="s">
        <v>907</v>
      </c>
      <c r="DJ304" t="s">
        <v>907</v>
      </c>
      <c r="DK304" t="s">
        <v>907</v>
      </c>
      <c r="DL304" t="s">
        <v>907</v>
      </c>
      <c r="DM304" t="s">
        <v>125</v>
      </c>
      <c r="DN304" t="s">
        <v>268</v>
      </c>
      <c r="DO304" t="s">
        <v>269</v>
      </c>
      <c r="DP304">
        <v>6</v>
      </c>
      <c r="DQ304" t="s">
        <v>202</v>
      </c>
      <c r="DR304" t="s">
        <v>907</v>
      </c>
      <c r="DS304" t="s">
        <v>270</v>
      </c>
      <c r="DT304" t="s">
        <v>271</v>
      </c>
      <c r="DU304" t="s">
        <v>95</v>
      </c>
      <c r="DV304" t="s">
        <v>907</v>
      </c>
      <c r="DW304" t="s">
        <v>907</v>
      </c>
      <c r="DX304" t="s">
        <v>907</v>
      </c>
      <c r="FQ304">
        <v>565200871</v>
      </c>
      <c r="FR304" t="s">
        <v>272</v>
      </c>
      <c r="FS304" s="1">
        <v>45923.772974537038</v>
      </c>
      <c r="FV304" t="s">
        <v>134</v>
      </c>
      <c r="FW304" t="s">
        <v>135</v>
      </c>
      <c r="FX304" t="s">
        <v>136</v>
      </c>
      <c r="FZ304">
        <v>94</v>
      </c>
    </row>
    <row r="305" spans="1:182" hidden="1" x14ac:dyDescent="0.3">
      <c r="A305" s="1">
        <v>45929.461415578713</v>
      </c>
      <c r="B305" s="1">
        <v>45929.479104525461</v>
      </c>
      <c r="D305" t="s">
        <v>84</v>
      </c>
      <c r="E305" t="s">
        <v>297</v>
      </c>
      <c r="F305" t="s">
        <v>3349</v>
      </c>
      <c r="G305" t="s">
        <v>176</v>
      </c>
      <c r="H305" t="s">
        <v>4122</v>
      </c>
      <c r="I305" t="s">
        <v>3350</v>
      </c>
      <c r="J305" t="s">
        <v>3351</v>
      </c>
      <c r="K305" t="s">
        <v>90</v>
      </c>
      <c r="L305" t="s">
        <v>3352</v>
      </c>
      <c r="M305" t="s">
        <v>277</v>
      </c>
      <c r="N305" t="s">
        <v>3353</v>
      </c>
      <c r="O305">
        <v>-15.351257499999999</v>
      </c>
      <c r="P305">
        <v>23.068438100000002</v>
      </c>
      <c r="Q305">
        <v>1026.819213867188</v>
      </c>
      <c r="R305">
        <v>4.133</v>
      </c>
      <c r="S305" t="s">
        <v>84</v>
      </c>
      <c r="T305" t="s">
        <v>94</v>
      </c>
      <c r="U305">
        <v>6</v>
      </c>
      <c r="V305" t="s">
        <v>95</v>
      </c>
      <c r="W305" t="s">
        <v>907</v>
      </c>
      <c r="X305">
        <v>35</v>
      </c>
      <c r="Y305">
        <v>6</v>
      </c>
      <c r="Z305">
        <v>1</v>
      </c>
      <c r="AA305" t="s">
        <v>96</v>
      </c>
      <c r="AB305" t="s">
        <v>97</v>
      </c>
      <c r="AC305" t="s">
        <v>98</v>
      </c>
      <c r="AD305" t="s">
        <v>280</v>
      </c>
      <c r="AE305" t="s">
        <v>101</v>
      </c>
      <c r="AF305" t="s">
        <v>907</v>
      </c>
      <c r="AG305">
        <v>1000</v>
      </c>
      <c r="AH305" t="s">
        <v>3873</v>
      </c>
      <c r="AI305" t="s">
        <v>907</v>
      </c>
      <c r="AJ305" t="s">
        <v>907</v>
      </c>
      <c r="AK305" t="s">
        <v>102</v>
      </c>
      <c r="AL305" t="s">
        <v>907</v>
      </c>
      <c r="AM305" t="s">
        <v>4130</v>
      </c>
      <c r="AN305" t="s">
        <v>907</v>
      </c>
      <c r="AQ305" t="s">
        <v>466</v>
      </c>
      <c r="AR305" t="s">
        <v>95</v>
      </c>
      <c r="AS305">
        <v>0</v>
      </c>
      <c r="AT305">
        <v>0</v>
      </c>
      <c r="AU305">
        <v>0</v>
      </c>
      <c r="AV305">
        <v>0</v>
      </c>
      <c r="AW305">
        <v>0</v>
      </c>
      <c r="AX305">
        <v>0</v>
      </c>
      <c r="AY305">
        <v>0</v>
      </c>
      <c r="AZ305" t="s">
        <v>284</v>
      </c>
      <c r="BA305" t="s">
        <v>95</v>
      </c>
      <c r="BB305" t="s">
        <v>3866</v>
      </c>
      <c r="BC305" t="s">
        <v>907</v>
      </c>
      <c r="BD305" t="s">
        <v>107</v>
      </c>
      <c r="BE305" t="s">
        <v>363</v>
      </c>
      <c r="BF305" t="s">
        <v>4063</v>
      </c>
      <c r="BG305" t="s">
        <v>235</v>
      </c>
      <c r="BH305">
        <v>48</v>
      </c>
      <c r="BL305">
        <v>20</v>
      </c>
      <c r="BN305">
        <v>2</v>
      </c>
      <c r="BP305">
        <v>6</v>
      </c>
      <c r="BR305">
        <v>4</v>
      </c>
      <c r="BT305">
        <v>2</v>
      </c>
      <c r="BV305">
        <v>2</v>
      </c>
      <c r="BX305">
        <v>12</v>
      </c>
      <c r="BY305" t="s">
        <v>189</v>
      </c>
      <c r="BZ305">
        <v>1</v>
      </c>
      <c r="CA305">
        <v>1</v>
      </c>
      <c r="CB305" t="s">
        <v>84</v>
      </c>
      <c r="CC305" t="s">
        <v>84</v>
      </c>
      <c r="CD305" t="s">
        <v>3354</v>
      </c>
      <c r="CE305" t="s">
        <v>4250</v>
      </c>
      <c r="CF305" t="s">
        <v>3204</v>
      </c>
      <c r="CG305" t="s">
        <v>907</v>
      </c>
      <c r="CH305">
        <v>2</v>
      </c>
      <c r="CI305" t="s">
        <v>84</v>
      </c>
      <c r="CJ305" t="s">
        <v>262</v>
      </c>
      <c r="CK305" t="s">
        <v>289</v>
      </c>
      <c r="CL305" t="s">
        <v>3355</v>
      </c>
      <c r="CM305" t="s">
        <v>193</v>
      </c>
      <c r="CN305" t="s">
        <v>381</v>
      </c>
      <c r="CO305" t="s">
        <v>95</v>
      </c>
      <c r="CP305" t="s">
        <v>907</v>
      </c>
      <c r="CQ305" t="s">
        <v>116</v>
      </c>
      <c r="CR305" t="s">
        <v>84</v>
      </c>
      <c r="CS305" t="s">
        <v>117</v>
      </c>
      <c r="CT305" t="s">
        <v>163</v>
      </c>
      <c r="CU305" t="s">
        <v>3869</v>
      </c>
      <c r="CV305" t="s">
        <v>812</v>
      </c>
      <c r="CW305" t="s">
        <v>907</v>
      </c>
      <c r="CX305" t="s">
        <v>166</v>
      </c>
      <c r="CY305" t="s">
        <v>167</v>
      </c>
      <c r="CZ305" t="s">
        <v>530</v>
      </c>
      <c r="DA305">
        <v>2</v>
      </c>
      <c r="DB305" s="10">
        <v>15000</v>
      </c>
      <c r="DC305" t="s">
        <v>169</v>
      </c>
      <c r="DD305" t="s">
        <v>907</v>
      </c>
      <c r="DE305">
        <v>2</v>
      </c>
      <c r="DF305">
        <v>15</v>
      </c>
      <c r="DG305" t="s">
        <v>95</v>
      </c>
      <c r="DH305" t="s">
        <v>95</v>
      </c>
      <c r="DI305" t="s">
        <v>907</v>
      </c>
      <c r="DJ305" t="s">
        <v>907</v>
      </c>
      <c r="DK305" t="s">
        <v>907</v>
      </c>
      <c r="DL305" t="s">
        <v>907</v>
      </c>
      <c r="DM305" t="s">
        <v>291</v>
      </c>
      <c r="DN305" t="s">
        <v>907</v>
      </c>
      <c r="DO305" t="s">
        <v>907</v>
      </c>
      <c r="DP305">
        <v>40</v>
      </c>
      <c r="DQ305" t="s">
        <v>441</v>
      </c>
      <c r="DR305" t="s">
        <v>907</v>
      </c>
      <c r="DS305" t="s">
        <v>3207</v>
      </c>
      <c r="DT305" t="s">
        <v>1437</v>
      </c>
      <c r="DU305" t="s">
        <v>95</v>
      </c>
      <c r="DV305" t="s">
        <v>907</v>
      </c>
      <c r="DW305" t="s">
        <v>907</v>
      </c>
      <c r="DX305" t="s">
        <v>907</v>
      </c>
      <c r="FQ305">
        <v>569761198</v>
      </c>
      <c r="FR305" t="s">
        <v>3356</v>
      </c>
      <c r="FS305" s="1">
        <v>45930.229085648149</v>
      </c>
      <c r="FV305" t="s">
        <v>134</v>
      </c>
      <c r="FW305" t="s">
        <v>135</v>
      </c>
      <c r="FX305" t="s">
        <v>136</v>
      </c>
      <c r="FZ305">
        <v>535</v>
      </c>
    </row>
    <row r="306" spans="1:182" hidden="1" x14ac:dyDescent="0.3">
      <c r="A306" s="1">
        <v>45930.435053553243</v>
      </c>
      <c r="B306" s="1">
        <v>45930.933312534733</v>
      </c>
      <c r="D306" t="s">
        <v>84</v>
      </c>
      <c r="E306" t="s">
        <v>3876</v>
      </c>
      <c r="F306" t="s">
        <v>3698</v>
      </c>
      <c r="G306" t="s">
        <v>176</v>
      </c>
      <c r="H306" t="s">
        <v>4122</v>
      </c>
      <c r="I306" t="s">
        <v>3699</v>
      </c>
      <c r="J306" t="s">
        <v>3700</v>
      </c>
      <c r="K306" t="s">
        <v>90</v>
      </c>
      <c r="L306" t="s">
        <v>3701</v>
      </c>
      <c r="M306" t="s">
        <v>3702</v>
      </c>
      <c r="S306" t="s">
        <v>84</v>
      </c>
      <c r="T306" t="s">
        <v>94</v>
      </c>
      <c r="U306">
        <v>2</v>
      </c>
      <c r="V306" t="s">
        <v>95</v>
      </c>
      <c r="W306" t="s">
        <v>907</v>
      </c>
      <c r="X306">
        <v>15</v>
      </c>
      <c r="Y306">
        <v>2</v>
      </c>
      <c r="Z306">
        <v>2</v>
      </c>
      <c r="AA306" t="s">
        <v>504</v>
      </c>
      <c r="AB306" t="s">
        <v>97</v>
      </c>
      <c r="AC306" t="s">
        <v>98</v>
      </c>
      <c r="AD306" t="s">
        <v>252</v>
      </c>
      <c r="AE306" t="s">
        <v>304</v>
      </c>
      <c r="AF306" t="s">
        <v>907</v>
      </c>
      <c r="AG306">
        <v>1000</v>
      </c>
      <c r="AH306" t="s">
        <v>100</v>
      </c>
      <c r="AI306" t="s">
        <v>907</v>
      </c>
      <c r="AJ306" s="5">
        <v>3000</v>
      </c>
      <c r="AK306" t="s">
        <v>102</v>
      </c>
      <c r="AL306" t="s">
        <v>907</v>
      </c>
      <c r="AM306" t="s">
        <v>3223</v>
      </c>
      <c r="AN306" t="s">
        <v>907</v>
      </c>
      <c r="AO306" t="s">
        <v>267</v>
      </c>
      <c r="AP306" t="s">
        <v>3703</v>
      </c>
      <c r="AQ306" t="s">
        <v>3704</v>
      </c>
      <c r="AR306" t="s">
        <v>84</v>
      </c>
      <c r="AS306">
        <v>0</v>
      </c>
      <c r="AT306">
        <v>0</v>
      </c>
      <c r="AU306">
        <v>0</v>
      </c>
      <c r="AV306">
        <v>0</v>
      </c>
      <c r="AW306">
        <v>0</v>
      </c>
      <c r="AX306">
        <v>0</v>
      </c>
      <c r="AY306">
        <v>0</v>
      </c>
      <c r="AZ306" t="s">
        <v>153</v>
      </c>
      <c r="BA306" t="s">
        <v>1313</v>
      </c>
      <c r="BB306" t="s">
        <v>308</v>
      </c>
      <c r="BC306" t="s">
        <v>907</v>
      </c>
      <c r="BD306" t="s">
        <v>107</v>
      </c>
      <c r="BE306" t="s">
        <v>258</v>
      </c>
      <c r="BF306" t="s">
        <v>2802</v>
      </c>
      <c r="BG306" t="s">
        <v>156</v>
      </c>
      <c r="BH306">
        <v>40</v>
      </c>
      <c r="BN306">
        <v>1</v>
      </c>
      <c r="BX306">
        <v>9</v>
      </c>
      <c r="BY306" t="s">
        <v>110</v>
      </c>
      <c r="BZ306" t="s">
        <v>907</v>
      </c>
      <c r="CA306" t="s">
        <v>907</v>
      </c>
      <c r="CB306" t="s">
        <v>84</v>
      </c>
      <c r="CC306" t="s">
        <v>84</v>
      </c>
      <c r="CD306" t="s">
        <v>1167</v>
      </c>
      <c r="CE306" t="s">
        <v>4251</v>
      </c>
      <c r="CF306" t="s">
        <v>979</v>
      </c>
      <c r="CG306" t="s">
        <v>907</v>
      </c>
      <c r="CH306">
        <v>40</v>
      </c>
      <c r="CI306" t="s">
        <v>84</v>
      </c>
      <c r="CJ306" t="s">
        <v>262</v>
      </c>
      <c r="CK306" t="s">
        <v>1005</v>
      </c>
      <c r="CL306" t="s">
        <v>895</v>
      </c>
      <c r="CM306" t="s">
        <v>162</v>
      </c>
      <c r="CN306" t="s">
        <v>3874</v>
      </c>
      <c r="CO306" t="s">
        <v>95</v>
      </c>
      <c r="CP306" t="s">
        <v>907</v>
      </c>
      <c r="CQ306" t="s">
        <v>116</v>
      </c>
      <c r="CR306" t="s">
        <v>95</v>
      </c>
      <c r="CS306" t="s">
        <v>907</v>
      </c>
      <c r="CT306" t="s">
        <v>907</v>
      </c>
      <c r="CU306" t="s">
        <v>907</v>
      </c>
      <c r="CV306" t="s">
        <v>812</v>
      </c>
      <c r="CW306" t="s">
        <v>1622</v>
      </c>
      <c r="CX306" t="s">
        <v>166</v>
      </c>
      <c r="CY306" t="s">
        <v>167</v>
      </c>
      <c r="CZ306" t="s">
        <v>2232</v>
      </c>
      <c r="DA306">
        <v>1</v>
      </c>
      <c r="DB306" s="10">
        <v>7000</v>
      </c>
      <c r="DC306" t="s">
        <v>169</v>
      </c>
      <c r="DD306" t="s">
        <v>907</v>
      </c>
      <c r="DE306">
        <v>2</v>
      </c>
      <c r="DF306">
        <v>35</v>
      </c>
      <c r="DG306" t="s">
        <v>95</v>
      </c>
      <c r="DH306" t="s">
        <v>95</v>
      </c>
      <c r="DI306" t="s">
        <v>907</v>
      </c>
      <c r="DJ306" t="s">
        <v>907</v>
      </c>
      <c r="DK306" t="s">
        <v>907</v>
      </c>
      <c r="DL306" t="s">
        <v>907</v>
      </c>
      <c r="DM306" t="s">
        <v>291</v>
      </c>
      <c r="DN306" t="s">
        <v>907</v>
      </c>
      <c r="DO306" t="s">
        <v>907</v>
      </c>
      <c r="DP306">
        <v>2</v>
      </c>
      <c r="DQ306" t="s">
        <v>441</v>
      </c>
      <c r="DR306" t="s">
        <v>907</v>
      </c>
      <c r="DS306" t="s">
        <v>3705</v>
      </c>
      <c r="DT306" t="s">
        <v>3706</v>
      </c>
      <c r="DU306" t="s">
        <v>95</v>
      </c>
      <c r="DV306" t="s">
        <v>907</v>
      </c>
      <c r="DW306" t="s">
        <v>907</v>
      </c>
      <c r="DX306" t="s">
        <v>907</v>
      </c>
      <c r="FQ306">
        <v>570408261</v>
      </c>
      <c r="FR306" t="s">
        <v>3707</v>
      </c>
      <c r="FS306" s="1">
        <v>45930.850219907406</v>
      </c>
      <c r="FV306" t="s">
        <v>134</v>
      </c>
      <c r="FW306" t="s">
        <v>135</v>
      </c>
      <c r="FX306" t="s">
        <v>136</v>
      </c>
      <c r="FZ306">
        <v>596</v>
      </c>
    </row>
    <row r="307" spans="1:182" hidden="1" x14ac:dyDescent="0.3">
      <c r="A307" s="1">
        <v>45925.391296215283</v>
      </c>
      <c r="B307" s="1">
        <v>45925.847733935188</v>
      </c>
      <c r="D307" t="s">
        <v>84</v>
      </c>
      <c r="E307" t="s">
        <v>85</v>
      </c>
      <c r="F307" t="s">
        <v>2366</v>
      </c>
      <c r="G307" t="s">
        <v>176</v>
      </c>
      <c r="H307" t="s">
        <v>4122</v>
      </c>
      <c r="I307" t="s">
        <v>2367</v>
      </c>
      <c r="J307" t="s">
        <v>2368</v>
      </c>
      <c r="K307" t="s">
        <v>90</v>
      </c>
      <c r="L307" t="s">
        <v>2369</v>
      </c>
      <c r="M307" t="s">
        <v>141</v>
      </c>
      <c r="N307" t="s">
        <v>2370</v>
      </c>
      <c r="O307">
        <v>-15.385903000000001</v>
      </c>
      <c r="P307">
        <v>23.1849086</v>
      </c>
      <c r="Q307">
        <v>1040.48291015625</v>
      </c>
      <c r="R307">
        <v>7.915</v>
      </c>
      <c r="S307" t="s">
        <v>84</v>
      </c>
      <c r="T307" t="s">
        <v>182</v>
      </c>
      <c r="U307">
        <v>7</v>
      </c>
      <c r="V307" t="s">
        <v>302</v>
      </c>
      <c r="W307" t="s">
        <v>2371</v>
      </c>
      <c r="X307">
        <v>33</v>
      </c>
      <c r="Y307">
        <v>50</v>
      </c>
      <c r="Z307">
        <v>4</v>
      </c>
      <c r="AA307" t="s">
        <v>96</v>
      </c>
      <c r="AB307" t="s">
        <v>97</v>
      </c>
      <c r="AC307" t="s">
        <v>144</v>
      </c>
      <c r="AD307" t="s">
        <v>520</v>
      </c>
      <c r="AE307" t="s">
        <v>100</v>
      </c>
      <c r="AF307" t="s">
        <v>907</v>
      </c>
      <c r="AG307">
        <v>0</v>
      </c>
      <c r="AH307" t="s">
        <v>100</v>
      </c>
      <c r="AI307" t="s">
        <v>907</v>
      </c>
      <c r="AJ307" s="5">
        <v>0</v>
      </c>
      <c r="AK307" t="s">
        <v>102</v>
      </c>
      <c r="AL307" t="s">
        <v>907</v>
      </c>
      <c r="AM307" t="s">
        <v>543</v>
      </c>
      <c r="AN307" t="s">
        <v>907</v>
      </c>
      <c r="AO307">
        <v>0</v>
      </c>
      <c r="AP307" t="s">
        <v>2372</v>
      </c>
      <c r="AQ307" t="s">
        <v>543</v>
      </c>
      <c r="AR307" t="s">
        <v>95</v>
      </c>
      <c r="AS307">
        <v>0</v>
      </c>
      <c r="AT307">
        <v>0</v>
      </c>
      <c r="AU307">
        <v>0</v>
      </c>
      <c r="AV307">
        <v>15</v>
      </c>
      <c r="AW307">
        <v>67</v>
      </c>
      <c r="AX307">
        <v>0</v>
      </c>
      <c r="AY307">
        <v>0</v>
      </c>
      <c r="AZ307" t="s">
        <v>106</v>
      </c>
      <c r="BA307" t="s">
        <v>95</v>
      </c>
      <c r="BB307" t="s">
        <v>154</v>
      </c>
      <c r="BC307" t="s">
        <v>907</v>
      </c>
      <c r="BD307" t="s">
        <v>107</v>
      </c>
      <c r="BE307" t="s">
        <v>108</v>
      </c>
      <c r="BF307" t="s">
        <v>309</v>
      </c>
      <c r="BG307" t="s">
        <v>235</v>
      </c>
      <c r="BH307">
        <v>74</v>
      </c>
      <c r="BY307" t="s">
        <v>110</v>
      </c>
      <c r="BZ307" t="s">
        <v>907</v>
      </c>
      <c r="CA307" t="s">
        <v>907</v>
      </c>
      <c r="CB307" t="s">
        <v>84</v>
      </c>
      <c r="CC307" t="s">
        <v>84</v>
      </c>
      <c r="CD307" t="s">
        <v>2373</v>
      </c>
      <c r="CE307" t="s">
        <v>4250</v>
      </c>
      <c r="CF307" t="s">
        <v>2374</v>
      </c>
      <c r="CG307" t="s">
        <v>907</v>
      </c>
      <c r="CH307">
        <v>46</v>
      </c>
      <c r="CI307" t="s">
        <v>95</v>
      </c>
      <c r="CJ307" t="s">
        <v>907</v>
      </c>
      <c r="CK307" t="s">
        <v>289</v>
      </c>
      <c r="CL307" t="s">
        <v>4262</v>
      </c>
      <c r="CM307" t="s">
        <v>115</v>
      </c>
      <c r="CN307" t="s">
        <v>3886</v>
      </c>
      <c r="CO307" t="s">
        <v>95</v>
      </c>
      <c r="CP307" t="s">
        <v>907</v>
      </c>
      <c r="CQ307" t="s">
        <v>116</v>
      </c>
      <c r="CR307" t="s">
        <v>84</v>
      </c>
      <c r="CS307" t="s">
        <v>117</v>
      </c>
      <c r="CT307" t="s">
        <v>163</v>
      </c>
      <c r="CU307" t="s">
        <v>3869</v>
      </c>
      <c r="CV307" t="s">
        <v>119</v>
      </c>
      <c r="CW307" t="s">
        <v>265</v>
      </c>
      <c r="CX307" t="s">
        <v>166</v>
      </c>
      <c r="CY307" t="s">
        <v>549</v>
      </c>
      <c r="CZ307" t="s">
        <v>559</v>
      </c>
      <c r="DA307">
        <v>1</v>
      </c>
      <c r="DB307" s="10">
        <v>8000</v>
      </c>
      <c r="DC307" t="s">
        <v>169</v>
      </c>
      <c r="DD307" t="s">
        <v>907</v>
      </c>
      <c r="DE307">
        <v>3</v>
      </c>
      <c r="DF307">
        <v>15</v>
      </c>
      <c r="DG307" t="s">
        <v>84</v>
      </c>
      <c r="DH307" t="s">
        <v>95</v>
      </c>
      <c r="DI307" t="s">
        <v>907</v>
      </c>
      <c r="DJ307" t="s">
        <v>907</v>
      </c>
      <c r="DK307" t="s">
        <v>907</v>
      </c>
      <c r="DL307" t="s">
        <v>907</v>
      </c>
      <c r="DM307" t="s">
        <v>125</v>
      </c>
      <c r="DN307" t="s">
        <v>170</v>
      </c>
      <c r="DO307" t="s">
        <v>324</v>
      </c>
      <c r="DP307">
        <v>6</v>
      </c>
      <c r="DQ307" t="s">
        <v>128</v>
      </c>
      <c r="DR307" t="s">
        <v>907</v>
      </c>
      <c r="DS307" t="s">
        <v>716</v>
      </c>
      <c r="DT307" t="s">
        <v>2375</v>
      </c>
      <c r="DU307" t="s">
        <v>84</v>
      </c>
      <c r="DV307" t="s">
        <v>225</v>
      </c>
      <c r="DW307" t="s">
        <v>533</v>
      </c>
      <c r="DX307" t="s">
        <v>95</v>
      </c>
      <c r="FQ307">
        <v>566893238</v>
      </c>
      <c r="FR307" t="s">
        <v>2376</v>
      </c>
      <c r="FS307" s="1">
        <v>45925.765046296299</v>
      </c>
      <c r="FV307" t="s">
        <v>134</v>
      </c>
      <c r="FW307" t="s">
        <v>135</v>
      </c>
      <c r="FX307" t="s">
        <v>136</v>
      </c>
      <c r="FZ307">
        <v>330</v>
      </c>
    </row>
    <row r="308" spans="1:182" ht="86.4" x14ac:dyDescent="0.3">
      <c r="A308" s="1">
        <v>45924.394708263892</v>
      </c>
      <c r="B308" s="1">
        <v>45924.429642141207</v>
      </c>
      <c r="D308" t="s">
        <v>84</v>
      </c>
      <c r="E308" t="s">
        <v>245</v>
      </c>
      <c r="F308" t="s">
        <v>1425</v>
      </c>
      <c r="G308" t="s">
        <v>87</v>
      </c>
      <c r="H308" t="s">
        <v>4122</v>
      </c>
      <c r="I308" t="s">
        <v>1426</v>
      </c>
      <c r="J308" t="s">
        <v>1427</v>
      </c>
      <c r="K308" t="s">
        <v>90</v>
      </c>
      <c r="L308" t="s">
        <v>1428</v>
      </c>
      <c r="M308" t="s">
        <v>1429</v>
      </c>
      <c r="N308" t="s">
        <v>1430</v>
      </c>
      <c r="O308">
        <v>-15.3277283</v>
      </c>
      <c r="P308">
        <v>23.040099999999999</v>
      </c>
      <c r="Q308">
        <v>1027.2</v>
      </c>
      <c r="R308">
        <v>4.05</v>
      </c>
      <c r="S308" t="s">
        <v>84</v>
      </c>
      <c r="T308" t="s">
        <v>362</v>
      </c>
      <c r="U308">
        <v>2</v>
      </c>
      <c r="V308" t="s">
        <v>95</v>
      </c>
      <c r="W308" t="s">
        <v>907</v>
      </c>
      <c r="X308">
        <v>40</v>
      </c>
      <c r="Y308">
        <v>1</v>
      </c>
      <c r="Z308">
        <v>1</v>
      </c>
      <c r="AA308" t="s">
        <v>504</v>
      </c>
      <c r="AB308" t="s">
        <v>351</v>
      </c>
      <c r="AC308" t="s">
        <v>98</v>
      </c>
      <c r="AD308" t="s">
        <v>99</v>
      </c>
      <c r="AE308" t="s">
        <v>304</v>
      </c>
      <c r="AF308" t="s">
        <v>907</v>
      </c>
      <c r="AG308">
        <v>7000</v>
      </c>
      <c r="AH308" t="s">
        <v>3873</v>
      </c>
      <c r="AI308" t="s">
        <v>907</v>
      </c>
      <c r="AJ308" t="s">
        <v>907</v>
      </c>
      <c r="AK308" t="s">
        <v>102</v>
      </c>
      <c r="AL308" t="s">
        <v>907</v>
      </c>
      <c r="AM308" t="s">
        <v>4130</v>
      </c>
      <c r="AN308" t="s">
        <v>907</v>
      </c>
      <c r="AQ308" t="s">
        <v>1431</v>
      </c>
      <c r="AR308" t="s">
        <v>95</v>
      </c>
      <c r="AS308">
        <v>0</v>
      </c>
      <c r="AT308">
        <v>0</v>
      </c>
      <c r="AU308">
        <v>0</v>
      </c>
      <c r="AV308">
        <v>0</v>
      </c>
      <c r="AW308">
        <v>0</v>
      </c>
      <c r="AX308">
        <v>0</v>
      </c>
      <c r="AY308">
        <v>0</v>
      </c>
      <c r="AZ308" t="s">
        <v>284</v>
      </c>
      <c r="BA308" t="s">
        <v>95</v>
      </c>
      <c r="BB308" t="s">
        <v>308</v>
      </c>
      <c r="BC308" t="s">
        <v>907</v>
      </c>
      <c r="BD308" t="s">
        <v>107</v>
      </c>
      <c r="BE308" t="s">
        <v>810</v>
      </c>
      <c r="BF308" t="s">
        <v>1432</v>
      </c>
      <c r="BG308" t="s">
        <v>526</v>
      </c>
      <c r="BH308">
        <v>104</v>
      </c>
      <c r="BL308" t="s">
        <v>1433</v>
      </c>
      <c r="BN308" t="s">
        <v>1433</v>
      </c>
      <c r="BP308" t="s">
        <v>1433</v>
      </c>
      <c r="BR308" t="s">
        <v>1433</v>
      </c>
      <c r="BT308" t="s">
        <v>1433</v>
      </c>
      <c r="BV308" t="s">
        <v>1434</v>
      </c>
      <c r="BX308" t="s">
        <v>1434</v>
      </c>
      <c r="BY308" t="s">
        <v>110</v>
      </c>
      <c r="BZ308" t="s">
        <v>907</v>
      </c>
      <c r="CA308" t="s">
        <v>907</v>
      </c>
      <c r="CB308" t="s">
        <v>84</v>
      </c>
      <c r="CC308" t="s">
        <v>84</v>
      </c>
      <c r="CD308" t="s">
        <v>334</v>
      </c>
      <c r="CE308" t="s">
        <v>4251</v>
      </c>
      <c r="CF308" t="s">
        <v>3933</v>
      </c>
      <c r="CG308" t="s">
        <v>907</v>
      </c>
      <c r="CH308">
        <v>50</v>
      </c>
      <c r="CI308" t="s">
        <v>84</v>
      </c>
      <c r="CJ308" t="s">
        <v>262</v>
      </c>
      <c r="CK308" t="s">
        <v>113</v>
      </c>
      <c r="CL308" t="s">
        <v>1435</v>
      </c>
      <c r="CM308" t="s">
        <v>193</v>
      </c>
      <c r="CN308" t="s">
        <v>194</v>
      </c>
      <c r="CO308" t="s">
        <v>95</v>
      </c>
      <c r="CP308" t="s">
        <v>907</v>
      </c>
      <c r="CQ308" t="s">
        <v>116</v>
      </c>
      <c r="CR308" t="s">
        <v>84</v>
      </c>
      <c r="CS308" t="s">
        <v>117</v>
      </c>
      <c r="CT308" t="s">
        <v>264</v>
      </c>
      <c r="CU308" t="s">
        <v>438</v>
      </c>
      <c r="CV308" t="s">
        <v>812</v>
      </c>
      <c r="CW308" t="s">
        <v>907</v>
      </c>
      <c r="CX308" t="s">
        <v>166</v>
      </c>
      <c r="CY308" s="2" t="s">
        <v>4237</v>
      </c>
      <c r="CZ308" t="s">
        <v>1436</v>
      </c>
      <c r="DA308">
        <v>0</v>
      </c>
      <c r="DB308" s="10">
        <v>0</v>
      </c>
      <c r="DC308" t="s">
        <v>169</v>
      </c>
      <c r="DD308" t="s">
        <v>907</v>
      </c>
      <c r="DE308">
        <v>1</v>
      </c>
      <c r="DF308">
        <v>50</v>
      </c>
      <c r="DG308" t="s">
        <v>95</v>
      </c>
      <c r="DH308" t="s">
        <v>95</v>
      </c>
      <c r="DI308" t="s">
        <v>907</v>
      </c>
      <c r="DJ308" t="s">
        <v>907</v>
      </c>
      <c r="DK308" t="s">
        <v>907</v>
      </c>
      <c r="DL308" t="s">
        <v>907</v>
      </c>
      <c r="DM308" t="s">
        <v>291</v>
      </c>
      <c r="DN308" t="s">
        <v>907</v>
      </c>
      <c r="DO308" t="s">
        <v>907</v>
      </c>
      <c r="DP308">
        <v>3</v>
      </c>
      <c r="DQ308" t="s">
        <v>441</v>
      </c>
      <c r="DR308" t="s">
        <v>907</v>
      </c>
      <c r="DS308" t="s">
        <v>172</v>
      </c>
      <c r="DT308" t="s">
        <v>1437</v>
      </c>
      <c r="DU308" t="s">
        <v>95</v>
      </c>
      <c r="DV308" t="s">
        <v>907</v>
      </c>
      <c r="DW308" t="s">
        <v>907</v>
      </c>
      <c r="DX308" t="s">
        <v>907</v>
      </c>
      <c r="FQ308">
        <v>566102232</v>
      </c>
      <c r="FR308" t="s">
        <v>1438</v>
      </c>
      <c r="FS308" s="1">
        <v>45924.854062500002</v>
      </c>
      <c r="FV308" t="s">
        <v>134</v>
      </c>
      <c r="FW308" t="s">
        <v>135</v>
      </c>
      <c r="FX308" t="s">
        <v>136</v>
      </c>
      <c r="FZ308">
        <v>241</v>
      </c>
    </row>
    <row r="309" spans="1:182" hidden="1" x14ac:dyDescent="0.3">
      <c r="A309" s="1">
        <v>45930.358578159721</v>
      </c>
      <c r="B309" s="1">
        <v>45930.93283607639</v>
      </c>
      <c r="D309" t="s">
        <v>84</v>
      </c>
      <c r="E309" t="s">
        <v>3876</v>
      </c>
      <c r="F309" t="s">
        <v>3673</v>
      </c>
      <c r="G309" t="s">
        <v>176</v>
      </c>
      <c r="H309" t="s">
        <v>4122</v>
      </c>
      <c r="I309" t="s">
        <v>3674</v>
      </c>
      <c r="J309" t="s">
        <v>3675</v>
      </c>
      <c r="K309" t="s">
        <v>90</v>
      </c>
      <c r="L309" t="s">
        <v>4050</v>
      </c>
      <c r="M309" t="s">
        <v>3127</v>
      </c>
      <c r="S309" t="s">
        <v>84</v>
      </c>
      <c r="T309" t="s">
        <v>94</v>
      </c>
      <c r="U309">
        <v>8</v>
      </c>
      <c r="V309" t="s">
        <v>95</v>
      </c>
      <c r="W309" t="s">
        <v>907</v>
      </c>
      <c r="X309">
        <v>20</v>
      </c>
      <c r="Y309">
        <v>2</v>
      </c>
      <c r="Z309">
        <v>1</v>
      </c>
      <c r="AA309" t="s">
        <v>504</v>
      </c>
      <c r="AB309" t="s">
        <v>351</v>
      </c>
      <c r="AC309" t="s">
        <v>98</v>
      </c>
      <c r="AD309" t="s">
        <v>280</v>
      </c>
      <c r="AE309" t="s">
        <v>304</v>
      </c>
      <c r="AF309" t="s">
        <v>907</v>
      </c>
      <c r="AG309">
        <v>10000</v>
      </c>
      <c r="AH309" t="s">
        <v>100</v>
      </c>
      <c r="AI309" t="s">
        <v>907</v>
      </c>
      <c r="AJ309" s="5">
        <v>8000</v>
      </c>
      <c r="AK309" t="s">
        <v>102</v>
      </c>
      <c r="AL309" t="s">
        <v>907</v>
      </c>
      <c r="AM309" t="s">
        <v>149</v>
      </c>
      <c r="AN309" t="s">
        <v>907</v>
      </c>
      <c r="AO309" t="s">
        <v>267</v>
      </c>
      <c r="AP309" t="s">
        <v>3676</v>
      </c>
      <c r="AQ309" t="s">
        <v>149</v>
      </c>
      <c r="AR309" t="s">
        <v>84</v>
      </c>
      <c r="AS309">
        <v>0</v>
      </c>
      <c r="AT309">
        <v>0</v>
      </c>
      <c r="AU309">
        <v>0</v>
      </c>
      <c r="AV309">
        <v>0</v>
      </c>
      <c r="AW309">
        <v>0</v>
      </c>
      <c r="AX309">
        <v>0</v>
      </c>
      <c r="AY309">
        <v>0</v>
      </c>
      <c r="AZ309" t="s">
        <v>284</v>
      </c>
      <c r="BA309" t="s">
        <v>95</v>
      </c>
      <c r="BB309" t="s">
        <v>154</v>
      </c>
      <c r="BC309" t="s">
        <v>907</v>
      </c>
      <c r="BD309" t="s">
        <v>107</v>
      </c>
      <c r="BE309" t="s">
        <v>363</v>
      </c>
      <c r="BF309" t="s">
        <v>1183</v>
      </c>
      <c r="BG309" t="s">
        <v>235</v>
      </c>
      <c r="BH309">
        <v>60</v>
      </c>
      <c r="BL309">
        <v>25</v>
      </c>
      <c r="BN309">
        <v>2</v>
      </c>
      <c r="BP309">
        <v>10</v>
      </c>
      <c r="BR309">
        <v>4</v>
      </c>
      <c r="BT309">
        <v>8</v>
      </c>
      <c r="BV309">
        <v>0</v>
      </c>
      <c r="BX309">
        <v>11</v>
      </c>
      <c r="BY309" t="s">
        <v>189</v>
      </c>
      <c r="BZ309">
        <v>1</v>
      </c>
      <c r="CA309">
        <v>31</v>
      </c>
      <c r="CB309" t="s">
        <v>84</v>
      </c>
      <c r="CC309" t="s">
        <v>84</v>
      </c>
      <c r="CD309" t="s">
        <v>2844</v>
      </c>
      <c r="CE309" t="s">
        <v>4249</v>
      </c>
      <c r="CF309" t="s">
        <v>3677</v>
      </c>
      <c r="CG309" t="s">
        <v>907</v>
      </c>
      <c r="CH309">
        <v>80</v>
      </c>
      <c r="CI309" t="s">
        <v>84</v>
      </c>
      <c r="CJ309" t="s">
        <v>262</v>
      </c>
      <c r="CK309" t="s">
        <v>1005</v>
      </c>
      <c r="CL309" t="s">
        <v>895</v>
      </c>
      <c r="CM309" t="s">
        <v>162</v>
      </c>
      <c r="CN309" t="s">
        <v>421</v>
      </c>
      <c r="CO309" t="s">
        <v>95</v>
      </c>
      <c r="CP309" t="s">
        <v>907</v>
      </c>
      <c r="CQ309" t="s">
        <v>116</v>
      </c>
      <c r="CR309" t="s">
        <v>95</v>
      </c>
      <c r="CS309" t="s">
        <v>907</v>
      </c>
      <c r="CT309" t="s">
        <v>907</v>
      </c>
      <c r="CU309" t="s">
        <v>907</v>
      </c>
      <c r="CV309" t="s">
        <v>812</v>
      </c>
      <c r="CW309" t="s">
        <v>1831</v>
      </c>
      <c r="CX309" t="s">
        <v>166</v>
      </c>
      <c r="CY309" t="s">
        <v>167</v>
      </c>
      <c r="CZ309" t="s">
        <v>2232</v>
      </c>
      <c r="DA309">
        <v>3</v>
      </c>
      <c r="DB309" s="10">
        <v>22700</v>
      </c>
      <c r="DC309" t="s">
        <v>169</v>
      </c>
      <c r="DD309" t="s">
        <v>907</v>
      </c>
      <c r="DE309">
        <v>3</v>
      </c>
      <c r="DF309">
        <v>35</v>
      </c>
      <c r="DG309" t="s">
        <v>95</v>
      </c>
      <c r="DH309" t="s">
        <v>95</v>
      </c>
      <c r="DI309" t="s">
        <v>907</v>
      </c>
      <c r="DJ309" t="s">
        <v>907</v>
      </c>
      <c r="DK309" t="s">
        <v>907</v>
      </c>
      <c r="DL309" t="s">
        <v>907</v>
      </c>
      <c r="DM309" t="s">
        <v>291</v>
      </c>
      <c r="DN309" t="s">
        <v>907</v>
      </c>
      <c r="DO309" t="s">
        <v>907</v>
      </c>
      <c r="DP309">
        <v>1</v>
      </c>
      <c r="DQ309" t="s">
        <v>441</v>
      </c>
      <c r="DR309" t="s">
        <v>907</v>
      </c>
      <c r="DS309" t="s">
        <v>2586</v>
      </c>
      <c r="DT309" t="s">
        <v>3237</v>
      </c>
      <c r="DU309" t="s">
        <v>95</v>
      </c>
      <c r="DV309" t="s">
        <v>907</v>
      </c>
      <c r="DW309" t="s">
        <v>907</v>
      </c>
      <c r="DX309" t="s">
        <v>907</v>
      </c>
      <c r="FQ309">
        <v>570408137</v>
      </c>
      <c r="FR309" t="s">
        <v>3678</v>
      </c>
      <c r="FS309" s="1">
        <v>45930.850115740737</v>
      </c>
      <c r="FV309" t="s">
        <v>134</v>
      </c>
      <c r="FW309" t="s">
        <v>135</v>
      </c>
      <c r="FX309" t="s">
        <v>136</v>
      </c>
      <c r="FZ309">
        <v>591</v>
      </c>
    </row>
    <row r="310" spans="1:182" hidden="1" x14ac:dyDescent="0.3">
      <c r="A310" s="1">
        <v>45924.604483402778</v>
      </c>
      <c r="B310" s="1">
        <v>45924.639683009264</v>
      </c>
      <c r="D310" t="s">
        <v>84</v>
      </c>
      <c r="E310" t="s">
        <v>245</v>
      </c>
      <c r="F310" t="s">
        <v>1488</v>
      </c>
      <c r="G310" t="s">
        <v>176</v>
      </c>
      <c r="H310" t="s">
        <v>4121</v>
      </c>
      <c r="I310" t="s">
        <v>1489</v>
      </c>
      <c r="J310" t="s">
        <v>1490</v>
      </c>
      <c r="K310" t="s">
        <v>90</v>
      </c>
      <c r="L310" t="s">
        <v>1491</v>
      </c>
      <c r="M310" t="s">
        <v>349</v>
      </c>
      <c r="N310" t="s">
        <v>1492</v>
      </c>
      <c r="O310">
        <v>-15.3385981</v>
      </c>
      <c r="P310">
        <v>23.033501999999999</v>
      </c>
      <c r="Q310">
        <v>1031.0999999999999</v>
      </c>
      <c r="R310">
        <v>4.3</v>
      </c>
      <c r="S310" t="s">
        <v>84</v>
      </c>
      <c r="T310" t="s">
        <v>94</v>
      </c>
      <c r="U310">
        <v>6</v>
      </c>
      <c r="V310" t="s">
        <v>95</v>
      </c>
      <c r="W310" t="s">
        <v>907</v>
      </c>
      <c r="X310">
        <v>13</v>
      </c>
      <c r="Y310">
        <v>5</v>
      </c>
      <c r="Z310">
        <v>5</v>
      </c>
      <c r="AA310" t="s">
        <v>251</v>
      </c>
      <c r="AB310" t="s">
        <v>351</v>
      </c>
      <c r="AC310" t="s">
        <v>98</v>
      </c>
      <c r="AD310" t="s">
        <v>252</v>
      </c>
      <c r="AE310" t="s">
        <v>101</v>
      </c>
      <c r="AF310" t="s">
        <v>907</v>
      </c>
      <c r="AG310">
        <v>5000</v>
      </c>
      <c r="AH310" t="s">
        <v>431</v>
      </c>
      <c r="AI310" t="s">
        <v>907</v>
      </c>
      <c r="AJ310" s="5">
        <v>2000</v>
      </c>
      <c r="AK310" t="s">
        <v>102</v>
      </c>
      <c r="AL310" t="s">
        <v>907</v>
      </c>
      <c r="AM310" t="s">
        <v>909</v>
      </c>
      <c r="AN310" t="s">
        <v>907</v>
      </c>
      <c r="AO310" t="s">
        <v>267</v>
      </c>
      <c r="AP310" t="s">
        <v>1493</v>
      </c>
      <c r="AQ310" t="s">
        <v>909</v>
      </c>
      <c r="AR310" t="s">
        <v>95</v>
      </c>
      <c r="AS310">
        <v>0</v>
      </c>
      <c r="AT310">
        <v>0</v>
      </c>
      <c r="AU310">
        <v>0</v>
      </c>
      <c r="AV310">
        <v>5</v>
      </c>
      <c r="AW310">
        <v>0</v>
      </c>
      <c r="AX310">
        <v>0</v>
      </c>
      <c r="AY310">
        <v>0</v>
      </c>
      <c r="AZ310" t="s">
        <v>256</v>
      </c>
      <c r="BA310" t="s">
        <v>95</v>
      </c>
      <c r="BB310" t="s">
        <v>154</v>
      </c>
      <c r="BC310" t="s">
        <v>907</v>
      </c>
      <c r="BD310" t="s">
        <v>107</v>
      </c>
      <c r="BE310" t="s">
        <v>810</v>
      </c>
      <c r="BF310" t="s">
        <v>3938</v>
      </c>
      <c r="BG310" t="s">
        <v>156</v>
      </c>
      <c r="BH310">
        <v>60</v>
      </c>
      <c r="BL310">
        <v>30</v>
      </c>
      <c r="BN310">
        <v>3</v>
      </c>
      <c r="BP310">
        <v>12</v>
      </c>
      <c r="BR310">
        <v>8</v>
      </c>
      <c r="BT310">
        <v>7</v>
      </c>
      <c r="BV310">
        <v>0</v>
      </c>
      <c r="BX310">
        <v>8</v>
      </c>
      <c r="BY310" t="s">
        <v>189</v>
      </c>
      <c r="BZ310">
        <v>4</v>
      </c>
      <c r="CA310">
        <v>12</v>
      </c>
      <c r="CB310" t="s">
        <v>84</v>
      </c>
      <c r="CC310" t="s">
        <v>84</v>
      </c>
      <c r="CD310" t="s">
        <v>334</v>
      </c>
      <c r="CE310" t="s">
        <v>4251</v>
      </c>
      <c r="CF310" t="s">
        <v>3939</v>
      </c>
      <c r="CG310" t="s">
        <v>907</v>
      </c>
      <c r="CH310">
        <v>90</v>
      </c>
      <c r="CI310" t="s">
        <v>84</v>
      </c>
      <c r="CJ310" t="s">
        <v>262</v>
      </c>
      <c r="CK310" t="s">
        <v>289</v>
      </c>
      <c r="CL310" t="s">
        <v>1494</v>
      </c>
      <c r="CM310" t="s">
        <v>193</v>
      </c>
      <c r="CN310" t="s">
        <v>3874</v>
      </c>
      <c r="CO310" t="s">
        <v>95</v>
      </c>
      <c r="CP310" t="s">
        <v>907</v>
      </c>
      <c r="CQ310" t="s">
        <v>116</v>
      </c>
      <c r="CR310" t="s">
        <v>84</v>
      </c>
      <c r="CS310" t="s">
        <v>117</v>
      </c>
      <c r="CT310" t="s">
        <v>264</v>
      </c>
      <c r="CU310" t="s">
        <v>438</v>
      </c>
      <c r="CV310" t="s">
        <v>119</v>
      </c>
      <c r="CW310" t="s">
        <v>550</v>
      </c>
      <c r="CX310" t="s">
        <v>1495</v>
      </c>
      <c r="CY310" t="s">
        <v>167</v>
      </c>
      <c r="CZ310" t="s">
        <v>530</v>
      </c>
      <c r="DA310">
        <v>20</v>
      </c>
      <c r="DB310" s="10">
        <v>70000</v>
      </c>
      <c r="DC310" t="s">
        <v>123</v>
      </c>
      <c r="DD310" t="s">
        <v>1496</v>
      </c>
      <c r="DE310">
        <v>3</v>
      </c>
      <c r="DF310">
        <v>15</v>
      </c>
      <c r="DG310" t="s">
        <v>95</v>
      </c>
      <c r="DH310" t="s">
        <v>95</v>
      </c>
      <c r="DI310" t="s">
        <v>907</v>
      </c>
      <c r="DJ310" t="s">
        <v>907</v>
      </c>
      <c r="DK310" t="s">
        <v>907</v>
      </c>
      <c r="DL310" t="s">
        <v>907</v>
      </c>
      <c r="DM310" t="s">
        <v>291</v>
      </c>
      <c r="DN310" t="s">
        <v>907</v>
      </c>
      <c r="DO310" t="s">
        <v>907</v>
      </c>
      <c r="DP310">
        <v>15</v>
      </c>
      <c r="DQ310" t="s">
        <v>441</v>
      </c>
      <c r="DR310" t="s">
        <v>907</v>
      </c>
      <c r="DS310" t="s">
        <v>1204</v>
      </c>
      <c r="DT310" t="s">
        <v>271</v>
      </c>
      <c r="DU310" t="s">
        <v>84</v>
      </c>
      <c r="DV310" t="s">
        <v>294</v>
      </c>
      <c r="DW310" t="s">
        <v>423</v>
      </c>
      <c r="DX310" t="s">
        <v>84</v>
      </c>
      <c r="FQ310">
        <v>566102264</v>
      </c>
      <c r="FR310" t="s">
        <v>1497</v>
      </c>
      <c r="FS310" s="1">
        <v>45924.854120370372</v>
      </c>
      <c r="FV310" t="s">
        <v>134</v>
      </c>
      <c r="FW310" t="s">
        <v>135</v>
      </c>
      <c r="FX310" t="s">
        <v>136</v>
      </c>
      <c r="FZ310">
        <v>246</v>
      </c>
    </row>
    <row r="311" spans="1:182" hidden="1" x14ac:dyDescent="0.3">
      <c r="A311" s="1">
        <v>45930.363909340267</v>
      </c>
      <c r="B311" s="1">
        <v>45930.383301944443</v>
      </c>
      <c r="D311" t="s">
        <v>84</v>
      </c>
      <c r="E311" t="s">
        <v>297</v>
      </c>
      <c r="F311" t="s">
        <v>3629</v>
      </c>
      <c r="G311" t="s">
        <v>176</v>
      </c>
      <c r="H311" t="s">
        <v>4121</v>
      </c>
      <c r="I311" t="s">
        <v>3630</v>
      </c>
      <c r="J311" t="s">
        <v>3631</v>
      </c>
      <c r="K311" t="s">
        <v>90</v>
      </c>
      <c r="L311" t="s">
        <v>3632</v>
      </c>
      <c r="M311" t="s">
        <v>3633</v>
      </c>
      <c r="N311" t="s">
        <v>3634</v>
      </c>
      <c r="O311">
        <v>-15.1941183</v>
      </c>
      <c r="P311">
        <v>22.914097999999999</v>
      </c>
      <c r="Q311">
        <v>1027.800415039062</v>
      </c>
      <c r="R311">
        <v>4.0190000000000001</v>
      </c>
      <c r="S311" t="s">
        <v>84</v>
      </c>
      <c r="T311" t="s">
        <v>182</v>
      </c>
      <c r="U311">
        <v>9</v>
      </c>
      <c r="V311" t="s">
        <v>95</v>
      </c>
      <c r="W311" t="s">
        <v>907</v>
      </c>
      <c r="X311">
        <v>3</v>
      </c>
      <c r="Y311">
        <v>4</v>
      </c>
      <c r="Z311">
        <v>1</v>
      </c>
      <c r="AA311" t="s">
        <v>504</v>
      </c>
      <c r="AB311" t="s">
        <v>97</v>
      </c>
      <c r="AC311" t="s">
        <v>144</v>
      </c>
      <c r="AD311" t="s">
        <v>280</v>
      </c>
      <c r="AE311" t="s">
        <v>101</v>
      </c>
      <c r="AF311" t="s">
        <v>907</v>
      </c>
      <c r="AG311">
        <v>1000</v>
      </c>
      <c r="AH311" t="s">
        <v>100</v>
      </c>
      <c r="AI311" t="s">
        <v>907</v>
      </c>
      <c r="AJ311" s="5">
        <v>500</v>
      </c>
      <c r="AK311" t="s">
        <v>102</v>
      </c>
      <c r="AL311" t="s">
        <v>907</v>
      </c>
      <c r="AM311" t="s">
        <v>3547</v>
      </c>
      <c r="AN311" t="s">
        <v>907</v>
      </c>
      <c r="AO311" t="s">
        <v>3635</v>
      </c>
      <c r="AP311" t="s">
        <v>3636</v>
      </c>
      <c r="AQ311" t="s">
        <v>2008</v>
      </c>
      <c r="AR311" t="s">
        <v>95</v>
      </c>
      <c r="AS311">
        <v>0</v>
      </c>
      <c r="AT311">
        <v>0</v>
      </c>
      <c r="AU311">
        <v>0</v>
      </c>
      <c r="AV311">
        <v>0</v>
      </c>
      <c r="AW311">
        <v>0</v>
      </c>
      <c r="AX311">
        <v>3</v>
      </c>
      <c r="AY311">
        <v>0</v>
      </c>
      <c r="AZ311" t="s">
        <v>1003</v>
      </c>
      <c r="BA311" t="s">
        <v>95</v>
      </c>
      <c r="BB311" t="s">
        <v>154</v>
      </c>
      <c r="BC311" t="s">
        <v>907</v>
      </c>
      <c r="BD311" t="s">
        <v>257</v>
      </c>
      <c r="BE311" t="s">
        <v>258</v>
      </c>
      <c r="BF311" t="s">
        <v>4078</v>
      </c>
      <c r="BG311" t="s">
        <v>156</v>
      </c>
      <c r="BH311">
        <v>270</v>
      </c>
      <c r="BL311">
        <v>120</v>
      </c>
      <c r="BN311">
        <v>6</v>
      </c>
      <c r="BP311">
        <v>30</v>
      </c>
      <c r="BR311">
        <v>40</v>
      </c>
      <c r="BT311">
        <v>8</v>
      </c>
      <c r="BV311">
        <v>7</v>
      </c>
      <c r="BX311">
        <v>65</v>
      </c>
      <c r="BY311" t="s">
        <v>189</v>
      </c>
      <c r="BZ311">
        <v>4</v>
      </c>
      <c r="CA311">
        <v>180</v>
      </c>
      <c r="CB311" t="s">
        <v>84</v>
      </c>
      <c r="CC311" t="s">
        <v>84</v>
      </c>
      <c r="CD311" t="s">
        <v>3637</v>
      </c>
      <c r="CE311" t="s">
        <v>4251</v>
      </c>
      <c r="CF311" t="s">
        <v>3638</v>
      </c>
      <c r="CG311" t="s">
        <v>907</v>
      </c>
      <c r="CH311">
        <v>101</v>
      </c>
      <c r="CI311" t="s">
        <v>84</v>
      </c>
      <c r="CJ311" t="s">
        <v>546</v>
      </c>
      <c r="CK311" t="s">
        <v>289</v>
      </c>
      <c r="CL311" t="s">
        <v>2483</v>
      </c>
      <c r="CM311" t="s">
        <v>547</v>
      </c>
      <c r="CN311" t="s">
        <v>421</v>
      </c>
      <c r="CO311" t="s">
        <v>95</v>
      </c>
      <c r="CP311" t="s">
        <v>907</v>
      </c>
      <c r="CQ311" t="s">
        <v>116</v>
      </c>
      <c r="CR311" t="s">
        <v>84</v>
      </c>
      <c r="CS311" t="s">
        <v>117</v>
      </c>
      <c r="CT311" t="s">
        <v>264</v>
      </c>
      <c r="CU311" t="s">
        <v>438</v>
      </c>
      <c r="CV311" t="s">
        <v>119</v>
      </c>
      <c r="CW311" t="s">
        <v>3639</v>
      </c>
      <c r="CX311" t="s">
        <v>166</v>
      </c>
      <c r="CY311" t="s">
        <v>167</v>
      </c>
      <c r="CZ311" t="s">
        <v>1543</v>
      </c>
      <c r="DA311">
        <v>40</v>
      </c>
      <c r="DB311" s="10">
        <v>300000</v>
      </c>
      <c r="DC311" t="s">
        <v>123</v>
      </c>
      <c r="DD311" t="s">
        <v>3640</v>
      </c>
      <c r="DE311">
        <v>3</v>
      </c>
      <c r="DF311">
        <v>15</v>
      </c>
      <c r="DG311" t="s">
        <v>95</v>
      </c>
      <c r="DH311" t="s">
        <v>95</v>
      </c>
      <c r="DI311" t="s">
        <v>907</v>
      </c>
      <c r="DJ311" t="s">
        <v>907</v>
      </c>
      <c r="DK311" t="s">
        <v>907</v>
      </c>
      <c r="DL311" t="s">
        <v>907</v>
      </c>
      <c r="DM311" t="s">
        <v>291</v>
      </c>
      <c r="DN311" t="s">
        <v>907</v>
      </c>
      <c r="DO311" t="s">
        <v>907</v>
      </c>
      <c r="DP311">
        <v>7</v>
      </c>
      <c r="DQ311" t="s">
        <v>441</v>
      </c>
      <c r="DR311" t="s">
        <v>907</v>
      </c>
      <c r="DS311" t="s">
        <v>3641</v>
      </c>
      <c r="DT311" t="s">
        <v>3642</v>
      </c>
      <c r="DU311" t="s">
        <v>95</v>
      </c>
      <c r="DV311" t="s">
        <v>907</v>
      </c>
      <c r="DW311" t="s">
        <v>907</v>
      </c>
      <c r="DX311" t="s">
        <v>907</v>
      </c>
      <c r="FQ311">
        <v>570053994</v>
      </c>
      <c r="FR311" t="s">
        <v>3643</v>
      </c>
      <c r="FS311" s="1">
        <v>45930.512037037042</v>
      </c>
      <c r="FV311" t="s">
        <v>134</v>
      </c>
      <c r="FW311" t="s">
        <v>135</v>
      </c>
      <c r="FX311" t="s">
        <v>136</v>
      </c>
      <c r="FZ311">
        <v>567</v>
      </c>
    </row>
    <row r="312" spans="1:182" hidden="1" x14ac:dyDescent="0.3">
      <c r="A312" s="1">
        <v>45925.490942708333</v>
      </c>
      <c r="B312" s="1">
        <v>45925.496616875003</v>
      </c>
      <c r="D312" t="s">
        <v>84</v>
      </c>
      <c r="E312" t="s">
        <v>3878</v>
      </c>
      <c r="F312" t="s">
        <v>1790</v>
      </c>
      <c r="G312" t="s">
        <v>176</v>
      </c>
      <c r="H312" t="s">
        <v>4122</v>
      </c>
      <c r="I312" t="s">
        <v>1791</v>
      </c>
      <c r="J312" t="s">
        <v>1792</v>
      </c>
      <c r="K312" t="s">
        <v>90</v>
      </c>
      <c r="L312" t="s">
        <v>1793</v>
      </c>
      <c r="M312" t="s">
        <v>1731</v>
      </c>
      <c r="N312" t="s">
        <v>1794</v>
      </c>
      <c r="O312">
        <v>-15.2208217</v>
      </c>
      <c r="P312">
        <v>22.998436699999999</v>
      </c>
      <c r="Q312">
        <v>1027.7</v>
      </c>
      <c r="R312">
        <v>4.5</v>
      </c>
      <c r="S312" t="s">
        <v>84</v>
      </c>
      <c r="T312" t="s">
        <v>94</v>
      </c>
      <c r="U312">
        <v>4</v>
      </c>
      <c r="V312" t="s">
        <v>95</v>
      </c>
      <c r="W312" t="s">
        <v>907</v>
      </c>
      <c r="X312">
        <v>30</v>
      </c>
      <c r="Y312">
        <v>0.49</v>
      </c>
      <c r="Z312">
        <v>0.49</v>
      </c>
      <c r="AA312" t="s">
        <v>504</v>
      </c>
      <c r="AB312" t="s">
        <v>489</v>
      </c>
      <c r="AC312" t="s">
        <v>98</v>
      </c>
      <c r="AD312" t="s">
        <v>280</v>
      </c>
      <c r="AE312" t="s">
        <v>101</v>
      </c>
      <c r="AF312" t="s">
        <v>907</v>
      </c>
      <c r="AG312">
        <v>15000</v>
      </c>
      <c r="AH312" t="s">
        <v>304</v>
      </c>
      <c r="AI312" t="s">
        <v>907</v>
      </c>
      <c r="AJ312" s="5">
        <v>0</v>
      </c>
      <c r="AK312" t="s">
        <v>3387</v>
      </c>
      <c r="AL312" t="s">
        <v>907</v>
      </c>
      <c r="AM312" t="s">
        <v>1514</v>
      </c>
      <c r="AN312" t="s">
        <v>907</v>
      </c>
      <c r="AQ312" t="s">
        <v>907</v>
      </c>
      <c r="AR312" t="s">
        <v>84</v>
      </c>
      <c r="AS312">
        <v>0</v>
      </c>
      <c r="AT312">
        <v>0</v>
      </c>
      <c r="AU312">
        <v>0</v>
      </c>
      <c r="AV312">
        <v>0</v>
      </c>
      <c r="AW312">
        <v>0</v>
      </c>
      <c r="AX312">
        <v>0</v>
      </c>
      <c r="AY312">
        <v>0</v>
      </c>
      <c r="AZ312" t="s">
        <v>106</v>
      </c>
      <c r="BA312" t="s">
        <v>907</v>
      </c>
      <c r="BB312" t="s">
        <v>3866</v>
      </c>
      <c r="BC312" t="s">
        <v>907</v>
      </c>
      <c r="BD312" t="s">
        <v>107</v>
      </c>
      <c r="BE312" t="s">
        <v>363</v>
      </c>
      <c r="BF312" t="s">
        <v>2023</v>
      </c>
      <c r="BG312" t="s">
        <v>907</v>
      </c>
      <c r="BH312" t="s">
        <v>907</v>
      </c>
      <c r="BY312" t="s">
        <v>907</v>
      </c>
      <c r="BZ312" t="s">
        <v>907</v>
      </c>
      <c r="CA312" t="s">
        <v>907</v>
      </c>
      <c r="CB312" t="s">
        <v>907</v>
      </c>
      <c r="CC312" t="s">
        <v>907</v>
      </c>
      <c r="CD312" t="s">
        <v>907</v>
      </c>
      <c r="CE312" t="s">
        <v>907</v>
      </c>
      <c r="CF312" t="s">
        <v>907</v>
      </c>
      <c r="CG312" t="s">
        <v>907</v>
      </c>
      <c r="CH312" t="s">
        <v>907</v>
      </c>
      <c r="CI312" t="s">
        <v>907</v>
      </c>
      <c r="CJ312" t="s">
        <v>907</v>
      </c>
      <c r="CK312" t="s">
        <v>907</v>
      </c>
      <c r="CL312" t="s">
        <v>907</v>
      </c>
      <c r="CM312" t="s">
        <v>907</v>
      </c>
      <c r="CN312" t="s">
        <v>907</v>
      </c>
      <c r="CO312" t="s">
        <v>907</v>
      </c>
      <c r="CP312" t="s">
        <v>907</v>
      </c>
      <c r="CQ312" t="s">
        <v>907</v>
      </c>
      <c r="CR312" t="s">
        <v>95</v>
      </c>
      <c r="CS312" t="s">
        <v>907</v>
      </c>
      <c r="CT312" t="s">
        <v>907</v>
      </c>
      <c r="CU312" t="s">
        <v>907</v>
      </c>
      <c r="CV312" t="s">
        <v>119</v>
      </c>
      <c r="CW312" t="s">
        <v>897</v>
      </c>
      <c r="CX312" t="s">
        <v>907</v>
      </c>
      <c r="CY312" t="s">
        <v>907</v>
      </c>
      <c r="CZ312" t="s">
        <v>907</v>
      </c>
      <c r="DA312" t="s">
        <v>907</v>
      </c>
      <c r="DB312" t="s">
        <v>907</v>
      </c>
      <c r="DC312" t="s">
        <v>907</v>
      </c>
      <c r="DD312" t="s">
        <v>907</v>
      </c>
      <c r="DE312" t="s">
        <v>907</v>
      </c>
      <c r="DF312" t="s">
        <v>907</v>
      </c>
      <c r="DG312" t="s">
        <v>95</v>
      </c>
      <c r="DH312" t="s">
        <v>907</v>
      </c>
      <c r="DI312" t="s">
        <v>907</v>
      </c>
      <c r="DJ312" t="s">
        <v>907</v>
      </c>
      <c r="DK312" t="s">
        <v>907</v>
      </c>
      <c r="DL312" t="s">
        <v>907</v>
      </c>
      <c r="DM312" t="s">
        <v>291</v>
      </c>
      <c r="DN312" t="s">
        <v>907</v>
      </c>
      <c r="DO312" t="s">
        <v>907</v>
      </c>
      <c r="DP312" t="s">
        <v>907</v>
      </c>
      <c r="DQ312" t="s">
        <v>441</v>
      </c>
      <c r="DR312" t="s">
        <v>907</v>
      </c>
      <c r="DS312" t="s">
        <v>907</v>
      </c>
      <c r="DT312" t="s">
        <v>907</v>
      </c>
      <c r="DU312" t="s">
        <v>95</v>
      </c>
      <c r="DV312" t="s">
        <v>907</v>
      </c>
      <c r="DW312" t="s">
        <v>907</v>
      </c>
      <c r="DX312" t="s">
        <v>907</v>
      </c>
      <c r="FQ312">
        <v>566789957</v>
      </c>
      <c r="FR312" t="s">
        <v>1795</v>
      </c>
      <c r="FS312" s="1">
        <v>45925.665335648147</v>
      </c>
      <c r="FV312" t="s">
        <v>134</v>
      </c>
      <c r="FW312" t="s">
        <v>135</v>
      </c>
      <c r="FX312" t="s">
        <v>136</v>
      </c>
      <c r="FZ312">
        <v>275</v>
      </c>
    </row>
    <row r="313" spans="1:182" hidden="1" x14ac:dyDescent="0.3">
      <c r="A313" s="1">
        <v>45925.361932222222</v>
      </c>
      <c r="B313" s="1">
        <v>45925.382345034719</v>
      </c>
      <c r="D313" t="s">
        <v>84</v>
      </c>
      <c r="E313" t="s">
        <v>3878</v>
      </c>
      <c r="F313" t="s">
        <v>1841</v>
      </c>
      <c r="G313" t="s">
        <v>176</v>
      </c>
      <c r="H313" t="s">
        <v>4122</v>
      </c>
      <c r="I313" t="s">
        <v>1842</v>
      </c>
      <c r="J313" t="s">
        <v>1843</v>
      </c>
      <c r="K313" t="s">
        <v>90</v>
      </c>
      <c r="L313" t="s">
        <v>1768</v>
      </c>
      <c r="M313" t="s">
        <v>1844</v>
      </c>
      <c r="N313" t="s">
        <v>1845</v>
      </c>
      <c r="O313">
        <v>-15.22025</v>
      </c>
      <c r="P313">
        <v>22.99849</v>
      </c>
      <c r="Q313">
        <v>1005</v>
      </c>
      <c r="R313">
        <v>4.5830000000000002</v>
      </c>
      <c r="S313" t="s">
        <v>84</v>
      </c>
      <c r="T313" t="s">
        <v>94</v>
      </c>
      <c r="U313">
        <v>5</v>
      </c>
      <c r="V313" t="s">
        <v>95</v>
      </c>
      <c r="W313" t="s">
        <v>907</v>
      </c>
      <c r="X313">
        <v>1</v>
      </c>
      <c r="Y313">
        <v>0.5</v>
      </c>
      <c r="Z313">
        <v>0.5</v>
      </c>
      <c r="AA313" t="s">
        <v>96</v>
      </c>
      <c r="AB313" t="s">
        <v>351</v>
      </c>
      <c r="AC313" t="s">
        <v>98</v>
      </c>
      <c r="AD313" t="s">
        <v>99</v>
      </c>
      <c r="AE313" t="s">
        <v>101</v>
      </c>
      <c r="AF313" t="s">
        <v>907</v>
      </c>
      <c r="AG313">
        <v>2000</v>
      </c>
      <c r="AH313" t="s">
        <v>100</v>
      </c>
      <c r="AI313" t="s">
        <v>907</v>
      </c>
      <c r="AJ313" s="5">
        <v>500</v>
      </c>
      <c r="AK313" t="s">
        <v>318</v>
      </c>
      <c r="AL313" t="s">
        <v>907</v>
      </c>
      <c r="AM313" t="s">
        <v>1846</v>
      </c>
      <c r="AN313" t="s">
        <v>907</v>
      </c>
      <c r="AO313" t="s">
        <v>267</v>
      </c>
      <c r="AP313" t="s">
        <v>3960</v>
      </c>
      <c r="AQ313" t="s">
        <v>466</v>
      </c>
      <c r="AR313" t="s">
        <v>95</v>
      </c>
      <c r="AS313">
        <v>0</v>
      </c>
      <c r="AT313">
        <v>0</v>
      </c>
      <c r="AU313">
        <v>0</v>
      </c>
      <c r="AV313">
        <v>0</v>
      </c>
      <c r="AW313">
        <v>0</v>
      </c>
      <c r="AX313">
        <v>0</v>
      </c>
      <c r="AY313">
        <v>0</v>
      </c>
      <c r="AZ313" t="s">
        <v>1003</v>
      </c>
      <c r="BA313" t="s">
        <v>95</v>
      </c>
      <c r="BB313" t="s">
        <v>3866</v>
      </c>
      <c r="BC313" t="s">
        <v>907</v>
      </c>
      <c r="BD313" t="s">
        <v>107</v>
      </c>
      <c r="BE313" t="s">
        <v>470</v>
      </c>
      <c r="BF313" t="s">
        <v>1224</v>
      </c>
      <c r="BG313" t="s">
        <v>907</v>
      </c>
      <c r="BH313" t="s">
        <v>907</v>
      </c>
      <c r="BY313" t="s">
        <v>907</v>
      </c>
      <c r="BZ313" t="s">
        <v>907</v>
      </c>
      <c r="CA313" t="s">
        <v>907</v>
      </c>
      <c r="CB313" t="s">
        <v>907</v>
      </c>
      <c r="CC313" t="s">
        <v>907</v>
      </c>
      <c r="CD313" t="s">
        <v>907</v>
      </c>
      <c r="CE313" t="s">
        <v>907</v>
      </c>
      <c r="CF313" t="s">
        <v>907</v>
      </c>
      <c r="CG313" t="s">
        <v>907</v>
      </c>
      <c r="CH313" t="s">
        <v>907</v>
      </c>
      <c r="CI313" t="s">
        <v>907</v>
      </c>
      <c r="CJ313" t="s">
        <v>907</v>
      </c>
      <c r="CK313" t="s">
        <v>907</v>
      </c>
      <c r="CL313" t="s">
        <v>907</v>
      </c>
      <c r="CM313" t="s">
        <v>907</v>
      </c>
      <c r="CN313" t="s">
        <v>907</v>
      </c>
      <c r="CO313" t="s">
        <v>907</v>
      </c>
      <c r="CP313" t="s">
        <v>907</v>
      </c>
      <c r="CQ313" t="s">
        <v>907</v>
      </c>
      <c r="CR313" t="s">
        <v>95</v>
      </c>
      <c r="CS313" t="s">
        <v>907</v>
      </c>
      <c r="CT313" t="s">
        <v>907</v>
      </c>
      <c r="CU313" t="s">
        <v>907</v>
      </c>
      <c r="CV313" t="s">
        <v>119</v>
      </c>
      <c r="CW313" t="s">
        <v>1495</v>
      </c>
      <c r="CX313" t="s">
        <v>907</v>
      </c>
      <c r="CY313" t="s">
        <v>907</v>
      </c>
      <c r="CZ313" t="s">
        <v>907</v>
      </c>
      <c r="DA313" t="s">
        <v>907</v>
      </c>
      <c r="DB313" t="s">
        <v>907</v>
      </c>
      <c r="DC313" t="s">
        <v>907</v>
      </c>
      <c r="DD313" t="s">
        <v>907</v>
      </c>
      <c r="DE313" t="s">
        <v>907</v>
      </c>
      <c r="DF313" t="s">
        <v>907</v>
      </c>
      <c r="DG313" t="s">
        <v>95</v>
      </c>
      <c r="DH313" t="s">
        <v>907</v>
      </c>
      <c r="DI313" t="s">
        <v>907</v>
      </c>
      <c r="DJ313" t="s">
        <v>907</v>
      </c>
      <c r="DK313" t="s">
        <v>907</v>
      </c>
      <c r="DL313" t="s">
        <v>907</v>
      </c>
      <c r="DM313" t="s">
        <v>291</v>
      </c>
      <c r="DN313" t="s">
        <v>907</v>
      </c>
      <c r="DO313" t="s">
        <v>907</v>
      </c>
      <c r="DP313" t="s">
        <v>907</v>
      </c>
      <c r="DQ313" t="s">
        <v>441</v>
      </c>
      <c r="DR313" t="s">
        <v>907</v>
      </c>
      <c r="DS313" t="s">
        <v>907</v>
      </c>
      <c r="DT313" t="s">
        <v>907</v>
      </c>
      <c r="DU313" t="s">
        <v>95</v>
      </c>
      <c r="DV313" t="s">
        <v>907</v>
      </c>
      <c r="DW313" t="s">
        <v>907</v>
      </c>
      <c r="DX313" t="s">
        <v>907</v>
      </c>
      <c r="FQ313">
        <v>566790052</v>
      </c>
      <c r="FR313" t="s">
        <v>1847</v>
      </c>
      <c r="FS313" s="1">
        <v>45925.665416666663</v>
      </c>
      <c r="FV313" t="s">
        <v>134</v>
      </c>
      <c r="FW313" t="s">
        <v>135</v>
      </c>
      <c r="FX313" t="s">
        <v>136</v>
      </c>
      <c r="FZ313">
        <v>282</v>
      </c>
    </row>
    <row r="314" spans="1:182" hidden="1" x14ac:dyDescent="0.3">
      <c r="A314" s="1">
        <v>45925.529733113428</v>
      </c>
      <c r="B314" s="1">
        <v>45925.538262615737</v>
      </c>
      <c r="D314" t="s">
        <v>84</v>
      </c>
      <c r="E314" t="s">
        <v>3878</v>
      </c>
      <c r="F314" t="s">
        <v>3962</v>
      </c>
      <c r="G314" t="s">
        <v>176</v>
      </c>
      <c r="H314" t="s">
        <v>4122</v>
      </c>
      <c r="I314" t="s">
        <v>1819</v>
      </c>
      <c r="J314" t="s">
        <v>1820</v>
      </c>
      <c r="K314" t="s">
        <v>90</v>
      </c>
      <c r="L314" t="s">
        <v>1768</v>
      </c>
      <c r="M314" t="s">
        <v>1731</v>
      </c>
      <c r="N314" t="s">
        <v>1821</v>
      </c>
      <c r="O314">
        <v>-15.220711700000001</v>
      </c>
      <c r="P314">
        <v>22.998349999999999</v>
      </c>
      <c r="Q314">
        <v>1001.1</v>
      </c>
      <c r="R314">
        <v>4.74</v>
      </c>
      <c r="S314" t="s">
        <v>84</v>
      </c>
      <c r="T314" t="s">
        <v>94</v>
      </c>
      <c r="U314">
        <v>5</v>
      </c>
      <c r="V314" t="s">
        <v>95</v>
      </c>
      <c r="W314" t="s">
        <v>907</v>
      </c>
      <c r="X314">
        <v>9</v>
      </c>
      <c r="Y314">
        <v>1</v>
      </c>
      <c r="Z314">
        <v>1</v>
      </c>
      <c r="AA314" t="s">
        <v>96</v>
      </c>
      <c r="AB314" t="s">
        <v>97</v>
      </c>
      <c r="AC314" t="s">
        <v>98</v>
      </c>
      <c r="AD314" t="s">
        <v>280</v>
      </c>
      <c r="AE314" t="s">
        <v>101</v>
      </c>
      <c r="AF314" t="s">
        <v>907</v>
      </c>
      <c r="AG314">
        <v>1000</v>
      </c>
      <c r="AH314" t="s">
        <v>3873</v>
      </c>
      <c r="AI314" t="s">
        <v>907</v>
      </c>
      <c r="AJ314" t="s">
        <v>907</v>
      </c>
      <c r="AK314" t="s">
        <v>318</v>
      </c>
      <c r="AL314" t="s">
        <v>907</v>
      </c>
      <c r="AM314" t="s">
        <v>253</v>
      </c>
      <c r="AN314" t="s">
        <v>907</v>
      </c>
      <c r="AO314" t="s">
        <v>267</v>
      </c>
      <c r="AP314" t="s">
        <v>1135</v>
      </c>
      <c r="AQ314" t="s">
        <v>1822</v>
      </c>
      <c r="AR314" t="s">
        <v>95</v>
      </c>
      <c r="AS314">
        <v>0</v>
      </c>
      <c r="AT314">
        <v>0</v>
      </c>
      <c r="AU314">
        <v>0</v>
      </c>
      <c r="AV314">
        <v>0</v>
      </c>
      <c r="AW314">
        <v>0</v>
      </c>
      <c r="AX314">
        <v>0</v>
      </c>
      <c r="AY314">
        <v>0</v>
      </c>
      <c r="AZ314" t="s">
        <v>929</v>
      </c>
      <c r="BA314" t="s">
        <v>95</v>
      </c>
      <c r="BB314" t="s">
        <v>154</v>
      </c>
      <c r="BC314" t="s">
        <v>907</v>
      </c>
      <c r="BD314" t="s">
        <v>95</v>
      </c>
      <c r="BE314" t="s">
        <v>258</v>
      </c>
      <c r="BF314" t="s">
        <v>1823</v>
      </c>
      <c r="BG314" t="s">
        <v>907</v>
      </c>
      <c r="BH314" t="s">
        <v>907</v>
      </c>
      <c r="BY314" t="s">
        <v>907</v>
      </c>
      <c r="BZ314" t="s">
        <v>907</v>
      </c>
      <c r="CA314" t="s">
        <v>907</v>
      </c>
      <c r="CB314" t="s">
        <v>907</v>
      </c>
      <c r="CC314" t="s">
        <v>907</v>
      </c>
      <c r="CD314" t="s">
        <v>907</v>
      </c>
      <c r="CE314" t="s">
        <v>907</v>
      </c>
      <c r="CF314" t="s">
        <v>907</v>
      </c>
      <c r="CG314" t="s">
        <v>907</v>
      </c>
      <c r="CH314" t="s">
        <v>907</v>
      </c>
      <c r="CI314" t="s">
        <v>907</v>
      </c>
      <c r="CJ314" t="s">
        <v>907</v>
      </c>
      <c r="CK314" t="s">
        <v>907</v>
      </c>
      <c r="CL314" t="s">
        <v>907</v>
      </c>
      <c r="CM314" t="s">
        <v>907</v>
      </c>
      <c r="CN314" t="s">
        <v>907</v>
      </c>
      <c r="CO314" t="s">
        <v>907</v>
      </c>
      <c r="CP314" t="s">
        <v>907</v>
      </c>
      <c r="CQ314" t="s">
        <v>907</v>
      </c>
      <c r="CR314" t="s">
        <v>95</v>
      </c>
      <c r="CS314" t="s">
        <v>907</v>
      </c>
      <c r="CT314" t="s">
        <v>907</v>
      </c>
      <c r="CU314" t="s">
        <v>907</v>
      </c>
      <c r="CV314" t="s">
        <v>812</v>
      </c>
      <c r="CW314" t="s">
        <v>495</v>
      </c>
      <c r="CX314" t="s">
        <v>907</v>
      </c>
      <c r="CY314" t="s">
        <v>907</v>
      </c>
      <c r="CZ314" t="s">
        <v>907</v>
      </c>
      <c r="DA314" t="s">
        <v>907</v>
      </c>
      <c r="DB314" t="s">
        <v>907</v>
      </c>
      <c r="DC314" t="s">
        <v>907</v>
      </c>
      <c r="DD314" t="s">
        <v>907</v>
      </c>
      <c r="DE314" t="s">
        <v>907</v>
      </c>
      <c r="DF314" t="s">
        <v>907</v>
      </c>
      <c r="DG314" t="s">
        <v>95</v>
      </c>
      <c r="DH314" t="s">
        <v>907</v>
      </c>
      <c r="DI314" t="s">
        <v>907</v>
      </c>
      <c r="DJ314" t="s">
        <v>907</v>
      </c>
      <c r="DK314" t="s">
        <v>907</v>
      </c>
      <c r="DL314" t="s">
        <v>907</v>
      </c>
      <c r="DM314" t="s">
        <v>291</v>
      </c>
      <c r="DN314" t="s">
        <v>907</v>
      </c>
      <c r="DO314" t="s">
        <v>907</v>
      </c>
      <c r="DP314" t="s">
        <v>907</v>
      </c>
      <c r="DQ314" t="s">
        <v>441</v>
      </c>
      <c r="DR314" t="s">
        <v>907</v>
      </c>
      <c r="DS314" t="s">
        <v>907</v>
      </c>
      <c r="DT314" t="s">
        <v>907</v>
      </c>
      <c r="DU314" t="s">
        <v>95</v>
      </c>
      <c r="DV314" t="s">
        <v>907</v>
      </c>
      <c r="DW314" t="s">
        <v>907</v>
      </c>
      <c r="DX314" t="s">
        <v>907</v>
      </c>
      <c r="FQ314">
        <v>566790026</v>
      </c>
      <c r="FR314" t="s">
        <v>1824</v>
      </c>
      <c r="FS314" s="1">
        <v>45925.665393518517</v>
      </c>
      <c r="FV314" t="s">
        <v>134</v>
      </c>
      <c r="FW314" t="s">
        <v>135</v>
      </c>
      <c r="FX314" t="s">
        <v>136</v>
      </c>
      <c r="FZ314">
        <v>279</v>
      </c>
    </row>
    <row r="315" spans="1:182" hidden="1" x14ac:dyDescent="0.3">
      <c r="A315" s="1">
        <v>45925.480453946759</v>
      </c>
      <c r="B315" s="1">
        <v>45925.489000289352</v>
      </c>
      <c r="D315" t="s">
        <v>84</v>
      </c>
      <c r="E315" t="s">
        <v>3878</v>
      </c>
      <c r="F315" t="s">
        <v>1783</v>
      </c>
      <c r="G315" t="s">
        <v>176</v>
      </c>
      <c r="H315" t="s">
        <v>4122</v>
      </c>
      <c r="I315" t="s">
        <v>1784</v>
      </c>
      <c r="J315" t="s">
        <v>1785</v>
      </c>
      <c r="K315" t="s">
        <v>90</v>
      </c>
      <c r="L315" t="s">
        <v>1786</v>
      </c>
      <c r="M315" t="s">
        <v>1731</v>
      </c>
      <c r="N315" t="s">
        <v>1787</v>
      </c>
      <c r="O315">
        <v>-15.2208367</v>
      </c>
      <c r="P315">
        <v>22.998370000000001</v>
      </c>
      <c r="Q315">
        <v>1012.1</v>
      </c>
      <c r="R315">
        <v>4.9000000000000004</v>
      </c>
      <c r="S315" t="s">
        <v>84</v>
      </c>
      <c r="T315" t="s">
        <v>94</v>
      </c>
      <c r="U315">
        <v>11</v>
      </c>
      <c r="V315" t="s">
        <v>95</v>
      </c>
      <c r="W315" t="s">
        <v>907</v>
      </c>
      <c r="X315">
        <v>29</v>
      </c>
      <c r="Y315">
        <v>1</v>
      </c>
      <c r="Z315">
        <v>1</v>
      </c>
      <c r="AA315" t="s">
        <v>96</v>
      </c>
      <c r="AB315" t="s">
        <v>351</v>
      </c>
      <c r="AC315" t="s">
        <v>98</v>
      </c>
      <c r="AD315" t="s">
        <v>252</v>
      </c>
      <c r="AE315" t="s">
        <v>101</v>
      </c>
      <c r="AF315" t="s">
        <v>907</v>
      </c>
      <c r="AG315">
        <v>4000</v>
      </c>
      <c r="AH315" t="s">
        <v>100</v>
      </c>
      <c r="AI315" t="s">
        <v>907</v>
      </c>
      <c r="AJ315" s="5">
        <v>700</v>
      </c>
      <c r="AK315" t="s">
        <v>318</v>
      </c>
      <c r="AL315" t="s">
        <v>907</v>
      </c>
      <c r="AM315" t="s">
        <v>1116</v>
      </c>
      <c r="AN315" t="s">
        <v>907</v>
      </c>
      <c r="AO315" t="s">
        <v>267</v>
      </c>
      <c r="AP315" t="s">
        <v>3960</v>
      </c>
      <c r="AQ315" t="s">
        <v>1788</v>
      </c>
      <c r="AR315" t="s">
        <v>95</v>
      </c>
      <c r="AS315">
        <v>0</v>
      </c>
      <c r="AT315">
        <v>0</v>
      </c>
      <c r="AU315">
        <v>0</v>
      </c>
      <c r="AV315">
        <v>0</v>
      </c>
      <c r="AW315">
        <v>0</v>
      </c>
      <c r="AX315">
        <v>0</v>
      </c>
      <c r="AY315">
        <v>0</v>
      </c>
      <c r="AZ315" t="s">
        <v>1003</v>
      </c>
      <c r="BA315" t="s">
        <v>95</v>
      </c>
      <c r="BB315" t="s">
        <v>3866</v>
      </c>
      <c r="BC315" t="s">
        <v>907</v>
      </c>
      <c r="BD315" t="s">
        <v>107</v>
      </c>
      <c r="BE315" t="s">
        <v>258</v>
      </c>
      <c r="BF315" t="s">
        <v>1146</v>
      </c>
      <c r="BG315" t="s">
        <v>907</v>
      </c>
      <c r="BH315" t="s">
        <v>907</v>
      </c>
      <c r="BY315" t="s">
        <v>907</v>
      </c>
      <c r="BZ315" t="s">
        <v>907</v>
      </c>
      <c r="CA315" t="s">
        <v>907</v>
      </c>
      <c r="CB315" t="s">
        <v>907</v>
      </c>
      <c r="CC315" t="s">
        <v>907</v>
      </c>
      <c r="CD315" t="s">
        <v>907</v>
      </c>
      <c r="CE315" t="s">
        <v>907</v>
      </c>
      <c r="CF315" t="s">
        <v>907</v>
      </c>
      <c r="CG315" t="s">
        <v>907</v>
      </c>
      <c r="CH315" t="s">
        <v>907</v>
      </c>
      <c r="CI315" t="s">
        <v>907</v>
      </c>
      <c r="CJ315" t="s">
        <v>907</v>
      </c>
      <c r="CK315" t="s">
        <v>907</v>
      </c>
      <c r="CL315" t="s">
        <v>907</v>
      </c>
      <c r="CM315" t="s">
        <v>907</v>
      </c>
      <c r="CN315" t="s">
        <v>907</v>
      </c>
      <c r="CO315" t="s">
        <v>907</v>
      </c>
      <c r="CP315" t="s">
        <v>907</v>
      </c>
      <c r="CQ315" t="s">
        <v>907</v>
      </c>
      <c r="CR315" t="s">
        <v>95</v>
      </c>
      <c r="CS315" t="s">
        <v>907</v>
      </c>
      <c r="CT315" t="s">
        <v>907</v>
      </c>
      <c r="CU315" t="s">
        <v>907</v>
      </c>
      <c r="CV315" t="s">
        <v>119</v>
      </c>
      <c r="CW315" t="s">
        <v>1137</v>
      </c>
      <c r="CX315" t="s">
        <v>907</v>
      </c>
      <c r="CY315" t="s">
        <v>907</v>
      </c>
      <c r="CZ315" t="s">
        <v>907</v>
      </c>
      <c r="DA315" t="s">
        <v>907</v>
      </c>
      <c r="DB315" t="s">
        <v>907</v>
      </c>
      <c r="DC315" t="s">
        <v>907</v>
      </c>
      <c r="DD315" t="s">
        <v>907</v>
      </c>
      <c r="DE315" t="s">
        <v>907</v>
      </c>
      <c r="DF315" t="s">
        <v>907</v>
      </c>
      <c r="DG315" t="s">
        <v>95</v>
      </c>
      <c r="DH315" t="s">
        <v>907</v>
      </c>
      <c r="DI315" t="s">
        <v>907</v>
      </c>
      <c r="DJ315" t="s">
        <v>907</v>
      </c>
      <c r="DK315" t="s">
        <v>907</v>
      </c>
      <c r="DL315" t="s">
        <v>907</v>
      </c>
      <c r="DM315" t="s">
        <v>291</v>
      </c>
      <c r="DN315" t="s">
        <v>907</v>
      </c>
      <c r="DO315" t="s">
        <v>907</v>
      </c>
      <c r="DP315" t="s">
        <v>907</v>
      </c>
      <c r="DQ315" t="s">
        <v>441</v>
      </c>
      <c r="DR315" t="s">
        <v>907</v>
      </c>
      <c r="DS315" t="s">
        <v>907</v>
      </c>
      <c r="DT315" t="s">
        <v>907</v>
      </c>
      <c r="DU315" t="s">
        <v>95</v>
      </c>
      <c r="DV315" t="s">
        <v>907</v>
      </c>
      <c r="DW315" t="s">
        <v>907</v>
      </c>
      <c r="DX315" t="s">
        <v>907</v>
      </c>
      <c r="FQ315">
        <v>566789950</v>
      </c>
      <c r="FR315" t="s">
        <v>1789</v>
      </c>
      <c r="FS315" s="1">
        <v>45925.665335648147</v>
      </c>
      <c r="FV315" t="s">
        <v>134</v>
      </c>
      <c r="FW315" t="s">
        <v>135</v>
      </c>
      <c r="FX315" t="s">
        <v>136</v>
      </c>
      <c r="FZ315">
        <v>274</v>
      </c>
    </row>
    <row r="316" spans="1:182" hidden="1" x14ac:dyDescent="0.3">
      <c r="A316" s="1">
        <v>45930.395416307867</v>
      </c>
      <c r="B316" s="1">
        <v>45930.933029594897</v>
      </c>
      <c r="D316" t="s">
        <v>84</v>
      </c>
      <c r="E316" t="s">
        <v>3876</v>
      </c>
      <c r="F316" t="s">
        <v>3679</v>
      </c>
      <c r="G316" t="s">
        <v>176</v>
      </c>
      <c r="H316" t="s">
        <v>4122</v>
      </c>
      <c r="I316" t="s">
        <v>3680</v>
      </c>
      <c r="J316" t="s">
        <v>3681</v>
      </c>
      <c r="K316" t="s">
        <v>90</v>
      </c>
      <c r="L316" t="s">
        <v>3682</v>
      </c>
      <c r="M316" t="s">
        <v>3683</v>
      </c>
      <c r="S316" t="s">
        <v>84</v>
      </c>
      <c r="T316" t="s">
        <v>94</v>
      </c>
      <c r="U316">
        <v>1</v>
      </c>
      <c r="V316" t="s">
        <v>95</v>
      </c>
      <c r="W316" t="s">
        <v>907</v>
      </c>
      <c r="X316">
        <v>30</v>
      </c>
      <c r="Y316">
        <v>1</v>
      </c>
      <c r="Z316">
        <v>1</v>
      </c>
      <c r="AA316" t="s">
        <v>251</v>
      </c>
      <c r="AB316" t="s">
        <v>97</v>
      </c>
      <c r="AC316" t="s">
        <v>98</v>
      </c>
      <c r="AD316" t="s">
        <v>252</v>
      </c>
      <c r="AE316" t="s">
        <v>431</v>
      </c>
      <c r="AF316" t="s">
        <v>907</v>
      </c>
      <c r="AG316">
        <v>3000</v>
      </c>
      <c r="AH316" t="s">
        <v>3873</v>
      </c>
      <c r="AI316" t="s">
        <v>907</v>
      </c>
      <c r="AJ316" t="s">
        <v>907</v>
      </c>
      <c r="AK316" t="s">
        <v>102</v>
      </c>
      <c r="AL316" t="s">
        <v>907</v>
      </c>
      <c r="AM316" t="s">
        <v>4130</v>
      </c>
      <c r="AN316" t="s">
        <v>907</v>
      </c>
      <c r="AQ316" t="s">
        <v>3684</v>
      </c>
      <c r="AR316" t="s">
        <v>84</v>
      </c>
      <c r="AS316">
        <v>0</v>
      </c>
      <c r="AT316">
        <v>0</v>
      </c>
      <c r="AU316">
        <v>0</v>
      </c>
      <c r="AV316">
        <v>0</v>
      </c>
      <c r="AW316">
        <v>0</v>
      </c>
      <c r="AX316">
        <v>0</v>
      </c>
      <c r="AY316">
        <v>0</v>
      </c>
      <c r="AZ316" t="s">
        <v>106</v>
      </c>
      <c r="BA316" t="s">
        <v>95</v>
      </c>
      <c r="BB316" t="s">
        <v>308</v>
      </c>
      <c r="BC316" t="s">
        <v>907</v>
      </c>
      <c r="BD316" t="s">
        <v>95</v>
      </c>
      <c r="BE316" t="s">
        <v>258</v>
      </c>
      <c r="BF316" t="s">
        <v>3685</v>
      </c>
      <c r="BG316" t="s">
        <v>310</v>
      </c>
      <c r="BH316" t="s">
        <v>907</v>
      </c>
      <c r="BY316" t="s">
        <v>907</v>
      </c>
      <c r="BZ316" t="s">
        <v>907</v>
      </c>
      <c r="CA316" t="s">
        <v>907</v>
      </c>
      <c r="CB316" t="s">
        <v>907</v>
      </c>
      <c r="CC316" t="s">
        <v>907</v>
      </c>
      <c r="CD316" t="s">
        <v>907</v>
      </c>
      <c r="CE316" t="s">
        <v>907</v>
      </c>
      <c r="CF316" t="s">
        <v>907</v>
      </c>
      <c r="CG316" t="s">
        <v>907</v>
      </c>
      <c r="CH316" t="s">
        <v>907</v>
      </c>
      <c r="CI316" t="s">
        <v>907</v>
      </c>
      <c r="CJ316" t="s">
        <v>907</v>
      </c>
      <c r="CK316" t="s">
        <v>907</v>
      </c>
      <c r="CL316" t="s">
        <v>907</v>
      </c>
      <c r="CM316" t="s">
        <v>907</v>
      </c>
      <c r="CN316" t="s">
        <v>907</v>
      </c>
      <c r="CO316" t="s">
        <v>907</v>
      </c>
      <c r="CP316" t="s">
        <v>907</v>
      </c>
      <c r="CQ316" t="s">
        <v>907</v>
      </c>
      <c r="CR316" t="s">
        <v>95</v>
      </c>
      <c r="CS316" t="s">
        <v>907</v>
      </c>
      <c r="CT316" t="s">
        <v>907</v>
      </c>
      <c r="CU316" t="s">
        <v>907</v>
      </c>
      <c r="CV316" t="s">
        <v>290</v>
      </c>
      <c r="CW316" t="s">
        <v>907</v>
      </c>
      <c r="CX316" t="s">
        <v>907</v>
      </c>
      <c r="CY316" t="s">
        <v>907</v>
      </c>
      <c r="CZ316" t="s">
        <v>907</v>
      </c>
      <c r="DA316" t="s">
        <v>907</v>
      </c>
      <c r="DB316" t="s">
        <v>907</v>
      </c>
      <c r="DC316" t="s">
        <v>907</v>
      </c>
      <c r="DD316" t="s">
        <v>907</v>
      </c>
      <c r="DE316" t="s">
        <v>907</v>
      </c>
      <c r="DF316" t="s">
        <v>907</v>
      </c>
      <c r="DG316" t="s">
        <v>95</v>
      </c>
      <c r="DH316" t="s">
        <v>95</v>
      </c>
      <c r="DI316" t="s">
        <v>907</v>
      </c>
      <c r="DJ316" t="s">
        <v>907</v>
      </c>
      <c r="DK316" t="s">
        <v>907</v>
      </c>
      <c r="DL316" t="s">
        <v>907</v>
      </c>
      <c r="DM316" t="s">
        <v>291</v>
      </c>
      <c r="DN316" t="s">
        <v>907</v>
      </c>
      <c r="DO316" t="s">
        <v>907</v>
      </c>
      <c r="DP316" t="s">
        <v>907</v>
      </c>
      <c r="DQ316" t="s">
        <v>128</v>
      </c>
      <c r="DR316" t="s">
        <v>907</v>
      </c>
      <c r="DS316" t="s">
        <v>172</v>
      </c>
      <c r="DT316" t="s">
        <v>3686</v>
      </c>
      <c r="DU316" t="s">
        <v>84</v>
      </c>
      <c r="DV316" t="s">
        <v>294</v>
      </c>
      <c r="DW316" t="s">
        <v>132</v>
      </c>
      <c r="DX316" t="s">
        <v>95</v>
      </c>
      <c r="FQ316">
        <v>570408243</v>
      </c>
      <c r="FR316" t="s">
        <v>3687</v>
      </c>
      <c r="FS316" s="1">
        <v>45930.850208333337</v>
      </c>
      <c r="FV316" t="s">
        <v>134</v>
      </c>
      <c r="FW316" t="s">
        <v>135</v>
      </c>
      <c r="FX316" t="s">
        <v>136</v>
      </c>
      <c r="FZ316">
        <v>594</v>
      </c>
    </row>
    <row r="317" spans="1:182" hidden="1" x14ac:dyDescent="0.3">
      <c r="A317" s="1">
        <v>45924.661832256941</v>
      </c>
      <c r="B317" s="1">
        <v>45924.773542337964</v>
      </c>
      <c r="D317" t="s">
        <v>84</v>
      </c>
      <c r="E317" t="s">
        <v>3876</v>
      </c>
      <c r="F317" t="s">
        <v>1199</v>
      </c>
      <c r="G317" t="s">
        <v>176</v>
      </c>
      <c r="H317" t="s">
        <v>4121</v>
      </c>
      <c r="I317" t="s">
        <v>1200</v>
      </c>
      <c r="J317" t="s">
        <v>1201</v>
      </c>
      <c r="K317" t="s">
        <v>90</v>
      </c>
      <c r="L317" t="s">
        <v>1075</v>
      </c>
      <c r="M317" t="s">
        <v>671</v>
      </c>
      <c r="S317" t="s">
        <v>84</v>
      </c>
      <c r="T317" t="s">
        <v>94</v>
      </c>
      <c r="U317">
        <v>1</v>
      </c>
      <c r="V317" t="s">
        <v>95</v>
      </c>
      <c r="W317" t="s">
        <v>907</v>
      </c>
      <c r="X317">
        <v>5</v>
      </c>
      <c r="Y317">
        <v>1</v>
      </c>
      <c r="Z317">
        <v>1</v>
      </c>
      <c r="AA317" t="s">
        <v>504</v>
      </c>
      <c r="AB317" t="s">
        <v>97</v>
      </c>
      <c r="AC317" t="s">
        <v>144</v>
      </c>
      <c r="AD317" t="s">
        <v>252</v>
      </c>
      <c r="AE317" t="s">
        <v>101</v>
      </c>
      <c r="AF317" t="s">
        <v>907</v>
      </c>
      <c r="AG317">
        <v>5000</v>
      </c>
      <c r="AH317" t="s">
        <v>214</v>
      </c>
      <c r="AI317" t="s">
        <v>907</v>
      </c>
      <c r="AJ317" s="5">
        <v>15000</v>
      </c>
      <c r="AK317" t="s">
        <v>148</v>
      </c>
      <c r="AL317" t="s">
        <v>907</v>
      </c>
      <c r="AM317" t="s">
        <v>1202</v>
      </c>
      <c r="AN317" t="s">
        <v>907</v>
      </c>
      <c r="AO317" t="s">
        <v>1203</v>
      </c>
      <c r="AP317" t="s">
        <v>3914</v>
      </c>
      <c r="AQ317" t="s">
        <v>909</v>
      </c>
      <c r="AR317" t="s">
        <v>84</v>
      </c>
      <c r="AS317">
        <v>0</v>
      </c>
      <c r="AT317">
        <v>0</v>
      </c>
      <c r="AU317">
        <v>0</v>
      </c>
      <c r="AV317">
        <v>0</v>
      </c>
      <c r="AW317">
        <v>0</v>
      </c>
      <c r="AX317">
        <v>0</v>
      </c>
      <c r="AY317">
        <v>0</v>
      </c>
      <c r="AZ317" t="s">
        <v>1003</v>
      </c>
      <c r="BA317" t="s">
        <v>95</v>
      </c>
      <c r="BB317" t="s">
        <v>154</v>
      </c>
      <c r="BC317" t="s">
        <v>907</v>
      </c>
      <c r="BD317" t="s">
        <v>95</v>
      </c>
      <c r="BE317" t="s">
        <v>258</v>
      </c>
      <c r="BF317" t="s">
        <v>1146</v>
      </c>
      <c r="BG317" t="s">
        <v>1184</v>
      </c>
      <c r="BH317" t="s">
        <v>907</v>
      </c>
      <c r="BY317" t="s">
        <v>907</v>
      </c>
      <c r="BZ317" t="s">
        <v>907</v>
      </c>
      <c r="CA317" t="s">
        <v>907</v>
      </c>
      <c r="CB317" t="s">
        <v>907</v>
      </c>
      <c r="CC317" t="s">
        <v>907</v>
      </c>
      <c r="CD317" t="s">
        <v>907</v>
      </c>
      <c r="CE317" t="s">
        <v>907</v>
      </c>
      <c r="CF317" t="s">
        <v>907</v>
      </c>
      <c r="CG317" t="s">
        <v>907</v>
      </c>
      <c r="CH317" t="s">
        <v>907</v>
      </c>
      <c r="CI317" t="s">
        <v>907</v>
      </c>
      <c r="CJ317" t="s">
        <v>907</v>
      </c>
      <c r="CK317" t="s">
        <v>907</v>
      </c>
      <c r="CL317" t="s">
        <v>907</v>
      </c>
      <c r="CM317" t="s">
        <v>907</v>
      </c>
      <c r="CN317" t="s">
        <v>907</v>
      </c>
      <c r="CO317" t="s">
        <v>907</v>
      </c>
      <c r="CP317" t="s">
        <v>907</v>
      </c>
      <c r="CQ317" t="s">
        <v>907</v>
      </c>
      <c r="CR317" t="s">
        <v>95</v>
      </c>
      <c r="CS317" t="s">
        <v>907</v>
      </c>
      <c r="CT317" t="s">
        <v>907</v>
      </c>
      <c r="CU317" t="s">
        <v>907</v>
      </c>
      <c r="CV317" t="s">
        <v>812</v>
      </c>
      <c r="CW317" t="s">
        <v>495</v>
      </c>
      <c r="CX317" t="s">
        <v>907</v>
      </c>
      <c r="CY317" t="s">
        <v>907</v>
      </c>
      <c r="CZ317" t="s">
        <v>907</v>
      </c>
      <c r="DA317" t="s">
        <v>907</v>
      </c>
      <c r="DB317" t="s">
        <v>907</v>
      </c>
      <c r="DC317" t="s">
        <v>907</v>
      </c>
      <c r="DD317" t="s">
        <v>907</v>
      </c>
      <c r="DE317" t="s">
        <v>907</v>
      </c>
      <c r="DF317" t="s">
        <v>907</v>
      </c>
      <c r="DG317" t="s">
        <v>84</v>
      </c>
      <c r="DH317" t="s">
        <v>95</v>
      </c>
      <c r="DI317" t="s">
        <v>907</v>
      </c>
      <c r="DJ317" t="s">
        <v>907</v>
      </c>
      <c r="DK317" t="s">
        <v>907</v>
      </c>
      <c r="DL317" t="s">
        <v>907</v>
      </c>
      <c r="DM317" t="s">
        <v>291</v>
      </c>
      <c r="DN317" t="s">
        <v>907</v>
      </c>
      <c r="DO317" t="s">
        <v>907</v>
      </c>
      <c r="DP317" t="s">
        <v>907</v>
      </c>
      <c r="DQ317" t="s">
        <v>441</v>
      </c>
      <c r="DR317" t="s">
        <v>907</v>
      </c>
      <c r="DS317" t="s">
        <v>1204</v>
      </c>
      <c r="DT317" t="s">
        <v>1205</v>
      </c>
      <c r="DU317" t="s">
        <v>84</v>
      </c>
      <c r="DV317" t="s">
        <v>294</v>
      </c>
      <c r="DW317" t="s">
        <v>1120</v>
      </c>
      <c r="DX317" t="s">
        <v>95</v>
      </c>
      <c r="FQ317">
        <v>565986553</v>
      </c>
      <c r="FR317" t="s">
        <v>1206</v>
      </c>
      <c r="FS317" s="1">
        <v>45924.707766203697</v>
      </c>
      <c r="FV317" t="s">
        <v>134</v>
      </c>
      <c r="FW317" t="s">
        <v>135</v>
      </c>
      <c r="FX317" t="s">
        <v>136</v>
      </c>
      <c r="FZ317">
        <v>205</v>
      </c>
    </row>
    <row r="318" spans="1:182" hidden="1" x14ac:dyDescent="0.3">
      <c r="A318" s="1">
        <v>45924.62508982639</v>
      </c>
      <c r="B318" s="1">
        <v>45924.77335703704</v>
      </c>
      <c r="D318" t="s">
        <v>84</v>
      </c>
      <c r="E318" t="s">
        <v>3876</v>
      </c>
      <c r="F318" t="s">
        <v>1178</v>
      </c>
      <c r="G318" t="s">
        <v>176</v>
      </c>
      <c r="H318" t="s">
        <v>4122</v>
      </c>
      <c r="I318" t="s">
        <v>1179</v>
      </c>
      <c r="J318" t="s">
        <v>1180</v>
      </c>
      <c r="K318" t="s">
        <v>90</v>
      </c>
      <c r="L318" t="s">
        <v>1173</v>
      </c>
      <c r="M318" t="s">
        <v>671</v>
      </c>
      <c r="S318" t="s">
        <v>84</v>
      </c>
      <c r="T318" t="s">
        <v>94</v>
      </c>
      <c r="U318">
        <v>12</v>
      </c>
      <c r="V318" t="s">
        <v>95</v>
      </c>
      <c r="W318" t="s">
        <v>907</v>
      </c>
      <c r="X318">
        <v>25</v>
      </c>
      <c r="Y318">
        <v>1</v>
      </c>
      <c r="Z318">
        <v>1</v>
      </c>
      <c r="AA318" t="s">
        <v>251</v>
      </c>
      <c r="AB318" t="s">
        <v>351</v>
      </c>
      <c r="AC318" t="s">
        <v>98</v>
      </c>
      <c r="AD318" t="s">
        <v>252</v>
      </c>
      <c r="AE318" t="s">
        <v>304</v>
      </c>
      <c r="AF318" t="s">
        <v>907</v>
      </c>
      <c r="AG318">
        <v>10000</v>
      </c>
      <c r="AH318" t="s">
        <v>100</v>
      </c>
      <c r="AI318" t="s">
        <v>907</v>
      </c>
      <c r="AJ318" s="5">
        <v>1000</v>
      </c>
      <c r="AK318" t="s">
        <v>148</v>
      </c>
      <c r="AL318" t="s">
        <v>907</v>
      </c>
      <c r="AM318" t="s">
        <v>1152</v>
      </c>
      <c r="AN318" t="s">
        <v>907</v>
      </c>
      <c r="AO318" t="s">
        <v>1181</v>
      </c>
      <c r="AP318" t="s">
        <v>3914</v>
      </c>
      <c r="AQ318" t="s">
        <v>1182</v>
      </c>
      <c r="AR318" t="s">
        <v>84</v>
      </c>
      <c r="AS318">
        <v>0</v>
      </c>
      <c r="AT318">
        <v>0</v>
      </c>
      <c r="AU318">
        <v>0</v>
      </c>
      <c r="AV318">
        <v>0</v>
      </c>
      <c r="AW318">
        <v>0</v>
      </c>
      <c r="AX318">
        <v>0</v>
      </c>
      <c r="AY318">
        <v>0</v>
      </c>
      <c r="AZ318" t="s">
        <v>1003</v>
      </c>
      <c r="BA318" t="s">
        <v>95</v>
      </c>
      <c r="BB318" t="s">
        <v>154</v>
      </c>
      <c r="BC318" t="s">
        <v>907</v>
      </c>
      <c r="BD318" t="s">
        <v>257</v>
      </c>
      <c r="BE318" t="s">
        <v>810</v>
      </c>
      <c r="BF318" t="s">
        <v>1183</v>
      </c>
      <c r="BG318" t="s">
        <v>1184</v>
      </c>
      <c r="BH318" t="s">
        <v>907</v>
      </c>
      <c r="BY318" t="s">
        <v>907</v>
      </c>
      <c r="BZ318" t="s">
        <v>907</v>
      </c>
      <c r="CA318" t="s">
        <v>907</v>
      </c>
      <c r="CB318" t="s">
        <v>907</v>
      </c>
      <c r="CC318" t="s">
        <v>907</v>
      </c>
      <c r="CD318" t="s">
        <v>907</v>
      </c>
      <c r="CE318" t="s">
        <v>907</v>
      </c>
      <c r="CF318" t="s">
        <v>907</v>
      </c>
      <c r="CG318" t="s">
        <v>907</v>
      </c>
      <c r="CH318" t="s">
        <v>907</v>
      </c>
      <c r="CI318" t="s">
        <v>907</v>
      </c>
      <c r="CJ318" t="s">
        <v>907</v>
      </c>
      <c r="CK318" t="s">
        <v>907</v>
      </c>
      <c r="CL318" t="s">
        <v>907</v>
      </c>
      <c r="CM318" t="s">
        <v>907</v>
      </c>
      <c r="CN318" t="s">
        <v>907</v>
      </c>
      <c r="CO318" t="s">
        <v>907</v>
      </c>
      <c r="CP318" t="s">
        <v>907</v>
      </c>
      <c r="CQ318" t="s">
        <v>907</v>
      </c>
      <c r="CR318" t="s">
        <v>95</v>
      </c>
      <c r="CS318" t="s">
        <v>907</v>
      </c>
      <c r="CT318" t="s">
        <v>907</v>
      </c>
      <c r="CU318" t="s">
        <v>907</v>
      </c>
      <c r="CV318" t="s">
        <v>119</v>
      </c>
      <c r="CW318" t="s">
        <v>1185</v>
      </c>
      <c r="CX318" t="s">
        <v>907</v>
      </c>
      <c r="CY318" t="s">
        <v>907</v>
      </c>
      <c r="CZ318" t="s">
        <v>907</v>
      </c>
      <c r="DA318" t="s">
        <v>907</v>
      </c>
      <c r="DB318" t="s">
        <v>907</v>
      </c>
      <c r="DC318" t="s">
        <v>907</v>
      </c>
      <c r="DD318" t="s">
        <v>907</v>
      </c>
      <c r="DE318" t="s">
        <v>907</v>
      </c>
      <c r="DF318" t="s">
        <v>907</v>
      </c>
      <c r="DG318" t="s">
        <v>95</v>
      </c>
      <c r="DH318" t="s">
        <v>95</v>
      </c>
      <c r="DI318" t="s">
        <v>907</v>
      </c>
      <c r="DJ318" t="s">
        <v>907</v>
      </c>
      <c r="DK318" t="s">
        <v>907</v>
      </c>
      <c r="DL318" t="s">
        <v>907</v>
      </c>
      <c r="DM318" t="s">
        <v>291</v>
      </c>
      <c r="DN318" t="s">
        <v>907</v>
      </c>
      <c r="DO318" t="s">
        <v>907</v>
      </c>
      <c r="DP318" t="s">
        <v>907</v>
      </c>
      <c r="DQ318" t="s">
        <v>128</v>
      </c>
      <c r="DR318" t="s">
        <v>907</v>
      </c>
      <c r="DS318" t="s">
        <v>172</v>
      </c>
      <c r="DT318" t="s">
        <v>1186</v>
      </c>
      <c r="DU318" t="s">
        <v>95</v>
      </c>
      <c r="DV318" t="s">
        <v>907</v>
      </c>
      <c r="DW318" t="s">
        <v>907</v>
      </c>
      <c r="DX318" t="s">
        <v>907</v>
      </c>
      <c r="FQ318">
        <v>565986532</v>
      </c>
      <c r="FR318" t="s">
        <v>1187</v>
      </c>
      <c r="FS318" s="1">
        <v>45924.707754629628</v>
      </c>
      <c r="FV318" t="s">
        <v>134</v>
      </c>
      <c r="FW318" t="s">
        <v>135</v>
      </c>
      <c r="FX318" t="s">
        <v>136</v>
      </c>
      <c r="FZ318">
        <v>203</v>
      </c>
    </row>
    <row r="319" spans="1:182" hidden="1" x14ac:dyDescent="0.3">
      <c r="A319" s="1">
        <v>45924.551582986111</v>
      </c>
      <c r="B319" s="1">
        <v>45924.773044224537</v>
      </c>
      <c r="D319" t="s">
        <v>84</v>
      </c>
      <c r="E319" t="s">
        <v>3876</v>
      </c>
      <c r="F319" t="s">
        <v>1139</v>
      </c>
      <c r="G319" t="s">
        <v>176</v>
      </c>
      <c r="H319" t="s">
        <v>4122</v>
      </c>
      <c r="I319" t="s">
        <v>1140</v>
      </c>
      <c r="J319" t="s">
        <v>1141</v>
      </c>
      <c r="K319" t="s">
        <v>90</v>
      </c>
      <c r="L319" t="s">
        <v>1045</v>
      </c>
      <c r="M319" t="s">
        <v>671</v>
      </c>
      <c r="S319" t="s">
        <v>84</v>
      </c>
      <c r="T319" t="s">
        <v>94</v>
      </c>
      <c r="U319">
        <v>7</v>
      </c>
      <c r="V319" t="s">
        <v>95</v>
      </c>
      <c r="W319" t="s">
        <v>907</v>
      </c>
      <c r="X319">
        <v>7</v>
      </c>
      <c r="Y319">
        <v>2</v>
      </c>
      <c r="Z319">
        <v>2</v>
      </c>
      <c r="AA319" t="s">
        <v>504</v>
      </c>
      <c r="AB319" t="s">
        <v>351</v>
      </c>
      <c r="AC319" t="s">
        <v>98</v>
      </c>
      <c r="AD319" t="s">
        <v>99</v>
      </c>
      <c r="AE319" t="s">
        <v>304</v>
      </c>
      <c r="AF319" t="s">
        <v>907</v>
      </c>
      <c r="AG319">
        <v>30000</v>
      </c>
      <c r="AH319" t="s">
        <v>100</v>
      </c>
      <c r="AI319" t="s">
        <v>907</v>
      </c>
      <c r="AJ319" s="5">
        <v>4000</v>
      </c>
      <c r="AK319" t="s">
        <v>318</v>
      </c>
      <c r="AL319" t="s">
        <v>907</v>
      </c>
      <c r="AM319" t="s">
        <v>1142</v>
      </c>
      <c r="AN319" t="s">
        <v>907</v>
      </c>
      <c r="AO319" t="s">
        <v>1143</v>
      </c>
      <c r="AP319" t="s">
        <v>1144</v>
      </c>
      <c r="AQ319" t="s">
        <v>1145</v>
      </c>
      <c r="AR319" t="s">
        <v>84</v>
      </c>
      <c r="AS319">
        <v>0</v>
      </c>
      <c r="AT319">
        <v>0</v>
      </c>
      <c r="AU319">
        <v>0</v>
      </c>
      <c r="AV319">
        <v>0</v>
      </c>
      <c r="AW319">
        <v>0</v>
      </c>
      <c r="AX319">
        <v>0</v>
      </c>
      <c r="AY319">
        <v>0</v>
      </c>
      <c r="AZ319" t="s">
        <v>929</v>
      </c>
      <c r="BA319" t="s">
        <v>1065</v>
      </c>
      <c r="BB319" t="s">
        <v>154</v>
      </c>
      <c r="BC319" t="s">
        <v>907</v>
      </c>
      <c r="BD319" t="s">
        <v>107</v>
      </c>
      <c r="BE319" t="s">
        <v>258</v>
      </c>
      <c r="BF319" t="s">
        <v>1146</v>
      </c>
      <c r="BG319" t="s">
        <v>907</v>
      </c>
      <c r="BH319" t="s">
        <v>907</v>
      </c>
      <c r="BY319" t="s">
        <v>907</v>
      </c>
      <c r="BZ319" t="s">
        <v>907</v>
      </c>
      <c r="CA319" t="s">
        <v>907</v>
      </c>
      <c r="CB319" t="s">
        <v>907</v>
      </c>
      <c r="CC319" t="s">
        <v>907</v>
      </c>
      <c r="CD319" t="s">
        <v>907</v>
      </c>
      <c r="CE319" t="s">
        <v>907</v>
      </c>
      <c r="CF319" t="s">
        <v>907</v>
      </c>
      <c r="CG319" t="s">
        <v>907</v>
      </c>
      <c r="CH319" t="s">
        <v>907</v>
      </c>
      <c r="CI319" t="s">
        <v>907</v>
      </c>
      <c r="CJ319" t="s">
        <v>907</v>
      </c>
      <c r="CK319" t="s">
        <v>907</v>
      </c>
      <c r="CL319" t="s">
        <v>907</v>
      </c>
      <c r="CM319" t="s">
        <v>907</v>
      </c>
      <c r="CN319" t="s">
        <v>907</v>
      </c>
      <c r="CO319" t="s">
        <v>907</v>
      </c>
      <c r="CP319" t="s">
        <v>907</v>
      </c>
      <c r="CQ319" t="s">
        <v>907</v>
      </c>
      <c r="CR319" t="s">
        <v>95</v>
      </c>
      <c r="CS319" t="s">
        <v>907</v>
      </c>
      <c r="CT319" t="s">
        <v>907</v>
      </c>
      <c r="CU319" t="s">
        <v>907</v>
      </c>
      <c r="CV319" t="s">
        <v>812</v>
      </c>
      <c r="CW319" t="s">
        <v>1147</v>
      </c>
      <c r="CX319" t="s">
        <v>907</v>
      </c>
      <c r="CY319" t="s">
        <v>907</v>
      </c>
      <c r="CZ319" t="s">
        <v>907</v>
      </c>
      <c r="DA319" t="s">
        <v>907</v>
      </c>
      <c r="DB319" t="s">
        <v>907</v>
      </c>
      <c r="DC319" t="s">
        <v>907</v>
      </c>
      <c r="DD319" t="s">
        <v>907</v>
      </c>
      <c r="DE319" t="s">
        <v>907</v>
      </c>
      <c r="DF319" t="s">
        <v>907</v>
      </c>
      <c r="DG319" t="s">
        <v>84</v>
      </c>
      <c r="DH319" t="s">
        <v>907</v>
      </c>
      <c r="DI319" t="s">
        <v>907</v>
      </c>
      <c r="DJ319" t="s">
        <v>907</v>
      </c>
      <c r="DK319" t="s">
        <v>907</v>
      </c>
      <c r="DL319" t="s">
        <v>907</v>
      </c>
      <c r="DM319" t="s">
        <v>291</v>
      </c>
      <c r="DN319" t="s">
        <v>907</v>
      </c>
      <c r="DO319" t="s">
        <v>907</v>
      </c>
      <c r="DP319" t="s">
        <v>907</v>
      </c>
      <c r="DQ319" t="s">
        <v>441</v>
      </c>
      <c r="DR319" t="s">
        <v>907</v>
      </c>
      <c r="DS319" t="s">
        <v>907</v>
      </c>
      <c r="DT319" t="s">
        <v>907</v>
      </c>
      <c r="DU319" t="s">
        <v>95</v>
      </c>
      <c r="DV319" t="s">
        <v>907</v>
      </c>
      <c r="DW319" t="s">
        <v>907</v>
      </c>
      <c r="DX319" t="s">
        <v>907</v>
      </c>
      <c r="FQ319">
        <v>565986485</v>
      </c>
      <c r="FR319" t="s">
        <v>1148</v>
      </c>
      <c r="FS319" s="1">
        <v>45924.707708333342</v>
      </c>
      <c r="FV319" t="s">
        <v>134</v>
      </c>
      <c r="FW319" t="s">
        <v>135</v>
      </c>
      <c r="FX319" t="s">
        <v>136</v>
      </c>
      <c r="FZ319">
        <v>199</v>
      </c>
    </row>
    <row r="320" spans="1:182" hidden="1" x14ac:dyDescent="0.3">
      <c r="A320" s="1">
        <v>45924.482244618062</v>
      </c>
      <c r="B320" s="1">
        <v>45924.772429988428</v>
      </c>
      <c r="D320" t="s">
        <v>84</v>
      </c>
      <c r="E320" t="s">
        <v>3876</v>
      </c>
      <c r="F320" t="s">
        <v>1091</v>
      </c>
      <c r="G320" t="s">
        <v>176</v>
      </c>
      <c r="H320" t="s">
        <v>4122</v>
      </c>
      <c r="I320" t="s">
        <v>1092</v>
      </c>
      <c r="J320" t="s">
        <v>1093</v>
      </c>
      <c r="K320" t="s">
        <v>90</v>
      </c>
      <c r="L320" t="s">
        <v>1075</v>
      </c>
      <c r="M320" t="s">
        <v>671</v>
      </c>
      <c r="S320" t="s">
        <v>84</v>
      </c>
      <c r="T320" t="s">
        <v>94</v>
      </c>
      <c r="U320">
        <v>15</v>
      </c>
      <c r="V320" t="s">
        <v>95</v>
      </c>
      <c r="W320" t="s">
        <v>907</v>
      </c>
      <c r="X320">
        <v>15</v>
      </c>
      <c r="Y320">
        <v>2</v>
      </c>
      <c r="Z320">
        <v>2</v>
      </c>
      <c r="AA320" t="s">
        <v>96</v>
      </c>
      <c r="AB320" t="s">
        <v>351</v>
      </c>
      <c r="AC320" t="s">
        <v>98</v>
      </c>
      <c r="AD320" t="s">
        <v>280</v>
      </c>
      <c r="AE320" t="s">
        <v>304</v>
      </c>
      <c r="AF320" t="s">
        <v>907</v>
      </c>
      <c r="AG320" s="3">
        <v>27200</v>
      </c>
      <c r="AH320" t="s">
        <v>3873</v>
      </c>
      <c r="AI320" t="s">
        <v>907</v>
      </c>
      <c r="AJ320" t="s">
        <v>907</v>
      </c>
      <c r="AK320" t="s">
        <v>318</v>
      </c>
      <c r="AL320" t="s">
        <v>907</v>
      </c>
      <c r="AM320" t="s">
        <v>4130</v>
      </c>
      <c r="AN320" t="s">
        <v>907</v>
      </c>
      <c r="AQ320" t="s">
        <v>1094</v>
      </c>
      <c r="AR320" t="s">
        <v>84</v>
      </c>
      <c r="AS320">
        <v>0</v>
      </c>
      <c r="AT320">
        <v>0</v>
      </c>
      <c r="AU320">
        <v>0</v>
      </c>
      <c r="AV320">
        <v>0</v>
      </c>
      <c r="AW320">
        <v>0</v>
      </c>
      <c r="AX320">
        <v>0</v>
      </c>
      <c r="AY320">
        <v>0</v>
      </c>
      <c r="AZ320" t="s">
        <v>929</v>
      </c>
      <c r="BA320" t="s">
        <v>95</v>
      </c>
      <c r="BB320" t="s">
        <v>154</v>
      </c>
      <c r="BC320" t="s">
        <v>907</v>
      </c>
      <c r="BD320" t="s">
        <v>107</v>
      </c>
      <c r="BE320" t="s">
        <v>258</v>
      </c>
      <c r="BF320" t="s">
        <v>1095</v>
      </c>
      <c r="BG320" t="s">
        <v>907</v>
      </c>
      <c r="BH320" t="s">
        <v>907</v>
      </c>
      <c r="BY320" t="s">
        <v>907</v>
      </c>
      <c r="BZ320" t="s">
        <v>907</v>
      </c>
      <c r="CA320" t="s">
        <v>907</v>
      </c>
      <c r="CB320" t="s">
        <v>907</v>
      </c>
      <c r="CC320" t="s">
        <v>907</v>
      </c>
      <c r="CD320" t="s">
        <v>907</v>
      </c>
      <c r="CE320" t="s">
        <v>907</v>
      </c>
      <c r="CF320" t="s">
        <v>907</v>
      </c>
      <c r="CG320" t="s">
        <v>907</v>
      </c>
      <c r="CH320" t="s">
        <v>907</v>
      </c>
      <c r="CI320" t="s">
        <v>907</v>
      </c>
      <c r="CJ320" t="s">
        <v>907</v>
      </c>
      <c r="CK320" t="s">
        <v>907</v>
      </c>
      <c r="CL320" t="s">
        <v>907</v>
      </c>
      <c r="CM320" t="s">
        <v>907</v>
      </c>
      <c r="CN320" t="s">
        <v>907</v>
      </c>
      <c r="CO320" t="s">
        <v>907</v>
      </c>
      <c r="CP320" t="s">
        <v>907</v>
      </c>
      <c r="CQ320" t="s">
        <v>907</v>
      </c>
      <c r="CR320" t="s">
        <v>95</v>
      </c>
      <c r="CS320" t="s">
        <v>907</v>
      </c>
      <c r="CT320" t="s">
        <v>907</v>
      </c>
      <c r="CU320" t="s">
        <v>907</v>
      </c>
      <c r="CV320" t="s">
        <v>119</v>
      </c>
      <c r="CW320" t="s">
        <v>1096</v>
      </c>
      <c r="CX320" t="s">
        <v>907</v>
      </c>
      <c r="CY320" t="s">
        <v>907</v>
      </c>
      <c r="CZ320" t="s">
        <v>907</v>
      </c>
      <c r="DA320" t="s">
        <v>907</v>
      </c>
      <c r="DB320" t="s">
        <v>907</v>
      </c>
      <c r="DC320" t="s">
        <v>907</v>
      </c>
      <c r="DD320" t="s">
        <v>907</v>
      </c>
      <c r="DE320" t="s">
        <v>907</v>
      </c>
      <c r="DF320" t="s">
        <v>907</v>
      </c>
      <c r="DG320" t="s">
        <v>95</v>
      </c>
      <c r="DH320" t="s">
        <v>907</v>
      </c>
      <c r="DI320" t="s">
        <v>907</v>
      </c>
      <c r="DJ320" t="s">
        <v>907</v>
      </c>
      <c r="DK320" t="s">
        <v>907</v>
      </c>
      <c r="DL320" t="s">
        <v>907</v>
      </c>
      <c r="DM320" t="s">
        <v>291</v>
      </c>
      <c r="DN320" t="s">
        <v>907</v>
      </c>
      <c r="DO320" t="s">
        <v>907</v>
      </c>
      <c r="DP320" t="s">
        <v>907</v>
      </c>
      <c r="DQ320" t="s">
        <v>441</v>
      </c>
      <c r="DR320" t="s">
        <v>907</v>
      </c>
      <c r="DS320" t="s">
        <v>907</v>
      </c>
      <c r="DT320" t="s">
        <v>907</v>
      </c>
      <c r="DU320" t="s">
        <v>95</v>
      </c>
      <c r="DV320" t="s">
        <v>907</v>
      </c>
      <c r="DW320" t="s">
        <v>907</v>
      </c>
      <c r="DX320" t="s">
        <v>907</v>
      </c>
      <c r="FQ320">
        <v>565986432</v>
      </c>
      <c r="FR320" t="s">
        <v>1097</v>
      </c>
      <c r="FS320" s="1">
        <v>45924.707662037043</v>
      </c>
      <c r="FV320" t="s">
        <v>134</v>
      </c>
      <c r="FW320" t="s">
        <v>135</v>
      </c>
      <c r="FX320" t="s">
        <v>136</v>
      </c>
      <c r="FZ320">
        <v>194</v>
      </c>
    </row>
    <row r="321" spans="1:182" hidden="1" x14ac:dyDescent="0.3">
      <c r="A321" s="1">
        <v>45930.394773252323</v>
      </c>
      <c r="B321" s="1">
        <v>45931.372788101849</v>
      </c>
      <c r="D321" t="s">
        <v>84</v>
      </c>
      <c r="E321" t="s">
        <v>85</v>
      </c>
      <c r="F321" t="s">
        <v>3774</v>
      </c>
      <c r="G321" t="s">
        <v>176</v>
      </c>
      <c r="H321" t="s">
        <v>4122</v>
      </c>
      <c r="I321" t="s">
        <v>3775</v>
      </c>
      <c r="J321" t="s">
        <v>3776</v>
      </c>
      <c r="K321" t="s">
        <v>90</v>
      </c>
      <c r="L321" t="s">
        <v>3777</v>
      </c>
      <c r="M321" t="s">
        <v>3667</v>
      </c>
      <c r="N321" t="s">
        <v>3778</v>
      </c>
      <c r="O321">
        <v>-15.1811919</v>
      </c>
      <c r="P321">
        <v>22.838743999999998</v>
      </c>
      <c r="Q321">
        <v>1023.865234375</v>
      </c>
      <c r="R321">
        <v>4.9960000000000004</v>
      </c>
      <c r="S321" t="s">
        <v>84</v>
      </c>
      <c r="T321" t="s">
        <v>94</v>
      </c>
      <c r="U321">
        <v>6</v>
      </c>
      <c r="V321" t="s">
        <v>212</v>
      </c>
      <c r="W321" t="s">
        <v>3779</v>
      </c>
      <c r="X321">
        <v>30</v>
      </c>
      <c r="Y321">
        <v>50</v>
      </c>
      <c r="Z321">
        <v>2</v>
      </c>
      <c r="AA321" t="s">
        <v>279</v>
      </c>
      <c r="AB321" t="s">
        <v>97</v>
      </c>
      <c r="AC321" t="s">
        <v>98</v>
      </c>
      <c r="AD321" t="s">
        <v>99</v>
      </c>
      <c r="AE321" t="s">
        <v>100</v>
      </c>
      <c r="AF321" t="s">
        <v>907</v>
      </c>
      <c r="AG321">
        <v>0</v>
      </c>
      <c r="AH321" t="s">
        <v>147</v>
      </c>
      <c r="AI321" t="s">
        <v>907</v>
      </c>
      <c r="AJ321" s="5">
        <v>0</v>
      </c>
      <c r="AK321" t="s">
        <v>102</v>
      </c>
      <c r="AL321" t="s">
        <v>907</v>
      </c>
      <c r="AM321" t="s">
        <v>3780</v>
      </c>
      <c r="AN321" t="s">
        <v>907</v>
      </c>
      <c r="AO321">
        <v>0</v>
      </c>
      <c r="AP321" t="s">
        <v>3781</v>
      </c>
      <c r="AQ321" t="s">
        <v>741</v>
      </c>
      <c r="AR321" t="s">
        <v>84</v>
      </c>
      <c r="AS321">
        <v>0</v>
      </c>
      <c r="AT321">
        <v>0</v>
      </c>
      <c r="AU321">
        <v>0</v>
      </c>
      <c r="AV321">
        <v>17</v>
      </c>
      <c r="AW321">
        <v>0</v>
      </c>
      <c r="AX321">
        <v>0</v>
      </c>
      <c r="AY321">
        <v>0</v>
      </c>
      <c r="AZ321" t="s">
        <v>1003</v>
      </c>
      <c r="BA321" t="s">
        <v>95</v>
      </c>
      <c r="BB321" t="s">
        <v>154</v>
      </c>
      <c r="BC321" t="s">
        <v>907</v>
      </c>
      <c r="BD321" t="s">
        <v>95</v>
      </c>
      <c r="BE321" t="s">
        <v>907</v>
      </c>
      <c r="BF321" t="s">
        <v>585</v>
      </c>
      <c r="BG321" t="s">
        <v>310</v>
      </c>
      <c r="BH321" t="s">
        <v>907</v>
      </c>
      <c r="BY321" t="s">
        <v>907</v>
      </c>
      <c r="BZ321" t="s">
        <v>907</v>
      </c>
      <c r="CA321" t="s">
        <v>907</v>
      </c>
      <c r="CB321" t="s">
        <v>907</v>
      </c>
      <c r="CC321" t="s">
        <v>907</v>
      </c>
      <c r="CD321" t="s">
        <v>907</v>
      </c>
      <c r="CE321" t="s">
        <v>907</v>
      </c>
      <c r="CF321" t="s">
        <v>907</v>
      </c>
      <c r="CG321" t="s">
        <v>907</v>
      </c>
      <c r="CH321" t="s">
        <v>907</v>
      </c>
      <c r="CI321" t="s">
        <v>907</v>
      </c>
      <c r="CJ321" t="s">
        <v>907</v>
      </c>
      <c r="CK321" t="s">
        <v>907</v>
      </c>
      <c r="CL321" t="s">
        <v>907</v>
      </c>
      <c r="CM321" t="s">
        <v>907</v>
      </c>
      <c r="CN321" t="s">
        <v>907</v>
      </c>
      <c r="CO321" t="s">
        <v>907</v>
      </c>
      <c r="CP321" t="s">
        <v>907</v>
      </c>
      <c r="CQ321" t="s">
        <v>907</v>
      </c>
      <c r="CR321" t="s">
        <v>84</v>
      </c>
      <c r="CS321" t="s">
        <v>117</v>
      </c>
      <c r="CT321" t="s">
        <v>163</v>
      </c>
      <c r="CU321" t="s">
        <v>438</v>
      </c>
      <c r="CV321" t="s">
        <v>119</v>
      </c>
      <c r="CW321" t="s">
        <v>168</v>
      </c>
      <c r="CX321" t="s">
        <v>907</v>
      </c>
      <c r="CY321" t="s">
        <v>907</v>
      </c>
      <c r="CZ321" t="s">
        <v>907</v>
      </c>
      <c r="DA321" t="s">
        <v>907</v>
      </c>
      <c r="DB321" t="s">
        <v>907</v>
      </c>
      <c r="DC321" t="s">
        <v>907</v>
      </c>
      <c r="DD321" t="s">
        <v>907</v>
      </c>
      <c r="DE321" t="s">
        <v>907</v>
      </c>
      <c r="DF321" t="s">
        <v>907</v>
      </c>
      <c r="DG321" t="s">
        <v>95</v>
      </c>
      <c r="DH321" t="s">
        <v>95</v>
      </c>
      <c r="DI321" t="s">
        <v>907</v>
      </c>
      <c r="DJ321" t="s">
        <v>907</v>
      </c>
      <c r="DK321" t="s">
        <v>907</v>
      </c>
      <c r="DL321" t="s">
        <v>907</v>
      </c>
      <c r="DM321" t="s">
        <v>125</v>
      </c>
      <c r="DN321" t="s">
        <v>2386</v>
      </c>
      <c r="DO321" t="s">
        <v>171</v>
      </c>
      <c r="DP321" t="s">
        <v>907</v>
      </c>
      <c r="DQ321" t="s">
        <v>128</v>
      </c>
      <c r="DR321" t="s">
        <v>907</v>
      </c>
      <c r="DS321" t="s">
        <v>907</v>
      </c>
      <c r="DT321" t="s">
        <v>907</v>
      </c>
      <c r="DU321" t="s">
        <v>95</v>
      </c>
      <c r="DV321" t="s">
        <v>907</v>
      </c>
      <c r="DW321" t="s">
        <v>907</v>
      </c>
      <c r="DX321" t="s">
        <v>907</v>
      </c>
      <c r="FQ321">
        <v>570597391</v>
      </c>
      <c r="FR321" t="s">
        <v>3782</v>
      </c>
      <c r="FS321" s="1">
        <v>45931.289664351847</v>
      </c>
      <c r="FV321" t="s">
        <v>134</v>
      </c>
      <c r="FW321" t="s">
        <v>135</v>
      </c>
      <c r="FX321" t="s">
        <v>136</v>
      </c>
      <c r="FZ321">
        <v>642</v>
      </c>
    </row>
    <row r="322" spans="1:182" hidden="1" x14ac:dyDescent="0.3">
      <c r="A322" s="1">
        <v>45924.538163287027</v>
      </c>
      <c r="B322" s="1">
        <v>45924.772982685186</v>
      </c>
      <c r="D322" t="s">
        <v>84</v>
      </c>
      <c r="E322" t="s">
        <v>3876</v>
      </c>
      <c r="F322" t="s">
        <v>1131</v>
      </c>
      <c r="G322" t="s">
        <v>176</v>
      </c>
      <c r="H322" t="s">
        <v>4122</v>
      </c>
      <c r="I322" t="s">
        <v>1132</v>
      </c>
      <c r="J322" t="s">
        <v>1133</v>
      </c>
      <c r="K322" t="s">
        <v>90</v>
      </c>
      <c r="L322" t="s">
        <v>1075</v>
      </c>
      <c r="M322" t="s">
        <v>671</v>
      </c>
      <c r="S322" t="s">
        <v>84</v>
      </c>
      <c r="T322" t="s">
        <v>94</v>
      </c>
      <c r="U322">
        <v>11</v>
      </c>
      <c r="V322" t="s">
        <v>95</v>
      </c>
      <c r="W322" t="s">
        <v>907</v>
      </c>
      <c r="X322">
        <v>20</v>
      </c>
      <c r="Y322">
        <v>5</v>
      </c>
      <c r="Z322">
        <v>5</v>
      </c>
      <c r="AA322" t="s">
        <v>251</v>
      </c>
      <c r="AB322" t="s">
        <v>351</v>
      </c>
      <c r="AC322" t="s">
        <v>98</v>
      </c>
      <c r="AD322" t="s">
        <v>280</v>
      </c>
      <c r="AE322" t="s">
        <v>304</v>
      </c>
      <c r="AF322" t="s">
        <v>907</v>
      </c>
      <c r="AG322">
        <v>10000</v>
      </c>
      <c r="AH322" t="s">
        <v>966</v>
      </c>
      <c r="AI322" t="s">
        <v>907</v>
      </c>
      <c r="AJ322" s="5">
        <v>11000</v>
      </c>
      <c r="AK322" t="s">
        <v>318</v>
      </c>
      <c r="AL322" t="s">
        <v>907</v>
      </c>
      <c r="AM322" t="s">
        <v>1134</v>
      </c>
      <c r="AN322" t="s">
        <v>1102</v>
      </c>
      <c r="AO322" t="s">
        <v>1135</v>
      </c>
      <c r="AP322" t="s">
        <v>3914</v>
      </c>
      <c r="AQ322" t="s">
        <v>909</v>
      </c>
      <c r="AR322" t="s">
        <v>84</v>
      </c>
      <c r="AS322">
        <v>0</v>
      </c>
      <c r="AT322">
        <v>0</v>
      </c>
      <c r="AU322">
        <v>0</v>
      </c>
      <c r="AV322">
        <v>0</v>
      </c>
      <c r="AW322">
        <v>0</v>
      </c>
      <c r="AX322">
        <v>0</v>
      </c>
      <c r="AY322">
        <v>0</v>
      </c>
      <c r="AZ322" t="s">
        <v>1003</v>
      </c>
      <c r="BA322" t="s">
        <v>95</v>
      </c>
      <c r="BB322" t="s">
        <v>154</v>
      </c>
      <c r="BC322" t="s">
        <v>907</v>
      </c>
      <c r="BD322" t="s">
        <v>107</v>
      </c>
      <c r="BE322" t="s">
        <v>810</v>
      </c>
      <c r="BF322" t="s">
        <v>1136</v>
      </c>
      <c r="BG322" t="s">
        <v>907</v>
      </c>
      <c r="BH322" t="s">
        <v>907</v>
      </c>
      <c r="BY322" t="s">
        <v>907</v>
      </c>
      <c r="BZ322" t="s">
        <v>907</v>
      </c>
      <c r="CA322" t="s">
        <v>907</v>
      </c>
      <c r="CB322" t="s">
        <v>907</v>
      </c>
      <c r="CC322" t="s">
        <v>907</v>
      </c>
      <c r="CD322" t="s">
        <v>907</v>
      </c>
      <c r="CE322" t="s">
        <v>907</v>
      </c>
      <c r="CF322" t="s">
        <v>907</v>
      </c>
      <c r="CG322" t="s">
        <v>907</v>
      </c>
      <c r="CH322" t="s">
        <v>907</v>
      </c>
      <c r="CI322" t="s">
        <v>907</v>
      </c>
      <c r="CJ322" t="s">
        <v>907</v>
      </c>
      <c r="CK322" t="s">
        <v>907</v>
      </c>
      <c r="CL322" t="s">
        <v>907</v>
      </c>
      <c r="CM322" t="s">
        <v>907</v>
      </c>
      <c r="CN322" t="s">
        <v>907</v>
      </c>
      <c r="CO322" t="s">
        <v>907</v>
      </c>
      <c r="CP322" t="s">
        <v>907</v>
      </c>
      <c r="CQ322" t="s">
        <v>907</v>
      </c>
      <c r="CR322" t="s">
        <v>95</v>
      </c>
      <c r="CS322" t="s">
        <v>907</v>
      </c>
      <c r="CT322" t="s">
        <v>907</v>
      </c>
      <c r="CU322" t="s">
        <v>907</v>
      </c>
      <c r="CV322" t="s">
        <v>119</v>
      </c>
      <c r="CW322" t="s">
        <v>1137</v>
      </c>
      <c r="CX322" t="s">
        <v>907</v>
      </c>
      <c r="CY322" t="s">
        <v>907</v>
      </c>
      <c r="CZ322" t="s">
        <v>907</v>
      </c>
      <c r="DA322" t="s">
        <v>907</v>
      </c>
      <c r="DB322" t="s">
        <v>907</v>
      </c>
      <c r="DC322" t="s">
        <v>907</v>
      </c>
      <c r="DD322" t="s">
        <v>907</v>
      </c>
      <c r="DE322" t="s">
        <v>907</v>
      </c>
      <c r="DF322" t="s">
        <v>907</v>
      </c>
      <c r="DG322" t="s">
        <v>95</v>
      </c>
      <c r="DH322" t="s">
        <v>907</v>
      </c>
      <c r="DI322" t="s">
        <v>907</v>
      </c>
      <c r="DJ322" t="s">
        <v>907</v>
      </c>
      <c r="DK322" t="s">
        <v>907</v>
      </c>
      <c r="DL322" t="s">
        <v>907</v>
      </c>
      <c r="DM322" t="s">
        <v>291</v>
      </c>
      <c r="DN322" t="s">
        <v>907</v>
      </c>
      <c r="DO322" t="s">
        <v>907</v>
      </c>
      <c r="DP322" t="s">
        <v>907</v>
      </c>
      <c r="DQ322" t="s">
        <v>441</v>
      </c>
      <c r="DR322" t="s">
        <v>907</v>
      </c>
      <c r="DS322" t="s">
        <v>907</v>
      </c>
      <c r="DT322" t="s">
        <v>907</v>
      </c>
      <c r="DU322" t="s">
        <v>95</v>
      </c>
      <c r="DV322" t="s">
        <v>907</v>
      </c>
      <c r="DW322" t="s">
        <v>907</v>
      </c>
      <c r="DX322" t="s">
        <v>907</v>
      </c>
      <c r="FQ322">
        <v>565986476</v>
      </c>
      <c r="FR322" t="s">
        <v>1138</v>
      </c>
      <c r="FS322" s="1">
        <v>45924.707708333342</v>
      </c>
      <c r="FV322" t="s">
        <v>134</v>
      </c>
      <c r="FW322" t="s">
        <v>135</v>
      </c>
      <c r="FX322" t="s">
        <v>136</v>
      </c>
      <c r="FZ322">
        <v>198</v>
      </c>
    </row>
    <row r="323" spans="1:182" hidden="1" x14ac:dyDescent="0.3">
      <c r="A323" s="1">
        <v>45925.546441284721</v>
      </c>
      <c r="B323" s="1">
        <v>45925.554392013888</v>
      </c>
      <c r="D323" t="s">
        <v>84</v>
      </c>
      <c r="E323" t="s">
        <v>3878</v>
      </c>
      <c r="F323" t="s">
        <v>1833</v>
      </c>
      <c r="G323" t="s">
        <v>176</v>
      </c>
      <c r="H323" t="s">
        <v>4122</v>
      </c>
      <c r="I323" t="s">
        <v>1834</v>
      </c>
      <c r="J323" t="s">
        <v>1835</v>
      </c>
      <c r="K323" t="s">
        <v>90</v>
      </c>
      <c r="L323" t="s">
        <v>1836</v>
      </c>
      <c r="M323" t="s">
        <v>1731</v>
      </c>
      <c r="N323" t="s">
        <v>1837</v>
      </c>
      <c r="O323">
        <v>-15.220775</v>
      </c>
      <c r="P323">
        <v>22.998283300000001</v>
      </c>
      <c r="Q323">
        <v>1036</v>
      </c>
      <c r="R323">
        <v>4.9400000000000004</v>
      </c>
      <c r="S323" t="s">
        <v>84</v>
      </c>
      <c r="T323" t="s">
        <v>94</v>
      </c>
      <c r="U323">
        <v>5</v>
      </c>
      <c r="V323" t="s">
        <v>95</v>
      </c>
      <c r="W323" t="s">
        <v>907</v>
      </c>
      <c r="X323">
        <v>10</v>
      </c>
      <c r="Y323">
        <v>1</v>
      </c>
      <c r="Z323">
        <v>1</v>
      </c>
      <c r="AA323" t="s">
        <v>251</v>
      </c>
      <c r="AB323" t="s">
        <v>351</v>
      </c>
      <c r="AC323" t="s">
        <v>98</v>
      </c>
      <c r="AD323" t="s">
        <v>252</v>
      </c>
      <c r="AE323" t="s">
        <v>100</v>
      </c>
      <c r="AF323" t="s">
        <v>907</v>
      </c>
      <c r="AG323">
        <v>500</v>
      </c>
      <c r="AH323" t="s">
        <v>3873</v>
      </c>
      <c r="AI323" t="s">
        <v>907</v>
      </c>
      <c r="AJ323" t="s">
        <v>907</v>
      </c>
      <c r="AK323" t="s">
        <v>318</v>
      </c>
      <c r="AL323" t="s">
        <v>907</v>
      </c>
      <c r="AM323" t="s">
        <v>1838</v>
      </c>
      <c r="AN323" t="s">
        <v>1166</v>
      </c>
      <c r="AO323" t="s">
        <v>267</v>
      </c>
      <c r="AP323" t="s">
        <v>1839</v>
      </c>
      <c r="AQ323" t="s">
        <v>466</v>
      </c>
      <c r="AR323" t="s">
        <v>95</v>
      </c>
      <c r="AS323">
        <v>0</v>
      </c>
      <c r="AT323">
        <v>0</v>
      </c>
      <c r="AU323">
        <v>0</v>
      </c>
      <c r="AV323">
        <v>0</v>
      </c>
      <c r="AW323">
        <v>0</v>
      </c>
      <c r="AX323">
        <v>0</v>
      </c>
      <c r="AY323">
        <v>0</v>
      </c>
      <c r="AZ323" t="s">
        <v>106</v>
      </c>
      <c r="BA323" t="s">
        <v>95</v>
      </c>
      <c r="BB323" t="s">
        <v>154</v>
      </c>
      <c r="BC323" t="s">
        <v>907</v>
      </c>
      <c r="BD323" t="s">
        <v>257</v>
      </c>
      <c r="BE323" t="s">
        <v>258</v>
      </c>
      <c r="BF323" t="s">
        <v>1183</v>
      </c>
      <c r="BG323" t="s">
        <v>907</v>
      </c>
      <c r="BH323" t="s">
        <v>907</v>
      </c>
      <c r="BY323" t="s">
        <v>907</v>
      </c>
      <c r="BZ323" t="s">
        <v>907</v>
      </c>
      <c r="CA323" t="s">
        <v>907</v>
      </c>
      <c r="CB323" t="s">
        <v>907</v>
      </c>
      <c r="CC323" t="s">
        <v>907</v>
      </c>
      <c r="CD323" t="s">
        <v>907</v>
      </c>
      <c r="CE323" t="s">
        <v>907</v>
      </c>
      <c r="CF323" t="s">
        <v>907</v>
      </c>
      <c r="CG323" t="s">
        <v>907</v>
      </c>
      <c r="CH323" t="s">
        <v>907</v>
      </c>
      <c r="CI323" t="s">
        <v>907</v>
      </c>
      <c r="CJ323" t="s">
        <v>907</v>
      </c>
      <c r="CK323" t="s">
        <v>907</v>
      </c>
      <c r="CL323" t="s">
        <v>907</v>
      </c>
      <c r="CM323" t="s">
        <v>907</v>
      </c>
      <c r="CN323" t="s">
        <v>907</v>
      </c>
      <c r="CO323" t="s">
        <v>907</v>
      </c>
      <c r="CP323" t="s">
        <v>907</v>
      </c>
      <c r="CQ323" t="s">
        <v>907</v>
      </c>
      <c r="CR323" t="s">
        <v>95</v>
      </c>
      <c r="CS323" t="s">
        <v>907</v>
      </c>
      <c r="CT323" t="s">
        <v>907</v>
      </c>
      <c r="CU323" t="s">
        <v>907</v>
      </c>
      <c r="CV323" t="s">
        <v>119</v>
      </c>
      <c r="CW323" t="s">
        <v>1831</v>
      </c>
      <c r="CX323" t="s">
        <v>907</v>
      </c>
      <c r="CY323" t="s">
        <v>907</v>
      </c>
      <c r="CZ323" t="s">
        <v>907</v>
      </c>
      <c r="DA323" t="s">
        <v>907</v>
      </c>
      <c r="DB323" t="s">
        <v>907</v>
      </c>
      <c r="DC323" t="s">
        <v>907</v>
      </c>
      <c r="DD323" t="s">
        <v>907</v>
      </c>
      <c r="DE323" t="s">
        <v>907</v>
      </c>
      <c r="DF323" t="s">
        <v>907</v>
      </c>
      <c r="DG323" t="s">
        <v>95</v>
      </c>
      <c r="DH323" t="s">
        <v>907</v>
      </c>
      <c r="DI323" t="s">
        <v>907</v>
      </c>
      <c r="DJ323" t="s">
        <v>907</v>
      </c>
      <c r="DK323" t="s">
        <v>907</v>
      </c>
      <c r="DL323" t="s">
        <v>907</v>
      </c>
      <c r="DM323" t="s">
        <v>291</v>
      </c>
      <c r="DN323" t="s">
        <v>907</v>
      </c>
      <c r="DO323" t="s">
        <v>907</v>
      </c>
      <c r="DP323" t="s">
        <v>907</v>
      </c>
      <c r="DQ323" t="s">
        <v>441</v>
      </c>
      <c r="DR323" t="s">
        <v>907</v>
      </c>
      <c r="DS323" t="s">
        <v>907</v>
      </c>
      <c r="DT323" t="s">
        <v>907</v>
      </c>
      <c r="DU323" t="s">
        <v>95</v>
      </c>
      <c r="DV323" t="s">
        <v>907</v>
      </c>
      <c r="DW323" t="s">
        <v>907</v>
      </c>
      <c r="DX323" t="s">
        <v>907</v>
      </c>
      <c r="FQ323">
        <v>566790043</v>
      </c>
      <c r="FR323" t="s">
        <v>1840</v>
      </c>
      <c r="FS323" s="1">
        <v>45925.665416666663</v>
      </c>
      <c r="FV323" t="s">
        <v>134</v>
      </c>
      <c r="FW323" t="s">
        <v>135</v>
      </c>
      <c r="FX323" t="s">
        <v>136</v>
      </c>
      <c r="FZ323">
        <v>281</v>
      </c>
    </row>
    <row r="324" spans="1:182" hidden="1" x14ac:dyDescent="0.3">
      <c r="A324" s="1">
        <v>45925.637907071759</v>
      </c>
      <c r="B324" s="1">
        <v>45925.655658819443</v>
      </c>
      <c r="D324" t="s">
        <v>84</v>
      </c>
      <c r="E324" t="s">
        <v>1226</v>
      </c>
      <c r="F324" t="s">
        <v>2303</v>
      </c>
      <c r="G324" t="s">
        <v>176</v>
      </c>
      <c r="H324" t="s">
        <v>4122</v>
      </c>
      <c r="I324" t="s">
        <v>2304</v>
      </c>
      <c r="J324" t="s">
        <v>2305</v>
      </c>
      <c r="K324" t="s">
        <v>90</v>
      </c>
      <c r="L324" t="s">
        <v>2306</v>
      </c>
      <c r="M324" t="s">
        <v>2307</v>
      </c>
      <c r="N324" t="s">
        <v>2308</v>
      </c>
      <c r="O324">
        <v>-15.233459999999999</v>
      </c>
      <c r="P324">
        <v>22.991771700000001</v>
      </c>
      <c r="Q324">
        <v>1021.2</v>
      </c>
      <c r="R324">
        <v>5</v>
      </c>
      <c r="S324" t="s">
        <v>84</v>
      </c>
      <c r="T324" t="s">
        <v>94</v>
      </c>
      <c r="U324">
        <v>7</v>
      </c>
      <c r="V324" t="s">
        <v>95</v>
      </c>
      <c r="W324" t="s">
        <v>907</v>
      </c>
      <c r="X324">
        <v>46</v>
      </c>
      <c r="Y324">
        <v>3</v>
      </c>
      <c r="Z324">
        <v>1</v>
      </c>
      <c r="AA324" t="s">
        <v>251</v>
      </c>
      <c r="AB324" t="s">
        <v>97</v>
      </c>
      <c r="AC324" t="s">
        <v>98</v>
      </c>
      <c r="AD324" t="s">
        <v>252</v>
      </c>
      <c r="AE324" t="s">
        <v>100</v>
      </c>
      <c r="AF324" t="s">
        <v>907</v>
      </c>
      <c r="AG324">
        <v>1000</v>
      </c>
      <c r="AH324" t="s">
        <v>101</v>
      </c>
      <c r="AI324" t="s">
        <v>907</v>
      </c>
      <c r="AJ324" s="5">
        <v>2000</v>
      </c>
      <c r="AK324" t="s">
        <v>102</v>
      </c>
      <c r="AL324" t="s">
        <v>907</v>
      </c>
      <c r="AM324" t="s">
        <v>4130</v>
      </c>
      <c r="AN324" t="s">
        <v>907</v>
      </c>
      <c r="AQ324" t="s">
        <v>2309</v>
      </c>
      <c r="AR324" t="s">
        <v>95</v>
      </c>
      <c r="AS324">
        <v>0</v>
      </c>
      <c r="AT324">
        <v>0</v>
      </c>
      <c r="AU324">
        <v>0</v>
      </c>
      <c r="AV324">
        <v>0</v>
      </c>
      <c r="AW324">
        <v>0</v>
      </c>
      <c r="AX324">
        <v>0</v>
      </c>
      <c r="AY324">
        <v>0</v>
      </c>
      <c r="AZ324" t="s">
        <v>1003</v>
      </c>
      <c r="BA324" t="s">
        <v>95</v>
      </c>
      <c r="BB324" t="s">
        <v>3866</v>
      </c>
      <c r="BC324" t="s">
        <v>907</v>
      </c>
      <c r="BD324" t="s">
        <v>257</v>
      </c>
      <c r="BE324" t="s">
        <v>258</v>
      </c>
      <c r="BF324" t="s">
        <v>3980</v>
      </c>
      <c r="BG324" t="s">
        <v>310</v>
      </c>
      <c r="BH324" t="s">
        <v>907</v>
      </c>
      <c r="BY324" t="s">
        <v>907</v>
      </c>
      <c r="BZ324" t="s">
        <v>907</v>
      </c>
      <c r="CA324" t="s">
        <v>907</v>
      </c>
      <c r="CB324" t="s">
        <v>907</v>
      </c>
      <c r="CC324" t="s">
        <v>907</v>
      </c>
      <c r="CD324" t="s">
        <v>907</v>
      </c>
      <c r="CE324" t="s">
        <v>907</v>
      </c>
      <c r="CF324" t="s">
        <v>907</v>
      </c>
      <c r="CG324" t="s">
        <v>907</v>
      </c>
      <c r="CH324" t="s">
        <v>907</v>
      </c>
      <c r="CI324" t="s">
        <v>907</v>
      </c>
      <c r="CJ324" t="s">
        <v>907</v>
      </c>
      <c r="CK324" t="s">
        <v>907</v>
      </c>
      <c r="CL324" t="s">
        <v>907</v>
      </c>
      <c r="CM324" t="s">
        <v>907</v>
      </c>
      <c r="CN324" t="s">
        <v>907</v>
      </c>
      <c r="CO324" t="s">
        <v>907</v>
      </c>
      <c r="CP324" t="s">
        <v>907</v>
      </c>
      <c r="CQ324" t="s">
        <v>907</v>
      </c>
      <c r="CR324" t="s">
        <v>84</v>
      </c>
      <c r="CS324" t="s">
        <v>117</v>
      </c>
      <c r="CT324" t="s">
        <v>264</v>
      </c>
      <c r="CU324" t="s">
        <v>3869</v>
      </c>
      <c r="CV324" t="s">
        <v>290</v>
      </c>
      <c r="CW324" t="s">
        <v>907</v>
      </c>
      <c r="CX324" t="s">
        <v>907</v>
      </c>
      <c r="CY324" t="s">
        <v>907</v>
      </c>
      <c r="CZ324" t="s">
        <v>907</v>
      </c>
      <c r="DA324" t="s">
        <v>907</v>
      </c>
      <c r="DB324" t="s">
        <v>907</v>
      </c>
      <c r="DC324" t="s">
        <v>907</v>
      </c>
      <c r="DD324" t="s">
        <v>907</v>
      </c>
      <c r="DE324" t="s">
        <v>907</v>
      </c>
      <c r="DF324" t="s">
        <v>907</v>
      </c>
      <c r="DG324" t="s">
        <v>95</v>
      </c>
      <c r="DH324" t="s">
        <v>95</v>
      </c>
      <c r="DI324" t="s">
        <v>907</v>
      </c>
      <c r="DJ324" t="s">
        <v>907</v>
      </c>
      <c r="DK324" t="s">
        <v>907</v>
      </c>
      <c r="DL324" t="s">
        <v>907</v>
      </c>
      <c r="DM324" t="s">
        <v>291</v>
      </c>
      <c r="DN324" t="s">
        <v>907</v>
      </c>
      <c r="DO324" t="s">
        <v>907</v>
      </c>
      <c r="DP324" t="s">
        <v>907</v>
      </c>
      <c r="DQ324" t="s">
        <v>128</v>
      </c>
      <c r="DR324" t="s">
        <v>907</v>
      </c>
      <c r="DS324" t="s">
        <v>1362</v>
      </c>
      <c r="DT324" t="s">
        <v>1303</v>
      </c>
      <c r="DU324" t="s">
        <v>84</v>
      </c>
      <c r="DV324" t="s">
        <v>864</v>
      </c>
      <c r="DW324" t="s">
        <v>533</v>
      </c>
      <c r="DX324" t="s">
        <v>95</v>
      </c>
      <c r="FQ324">
        <v>566875489</v>
      </c>
      <c r="FR324" t="s">
        <v>2310</v>
      </c>
      <c r="FS324" s="1">
        <v>45925.743900462963</v>
      </c>
      <c r="FV324" t="s">
        <v>134</v>
      </c>
      <c r="FW324" t="s">
        <v>135</v>
      </c>
      <c r="FX324" t="s">
        <v>136</v>
      </c>
      <c r="FZ324">
        <v>324</v>
      </c>
    </row>
    <row r="325" spans="1:182" hidden="1" x14ac:dyDescent="0.3">
      <c r="A325" s="1">
        <v>45925.539223101849</v>
      </c>
      <c r="B325" s="1">
        <v>45925.545984340279</v>
      </c>
      <c r="D325" t="s">
        <v>84</v>
      </c>
      <c r="E325" t="s">
        <v>3878</v>
      </c>
      <c r="F325" t="s">
        <v>1825</v>
      </c>
      <c r="G325" t="s">
        <v>176</v>
      </c>
      <c r="H325" t="s">
        <v>4122</v>
      </c>
      <c r="I325" t="s">
        <v>1826</v>
      </c>
      <c r="J325" t="s">
        <v>1827</v>
      </c>
      <c r="K325" t="s">
        <v>90</v>
      </c>
      <c r="L325" t="s">
        <v>1828</v>
      </c>
      <c r="M325" t="s">
        <v>1731</v>
      </c>
      <c r="N325" t="s">
        <v>1829</v>
      </c>
      <c r="O325">
        <v>-15.2207583</v>
      </c>
      <c r="P325">
        <v>22.9983133</v>
      </c>
      <c r="Q325">
        <v>1021.3</v>
      </c>
      <c r="R325">
        <v>3.85</v>
      </c>
      <c r="S325" t="s">
        <v>84</v>
      </c>
      <c r="T325" t="s">
        <v>94</v>
      </c>
      <c r="U325">
        <v>4</v>
      </c>
      <c r="V325" t="s">
        <v>95</v>
      </c>
      <c r="W325" t="s">
        <v>907</v>
      </c>
      <c r="X325">
        <v>17</v>
      </c>
      <c r="Y325">
        <v>0.7</v>
      </c>
      <c r="Z325">
        <v>0.7</v>
      </c>
      <c r="AA325" t="s">
        <v>251</v>
      </c>
      <c r="AB325" t="s">
        <v>351</v>
      </c>
      <c r="AC325" t="s">
        <v>98</v>
      </c>
      <c r="AD325" t="s">
        <v>99</v>
      </c>
      <c r="AE325" t="s">
        <v>100</v>
      </c>
      <c r="AF325" t="s">
        <v>907</v>
      </c>
      <c r="AG325">
        <v>1000</v>
      </c>
      <c r="AH325" t="s">
        <v>3873</v>
      </c>
      <c r="AI325" t="s">
        <v>907</v>
      </c>
      <c r="AJ325" t="s">
        <v>907</v>
      </c>
      <c r="AK325" t="s">
        <v>318</v>
      </c>
      <c r="AL325" t="s">
        <v>907</v>
      </c>
      <c r="AM325" t="s">
        <v>391</v>
      </c>
      <c r="AN325" t="s">
        <v>907</v>
      </c>
      <c r="AO325" t="s">
        <v>267</v>
      </c>
      <c r="AP325" t="s">
        <v>1830</v>
      </c>
      <c r="AQ325" t="s">
        <v>1431</v>
      </c>
      <c r="AR325" t="s">
        <v>95</v>
      </c>
      <c r="AS325">
        <v>0</v>
      </c>
      <c r="AT325">
        <v>0</v>
      </c>
      <c r="AU325">
        <v>0</v>
      </c>
      <c r="AV325">
        <v>0</v>
      </c>
      <c r="AW325">
        <v>0</v>
      </c>
      <c r="AX325">
        <v>0</v>
      </c>
      <c r="AY325">
        <v>0</v>
      </c>
      <c r="AZ325" t="s">
        <v>929</v>
      </c>
      <c r="BA325" t="s">
        <v>95</v>
      </c>
      <c r="BB325" t="s">
        <v>308</v>
      </c>
      <c r="BC325" t="s">
        <v>907</v>
      </c>
      <c r="BD325" t="s">
        <v>107</v>
      </c>
      <c r="BE325" t="s">
        <v>258</v>
      </c>
      <c r="BF325" t="s">
        <v>1136</v>
      </c>
      <c r="BG325" t="s">
        <v>907</v>
      </c>
      <c r="BH325" t="s">
        <v>907</v>
      </c>
      <c r="BY325" t="s">
        <v>907</v>
      </c>
      <c r="BZ325" t="s">
        <v>907</v>
      </c>
      <c r="CA325" t="s">
        <v>907</v>
      </c>
      <c r="CB325" t="s">
        <v>907</v>
      </c>
      <c r="CC325" t="s">
        <v>907</v>
      </c>
      <c r="CD325" t="s">
        <v>907</v>
      </c>
      <c r="CE325" t="s">
        <v>907</v>
      </c>
      <c r="CF325" t="s">
        <v>907</v>
      </c>
      <c r="CG325" t="s">
        <v>907</v>
      </c>
      <c r="CH325" t="s">
        <v>907</v>
      </c>
      <c r="CI325" t="s">
        <v>907</v>
      </c>
      <c r="CJ325" t="s">
        <v>907</v>
      </c>
      <c r="CK325" t="s">
        <v>907</v>
      </c>
      <c r="CL325" t="s">
        <v>907</v>
      </c>
      <c r="CM325" t="s">
        <v>907</v>
      </c>
      <c r="CN325" t="s">
        <v>907</v>
      </c>
      <c r="CO325" t="s">
        <v>907</v>
      </c>
      <c r="CP325" t="s">
        <v>907</v>
      </c>
      <c r="CQ325" t="s">
        <v>907</v>
      </c>
      <c r="CR325" t="s">
        <v>95</v>
      </c>
      <c r="CS325" t="s">
        <v>907</v>
      </c>
      <c r="CT325" t="s">
        <v>907</v>
      </c>
      <c r="CU325" t="s">
        <v>907</v>
      </c>
      <c r="CV325" t="s">
        <v>812</v>
      </c>
      <c r="CW325" t="s">
        <v>1831</v>
      </c>
      <c r="CX325" t="s">
        <v>907</v>
      </c>
      <c r="CY325" t="s">
        <v>907</v>
      </c>
      <c r="CZ325" t="s">
        <v>907</v>
      </c>
      <c r="DA325" t="s">
        <v>907</v>
      </c>
      <c r="DB325" t="s">
        <v>907</v>
      </c>
      <c r="DC325" t="s">
        <v>907</v>
      </c>
      <c r="DD325" t="s">
        <v>907</v>
      </c>
      <c r="DE325" t="s">
        <v>907</v>
      </c>
      <c r="DF325" t="s">
        <v>907</v>
      </c>
      <c r="DG325" t="s">
        <v>95</v>
      </c>
      <c r="DH325" t="s">
        <v>907</v>
      </c>
      <c r="DI325" t="s">
        <v>907</v>
      </c>
      <c r="DJ325" t="s">
        <v>907</v>
      </c>
      <c r="DK325" t="s">
        <v>907</v>
      </c>
      <c r="DL325" t="s">
        <v>907</v>
      </c>
      <c r="DM325" t="s">
        <v>291</v>
      </c>
      <c r="DN325" t="s">
        <v>907</v>
      </c>
      <c r="DO325" t="s">
        <v>907</v>
      </c>
      <c r="DP325" t="s">
        <v>907</v>
      </c>
      <c r="DQ325" t="s">
        <v>441</v>
      </c>
      <c r="DR325" t="s">
        <v>907</v>
      </c>
      <c r="DS325" t="s">
        <v>907</v>
      </c>
      <c r="DT325" t="s">
        <v>907</v>
      </c>
      <c r="DU325" t="s">
        <v>95</v>
      </c>
      <c r="DV325" t="s">
        <v>907</v>
      </c>
      <c r="DW325" t="s">
        <v>907</v>
      </c>
      <c r="DX325" t="s">
        <v>907</v>
      </c>
      <c r="FQ325">
        <v>566790033</v>
      </c>
      <c r="FR325" t="s">
        <v>1832</v>
      </c>
      <c r="FS325" s="1">
        <v>45925.665405092594</v>
      </c>
      <c r="FV325" t="s">
        <v>134</v>
      </c>
      <c r="FW325" t="s">
        <v>135</v>
      </c>
      <c r="FX325" t="s">
        <v>136</v>
      </c>
      <c r="FZ325">
        <v>280</v>
      </c>
    </row>
    <row r="326" spans="1:182" hidden="1" x14ac:dyDescent="0.3">
      <c r="A326" s="1">
        <v>45924.531256574082</v>
      </c>
      <c r="B326" s="1">
        <v>45924.772909571759</v>
      </c>
      <c r="D326" t="s">
        <v>84</v>
      </c>
      <c r="E326" t="s">
        <v>3876</v>
      </c>
      <c r="F326" t="s">
        <v>1122</v>
      </c>
      <c r="G326" t="s">
        <v>87</v>
      </c>
      <c r="H326" t="s">
        <v>4121</v>
      </c>
      <c r="I326" t="s">
        <v>1123</v>
      </c>
      <c r="J326" t="s">
        <v>1124</v>
      </c>
      <c r="K326" t="s">
        <v>90</v>
      </c>
      <c r="L326" t="s">
        <v>1112</v>
      </c>
      <c r="M326" t="s">
        <v>671</v>
      </c>
      <c r="S326" t="s">
        <v>95</v>
      </c>
      <c r="T326" t="s">
        <v>907</v>
      </c>
      <c r="U326" t="s">
        <v>907</v>
      </c>
      <c r="V326" t="s">
        <v>95</v>
      </c>
      <c r="W326" t="s">
        <v>907</v>
      </c>
      <c r="X326">
        <v>5</v>
      </c>
      <c r="Y326">
        <v>2</v>
      </c>
      <c r="Z326">
        <v>1</v>
      </c>
      <c r="AA326" t="s">
        <v>251</v>
      </c>
      <c r="AB326" t="s">
        <v>97</v>
      </c>
      <c r="AC326" t="s">
        <v>98</v>
      </c>
      <c r="AD326" t="s">
        <v>252</v>
      </c>
      <c r="AE326" t="s">
        <v>100</v>
      </c>
      <c r="AF326" t="s">
        <v>907</v>
      </c>
      <c r="AG326">
        <v>1000</v>
      </c>
      <c r="AH326" t="s">
        <v>3873</v>
      </c>
      <c r="AI326" t="s">
        <v>907</v>
      </c>
      <c r="AJ326" t="s">
        <v>907</v>
      </c>
      <c r="AK326" t="s">
        <v>318</v>
      </c>
      <c r="AL326" t="s">
        <v>907</v>
      </c>
      <c r="AM326" t="s">
        <v>1125</v>
      </c>
      <c r="AN326" t="s">
        <v>1063</v>
      </c>
      <c r="AO326" t="s">
        <v>267</v>
      </c>
      <c r="AP326" t="s">
        <v>1126</v>
      </c>
      <c r="AQ326" t="s">
        <v>1076</v>
      </c>
      <c r="AR326" t="s">
        <v>95</v>
      </c>
      <c r="AS326">
        <v>0</v>
      </c>
      <c r="AT326">
        <v>0</v>
      </c>
      <c r="AU326">
        <v>0</v>
      </c>
      <c r="AV326">
        <v>0</v>
      </c>
      <c r="AW326">
        <v>0</v>
      </c>
      <c r="AX326">
        <v>0</v>
      </c>
      <c r="AY326">
        <v>0</v>
      </c>
      <c r="AZ326" t="s">
        <v>929</v>
      </c>
      <c r="BA326" t="s">
        <v>95</v>
      </c>
      <c r="BB326" t="s">
        <v>154</v>
      </c>
      <c r="BC326" t="s">
        <v>907</v>
      </c>
      <c r="BD326" t="s">
        <v>257</v>
      </c>
      <c r="BE326" t="s">
        <v>258</v>
      </c>
      <c r="BF326" t="s">
        <v>1128</v>
      </c>
      <c r="BG326" t="s">
        <v>907</v>
      </c>
      <c r="BH326" t="s">
        <v>907</v>
      </c>
      <c r="BY326" t="s">
        <v>907</v>
      </c>
      <c r="BZ326" t="s">
        <v>907</v>
      </c>
      <c r="CA326" t="s">
        <v>907</v>
      </c>
      <c r="CB326" t="s">
        <v>907</v>
      </c>
      <c r="CC326" t="s">
        <v>907</v>
      </c>
      <c r="CD326" t="s">
        <v>907</v>
      </c>
      <c r="CE326" t="s">
        <v>907</v>
      </c>
      <c r="CF326" t="s">
        <v>907</v>
      </c>
      <c r="CG326" t="s">
        <v>907</v>
      </c>
      <c r="CH326" t="s">
        <v>907</v>
      </c>
      <c r="CI326" t="s">
        <v>907</v>
      </c>
      <c r="CJ326" t="s">
        <v>907</v>
      </c>
      <c r="CK326" t="s">
        <v>907</v>
      </c>
      <c r="CL326" t="s">
        <v>907</v>
      </c>
      <c r="CM326" t="s">
        <v>907</v>
      </c>
      <c r="CN326" t="s">
        <v>907</v>
      </c>
      <c r="CO326" t="s">
        <v>907</v>
      </c>
      <c r="CP326" t="s">
        <v>907</v>
      </c>
      <c r="CQ326" t="s">
        <v>907</v>
      </c>
      <c r="CR326" t="s">
        <v>95</v>
      </c>
      <c r="CS326" t="s">
        <v>907</v>
      </c>
      <c r="CT326" t="s">
        <v>907</v>
      </c>
      <c r="CU326" t="s">
        <v>907</v>
      </c>
      <c r="CV326" t="s">
        <v>119</v>
      </c>
      <c r="CW326" t="s">
        <v>1129</v>
      </c>
      <c r="CX326" t="s">
        <v>907</v>
      </c>
      <c r="CY326" t="s">
        <v>907</v>
      </c>
      <c r="CZ326" t="s">
        <v>907</v>
      </c>
      <c r="DA326" t="s">
        <v>907</v>
      </c>
      <c r="DB326" t="s">
        <v>907</v>
      </c>
      <c r="DC326" t="s">
        <v>907</v>
      </c>
      <c r="DD326" t="s">
        <v>907</v>
      </c>
      <c r="DE326" t="s">
        <v>907</v>
      </c>
      <c r="DF326" t="s">
        <v>907</v>
      </c>
      <c r="DG326" t="s">
        <v>95</v>
      </c>
      <c r="DH326" t="s">
        <v>907</v>
      </c>
      <c r="DI326" t="s">
        <v>907</v>
      </c>
      <c r="DJ326" t="s">
        <v>907</v>
      </c>
      <c r="DK326" t="s">
        <v>907</v>
      </c>
      <c r="DL326" t="s">
        <v>907</v>
      </c>
      <c r="DM326" t="s">
        <v>291</v>
      </c>
      <c r="DN326" t="s">
        <v>907</v>
      </c>
      <c r="DO326" t="s">
        <v>907</v>
      </c>
      <c r="DP326" t="s">
        <v>907</v>
      </c>
      <c r="DQ326" t="s">
        <v>128</v>
      </c>
      <c r="DR326" t="s">
        <v>907</v>
      </c>
      <c r="DS326" t="s">
        <v>907</v>
      </c>
      <c r="DT326" t="s">
        <v>907</v>
      </c>
      <c r="DU326" t="s">
        <v>95</v>
      </c>
      <c r="DV326" t="s">
        <v>907</v>
      </c>
      <c r="DW326" t="s">
        <v>907</v>
      </c>
      <c r="DX326" t="s">
        <v>907</v>
      </c>
      <c r="FQ326">
        <v>565986460</v>
      </c>
      <c r="FR326" t="s">
        <v>1130</v>
      </c>
      <c r="FS326" s="1">
        <v>45924.707696759258</v>
      </c>
      <c r="FV326" t="s">
        <v>134</v>
      </c>
      <c r="FW326" t="s">
        <v>135</v>
      </c>
      <c r="FX326" t="s">
        <v>136</v>
      </c>
      <c r="FZ326">
        <v>197</v>
      </c>
    </row>
    <row r="327" spans="1:182" hidden="1" x14ac:dyDescent="0.3">
      <c r="A327" s="1">
        <v>45923.428855057871</v>
      </c>
      <c r="B327" s="1">
        <v>45923.446928923608</v>
      </c>
      <c r="D327" t="s">
        <v>84</v>
      </c>
      <c r="E327" t="s">
        <v>297</v>
      </c>
      <c r="F327" t="s">
        <v>298</v>
      </c>
      <c r="G327" t="s">
        <v>87</v>
      </c>
      <c r="H327" t="s">
        <v>4122</v>
      </c>
      <c r="I327" t="s">
        <v>299</v>
      </c>
      <c r="J327" t="s">
        <v>300</v>
      </c>
      <c r="K327" t="s">
        <v>90</v>
      </c>
      <c r="L327" t="s">
        <v>301</v>
      </c>
      <c r="M327" t="s">
        <v>277</v>
      </c>
      <c r="N327" t="s">
        <v>278</v>
      </c>
      <c r="O327">
        <v>-15.4403767</v>
      </c>
      <c r="P327">
        <v>23.216996699999999</v>
      </c>
      <c r="S327" t="s">
        <v>84</v>
      </c>
      <c r="T327" t="s">
        <v>94</v>
      </c>
      <c r="U327">
        <v>8</v>
      </c>
      <c r="V327" t="s">
        <v>302</v>
      </c>
      <c r="W327" t="s">
        <v>303</v>
      </c>
      <c r="X327">
        <v>30</v>
      </c>
      <c r="Y327">
        <v>4.5</v>
      </c>
      <c r="Z327">
        <v>1</v>
      </c>
      <c r="AA327" t="s">
        <v>251</v>
      </c>
      <c r="AB327" t="s">
        <v>97</v>
      </c>
      <c r="AC327" t="s">
        <v>98</v>
      </c>
      <c r="AD327" t="s">
        <v>280</v>
      </c>
      <c r="AE327" t="s">
        <v>100</v>
      </c>
      <c r="AF327" t="s">
        <v>907</v>
      </c>
      <c r="AG327">
        <v>2000</v>
      </c>
      <c r="AH327" t="s">
        <v>304</v>
      </c>
      <c r="AI327" t="s">
        <v>907</v>
      </c>
      <c r="AJ327" s="5">
        <v>250</v>
      </c>
      <c r="AK327" t="s">
        <v>102</v>
      </c>
      <c r="AL327" t="s">
        <v>907</v>
      </c>
      <c r="AM327" t="s">
        <v>253</v>
      </c>
      <c r="AN327" t="s">
        <v>907</v>
      </c>
      <c r="AO327" t="s">
        <v>305</v>
      </c>
      <c r="AP327" t="s">
        <v>306</v>
      </c>
      <c r="AQ327" t="s">
        <v>307</v>
      </c>
      <c r="AR327" t="s">
        <v>95</v>
      </c>
      <c r="AS327">
        <v>0</v>
      </c>
      <c r="AT327">
        <v>0</v>
      </c>
      <c r="AU327">
        <v>0</v>
      </c>
      <c r="AV327">
        <v>0</v>
      </c>
      <c r="AW327">
        <v>0</v>
      </c>
      <c r="AX327">
        <v>0</v>
      </c>
      <c r="AY327">
        <v>0</v>
      </c>
      <c r="AZ327" t="s">
        <v>284</v>
      </c>
      <c r="BA327" t="s">
        <v>95</v>
      </c>
      <c r="BB327" t="s">
        <v>308</v>
      </c>
      <c r="BC327" t="s">
        <v>907</v>
      </c>
      <c r="BD327" t="s">
        <v>107</v>
      </c>
      <c r="BE327" t="s">
        <v>258</v>
      </c>
      <c r="BF327" t="s">
        <v>309</v>
      </c>
      <c r="BG327" t="s">
        <v>310</v>
      </c>
      <c r="BH327" t="s">
        <v>907</v>
      </c>
      <c r="BY327" t="s">
        <v>907</v>
      </c>
      <c r="BZ327" t="s">
        <v>907</v>
      </c>
      <c r="CA327" t="s">
        <v>907</v>
      </c>
      <c r="CB327" t="s">
        <v>907</v>
      </c>
      <c r="CC327" t="s">
        <v>907</v>
      </c>
      <c r="CD327" t="s">
        <v>907</v>
      </c>
      <c r="CE327" t="s">
        <v>907</v>
      </c>
      <c r="CF327" t="s">
        <v>907</v>
      </c>
      <c r="CG327" t="s">
        <v>907</v>
      </c>
      <c r="CH327" t="s">
        <v>907</v>
      </c>
      <c r="CI327" t="s">
        <v>907</v>
      </c>
      <c r="CJ327" t="s">
        <v>907</v>
      </c>
      <c r="CK327" t="s">
        <v>907</v>
      </c>
      <c r="CL327" t="s">
        <v>907</v>
      </c>
      <c r="CM327" t="s">
        <v>907</v>
      </c>
      <c r="CN327" t="s">
        <v>907</v>
      </c>
      <c r="CO327" t="s">
        <v>907</v>
      </c>
      <c r="CP327" t="s">
        <v>907</v>
      </c>
      <c r="CQ327" t="s">
        <v>907</v>
      </c>
      <c r="CR327" t="s">
        <v>95</v>
      </c>
      <c r="CS327" t="s">
        <v>907</v>
      </c>
      <c r="CT327" t="s">
        <v>907</v>
      </c>
      <c r="CU327" t="s">
        <v>907</v>
      </c>
      <c r="CV327" t="s">
        <v>119</v>
      </c>
      <c r="CW327" t="s">
        <v>196</v>
      </c>
      <c r="CX327" t="s">
        <v>907</v>
      </c>
      <c r="CY327" t="s">
        <v>907</v>
      </c>
      <c r="CZ327" t="s">
        <v>907</v>
      </c>
      <c r="DA327" t="s">
        <v>907</v>
      </c>
      <c r="DB327" t="s">
        <v>907</v>
      </c>
      <c r="DC327" t="s">
        <v>907</v>
      </c>
      <c r="DD327" t="s">
        <v>907</v>
      </c>
      <c r="DE327" t="s">
        <v>907</v>
      </c>
      <c r="DF327" t="s">
        <v>907</v>
      </c>
      <c r="DG327" t="s">
        <v>95</v>
      </c>
      <c r="DH327" t="s">
        <v>95</v>
      </c>
      <c r="DI327" t="s">
        <v>907</v>
      </c>
      <c r="DJ327" t="s">
        <v>907</v>
      </c>
      <c r="DK327" t="s">
        <v>907</v>
      </c>
      <c r="DL327" t="s">
        <v>907</v>
      </c>
      <c r="DM327" t="s">
        <v>291</v>
      </c>
      <c r="DN327" t="s">
        <v>907</v>
      </c>
      <c r="DO327" t="s">
        <v>907</v>
      </c>
      <c r="DP327" t="s">
        <v>907</v>
      </c>
      <c r="DQ327" t="s">
        <v>128</v>
      </c>
      <c r="DR327" t="s">
        <v>907</v>
      </c>
      <c r="DS327" t="s">
        <v>907</v>
      </c>
      <c r="DT327" t="s">
        <v>907</v>
      </c>
      <c r="DU327" t="s">
        <v>95</v>
      </c>
      <c r="DV327" t="s">
        <v>907</v>
      </c>
      <c r="DW327" t="s">
        <v>907</v>
      </c>
      <c r="DX327" t="s">
        <v>907</v>
      </c>
      <c r="FQ327">
        <v>565200884</v>
      </c>
      <c r="FR327" t="s">
        <v>311</v>
      </c>
      <c r="FS327" s="1">
        <v>45923.772997685177</v>
      </c>
      <c r="FV327" t="s">
        <v>134</v>
      </c>
      <c r="FW327" t="s">
        <v>135</v>
      </c>
      <c r="FX327" t="s">
        <v>136</v>
      </c>
      <c r="FZ327">
        <v>96</v>
      </c>
    </row>
    <row r="328" spans="1:182" hidden="1" x14ac:dyDescent="0.3">
      <c r="A328" s="1">
        <v>45924.458564085653</v>
      </c>
      <c r="B328" s="1">
        <v>45924.772000740741</v>
      </c>
      <c r="D328" t="s">
        <v>84</v>
      </c>
      <c r="E328" t="s">
        <v>3876</v>
      </c>
      <c r="F328" t="s">
        <v>1072</v>
      </c>
      <c r="G328" t="s">
        <v>176</v>
      </c>
      <c r="H328" t="s">
        <v>4122</v>
      </c>
      <c r="I328" t="s">
        <v>1073</v>
      </c>
      <c r="J328" t="s">
        <v>1074</v>
      </c>
      <c r="K328" t="s">
        <v>90</v>
      </c>
      <c r="L328" t="s">
        <v>1075</v>
      </c>
      <c r="M328" t="s">
        <v>671</v>
      </c>
      <c r="S328" t="s">
        <v>84</v>
      </c>
      <c r="T328" t="s">
        <v>94</v>
      </c>
      <c r="U328">
        <v>5</v>
      </c>
      <c r="V328" t="s">
        <v>95</v>
      </c>
      <c r="W328" t="s">
        <v>907</v>
      </c>
      <c r="X328">
        <v>15</v>
      </c>
      <c r="Y328">
        <v>10</v>
      </c>
      <c r="Z328">
        <v>4</v>
      </c>
      <c r="AA328" t="s">
        <v>96</v>
      </c>
      <c r="AB328" t="s">
        <v>97</v>
      </c>
      <c r="AC328" t="s">
        <v>98</v>
      </c>
      <c r="AD328" t="s">
        <v>280</v>
      </c>
      <c r="AE328" t="s">
        <v>304</v>
      </c>
      <c r="AF328" t="s">
        <v>907</v>
      </c>
      <c r="AG328">
        <v>10000</v>
      </c>
      <c r="AH328" t="s">
        <v>101</v>
      </c>
      <c r="AI328" t="s">
        <v>907</v>
      </c>
      <c r="AJ328" s="5">
        <v>400</v>
      </c>
      <c r="AK328" t="s">
        <v>318</v>
      </c>
      <c r="AL328" t="s">
        <v>907</v>
      </c>
      <c r="AM328" t="s">
        <v>1076</v>
      </c>
      <c r="AN328" t="s">
        <v>1063</v>
      </c>
      <c r="AO328" t="s">
        <v>267</v>
      </c>
      <c r="AP328" t="s">
        <v>1077</v>
      </c>
      <c r="AQ328" t="s">
        <v>391</v>
      </c>
      <c r="AR328" t="s">
        <v>95</v>
      </c>
      <c r="AS328">
        <v>0</v>
      </c>
      <c r="AT328">
        <v>0</v>
      </c>
      <c r="AU328">
        <v>0</v>
      </c>
      <c r="AV328">
        <v>0</v>
      </c>
      <c r="AW328">
        <v>0</v>
      </c>
      <c r="AX328">
        <v>0</v>
      </c>
      <c r="AY328">
        <v>0</v>
      </c>
      <c r="AZ328" t="s">
        <v>106</v>
      </c>
      <c r="BA328" t="s">
        <v>95</v>
      </c>
      <c r="BB328" t="s">
        <v>154</v>
      </c>
      <c r="BC328" t="s">
        <v>907</v>
      </c>
      <c r="BD328" t="s">
        <v>107</v>
      </c>
      <c r="BE328" t="s">
        <v>258</v>
      </c>
      <c r="BF328" t="s">
        <v>1078</v>
      </c>
      <c r="BG328" t="s">
        <v>907</v>
      </c>
      <c r="BH328" t="s">
        <v>907</v>
      </c>
      <c r="BY328" t="s">
        <v>907</v>
      </c>
      <c r="BZ328" t="s">
        <v>907</v>
      </c>
      <c r="CA328" t="s">
        <v>907</v>
      </c>
      <c r="CB328" t="s">
        <v>907</v>
      </c>
      <c r="CC328" t="s">
        <v>907</v>
      </c>
      <c r="CD328" t="s">
        <v>907</v>
      </c>
      <c r="CE328" t="s">
        <v>907</v>
      </c>
      <c r="CF328" t="s">
        <v>907</v>
      </c>
      <c r="CG328" t="s">
        <v>907</v>
      </c>
      <c r="CH328" t="s">
        <v>907</v>
      </c>
      <c r="CI328" t="s">
        <v>907</v>
      </c>
      <c r="CJ328" t="s">
        <v>907</v>
      </c>
      <c r="CK328" t="s">
        <v>907</v>
      </c>
      <c r="CL328" t="s">
        <v>907</v>
      </c>
      <c r="CM328" t="s">
        <v>907</v>
      </c>
      <c r="CN328" t="s">
        <v>907</v>
      </c>
      <c r="CO328" t="s">
        <v>907</v>
      </c>
      <c r="CP328" t="s">
        <v>907</v>
      </c>
      <c r="CQ328" t="s">
        <v>907</v>
      </c>
      <c r="CR328" t="s">
        <v>95</v>
      </c>
      <c r="CS328" t="s">
        <v>907</v>
      </c>
      <c r="CT328" t="s">
        <v>907</v>
      </c>
      <c r="CU328" t="s">
        <v>907</v>
      </c>
      <c r="CV328" t="s">
        <v>812</v>
      </c>
      <c r="CW328" t="s">
        <v>1079</v>
      </c>
      <c r="CX328" t="s">
        <v>907</v>
      </c>
      <c r="CY328" t="s">
        <v>907</v>
      </c>
      <c r="CZ328" t="s">
        <v>907</v>
      </c>
      <c r="DA328" t="s">
        <v>907</v>
      </c>
      <c r="DB328" t="s">
        <v>907</v>
      </c>
      <c r="DC328" t="s">
        <v>907</v>
      </c>
      <c r="DD328" t="s">
        <v>907</v>
      </c>
      <c r="DE328" t="s">
        <v>907</v>
      </c>
      <c r="DF328" t="s">
        <v>907</v>
      </c>
      <c r="DG328" t="s">
        <v>95</v>
      </c>
      <c r="DH328" t="s">
        <v>907</v>
      </c>
      <c r="DI328" t="s">
        <v>907</v>
      </c>
      <c r="DJ328" t="s">
        <v>907</v>
      </c>
      <c r="DK328" t="s">
        <v>907</v>
      </c>
      <c r="DL328" t="s">
        <v>907</v>
      </c>
      <c r="DM328" t="s">
        <v>291</v>
      </c>
      <c r="DN328" t="s">
        <v>907</v>
      </c>
      <c r="DO328" t="s">
        <v>907</v>
      </c>
      <c r="DP328" t="s">
        <v>907</v>
      </c>
      <c r="DQ328" t="s">
        <v>441</v>
      </c>
      <c r="DR328" t="s">
        <v>907</v>
      </c>
      <c r="DS328" t="s">
        <v>907</v>
      </c>
      <c r="DT328" t="s">
        <v>907</v>
      </c>
      <c r="DU328" t="s">
        <v>84</v>
      </c>
      <c r="DV328" t="s">
        <v>294</v>
      </c>
      <c r="DW328" t="s">
        <v>1080</v>
      </c>
      <c r="DX328" t="s">
        <v>95</v>
      </c>
      <c r="FQ328">
        <v>565986415</v>
      </c>
      <c r="FR328" t="s">
        <v>1081</v>
      </c>
      <c r="FS328" s="1">
        <v>45924.707650462973</v>
      </c>
      <c r="FV328" t="s">
        <v>134</v>
      </c>
      <c r="FW328" t="s">
        <v>135</v>
      </c>
      <c r="FX328" t="s">
        <v>136</v>
      </c>
      <c r="FZ328">
        <v>192</v>
      </c>
    </row>
    <row r="329" spans="1:182" hidden="1" x14ac:dyDescent="0.3">
      <c r="A329" s="1">
        <v>45925.427557766197</v>
      </c>
      <c r="B329" s="1">
        <v>45925.43529429398</v>
      </c>
      <c r="D329" t="s">
        <v>84</v>
      </c>
      <c r="E329" t="s">
        <v>3878</v>
      </c>
      <c r="F329" t="s">
        <v>1739</v>
      </c>
      <c r="G329" t="s">
        <v>176</v>
      </c>
      <c r="H329" t="s">
        <v>4121</v>
      </c>
      <c r="I329" t="s">
        <v>1740</v>
      </c>
      <c r="J329" t="s">
        <v>1741</v>
      </c>
      <c r="K329" t="s">
        <v>90</v>
      </c>
      <c r="L329" t="s">
        <v>1730</v>
      </c>
      <c r="M329" t="s">
        <v>1731</v>
      </c>
      <c r="N329" t="s">
        <v>1742</v>
      </c>
      <c r="O329">
        <v>-15.2207667</v>
      </c>
      <c r="P329">
        <v>22.9982717</v>
      </c>
      <c r="Q329">
        <v>1024.4000000000001</v>
      </c>
      <c r="R329">
        <v>4.633</v>
      </c>
      <c r="S329" t="s">
        <v>84</v>
      </c>
      <c r="T329" t="s">
        <v>94</v>
      </c>
      <c r="U329">
        <v>5</v>
      </c>
      <c r="V329" t="s">
        <v>95</v>
      </c>
      <c r="W329" t="s">
        <v>907</v>
      </c>
      <c r="X329">
        <v>15</v>
      </c>
      <c r="Y329">
        <v>3</v>
      </c>
      <c r="Z329">
        <v>2</v>
      </c>
      <c r="AA329" t="s">
        <v>251</v>
      </c>
      <c r="AB329" t="s">
        <v>97</v>
      </c>
      <c r="AC329" t="s">
        <v>98</v>
      </c>
      <c r="AD329" t="s">
        <v>252</v>
      </c>
      <c r="AE329" t="s">
        <v>100</v>
      </c>
      <c r="AF329" t="s">
        <v>907</v>
      </c>
      <c r="AG329">
        <v>2000</v>
      </c>
      <c r="AH329" t="s">
        <v>101</v>
      </c>
      <c r="AI329" t="s">
        <v>907</v>
      </c>
      <c r="AJ329" s="5">
        <v>2000</v>
      </c>
      <c r="AK329" t="s">
        <v>318</v>
      </c>
      <c r="AL329" t="s">
        <v>907</v>
      </c>
      <c r="AM329" t="s">
        <v>1743</v>
      </c>
      <c r="AN329" t="s">
        <v>907</v>
      </c>
      <c r="AO329" t="s">
        <v>1744</v>
      </c>
      <c r="AP329" t="s">
        <v>1745</v>
      </c>
      <c r="AQ329" t="s">
        <v>1746</v>
      </c>
      <c r="AR329" t="s">
        <v>95</v>
      </c>
      <c r="AS329">
        <v>0</v>
      </c>
      <c r="AT329">
        <v>0</v>
      </c>
      <c r="AU329">
        <v>0</v>
      </c>
      <c r="AV329">
        <v>0</v>
      </c>
      <c r="AW329">
        <v>0</v>
      </c>
      <c r="AX329">
        <v>0</v>
      </c>
      <c r="AY329">
        <v>0</v>
      </c>
      <c r="AZ329" t="s">
        <v>1003</v>
      </c>
      <c r="BA329" t="s">
        <v>95</v>
      </c>
      <c r="BB329" t="s">
        <v>3866</v>
      </c>
      <c r="BC329" t="s">
        <v>907</v>
      </c>
      <c r="BD329" t="s">
        <v>107</v>
      </c>
      <c r="BE329" t="s">
        <v>258</v>
      </c>
      <c r="BF329" t="s">
        <v>1747</v>
      </c>
      <c r="BG329" t="s">
        <v>907</v>
      </c>
      <c r="BH329" t="s">
        <v>907</v>
      </c>
      <c r="BY329" t="s">
        <v>907</v>
      </c>
      <c r="BZ329" t="s">
        <v>907</v>
      </c>
      <c r="CA329" t="s">
        <v>907</v>
      </c>
      <c r="CB329" t="s">
        <v>907</v>
      </c>
      <c r="CC329" t="s">
        <v>907</v>
      </c>
      <c r="CD329" t="s">
        <v>907</v>
      </c>
      <c r="CE329" t="s">
        <v>907</v>
      </c>
      <c r="CF329" t="s">
        <v>907</v>
      </c>
      <c r="CG329" t="s">
        <v>907</v>
      </c>
      <c r="CH329" t="s">
        <v>907</v>
      </c>
      <c r="CI329" t="s">
        <v>907</v>
      </c>
      <c r="CJ329" t="s">
        <v>907</v>
      </c>
      <c r="CK329" t="s">
        <v>907</v>
      </c>
      <c r="CL329" t="s">
        <v>907</v>
      </c>
      <c r="CM329" t="s">
        <v>907</v>
      </c>
      <c r="CN329" t="s">
        <v>907</v>
      </c>
      <c r="CO329" t="s">
        <v>907</v>
      </c>
      <c r="CP329" t="s">
        <v>907</v>
      </c>
      <c r="CQ329" t="s">
        <v>907</v>
      </c>
      <c r="CR329" t="s">
        <v>95</v>
      </c>
      <c r="CS329" t="s">
        <v>907</v>
      </c>
      <c r="CT329" t="s">
        <v>907</v>
      </c>
      <c r="CU329" t="s">
        <v>907</v>
      </c>
      <c r="CV329" t="s">
        <v>119</v>
      </c>
      <c r="CW329" t="s">
        <v>1748</v>
      </c>
      <c r="CX329" t="s">
        <v>907</v>
      </c>
      <c r="CY329" t="s">
        <v>907</v>
      </c>
      <c r="CZ329" t="s">
        <v>907</v>
      </c>
      <c r="DA329" t="s">
        <v>907</v>
      </c>
      <c r="DB329" t="s">
        <v>907</v>
      </c>
      <c r="DC329" t="s">
        <v>907</v>
      </c>
      <c r="DD329" t="s">
        <v>907</v>
      </c>
      <c r="DE329" t="s">
        <v>907</v>
      </c>
      <c r="DF329" t="s">
        <v>907</v>
      </c>
      <c r="DG329" t="s">
        <v>84</v>
      </c>
      <c r="DH329" t="s">
        <v>907</v>
      </c>
      <c r="DI329" t="s">
        <v>907</v>
      </c>
      <c r="DJ329" t="s">
        <v>907</v>
      </c>
      <c r="DK329" t="s">
        <v>907</v>
      </c>
      <c r="DL329" t="s">
        <v>907</v>
      </c>
      <c r="DM329" t="s">
        <v>291</v>
      </c>
      <c r="DN329" t="s">
        <v>907</v>
      </c>
      <c r="DO329" t="s">
        <v>907</v>
      </c>
      <c r="DP329" t="s">
        <v>907</v>
      </c>
      <c r="DQ329" t="s">
        <v>441</v>
      </c>
      <c r="DR329" t="s">
        <v>907</v>
      </c>
      <c r="DS329" t="s">
        <v>907</v>
      </c>
      <c r="DT329" t="s">
        <v>907</v>
      </c>
      <c r="DU329" t="s">
        <v>95</v>
      </c>
      <c r="DV329" t="s">
        <v>907</v>
      </c>
      <c r="DW329" t="s">
        <v>907</v>
      </c>
      <c r="DX329" t="s">
        <v>907</v>
      </c>
      <c r="FQ329">
        <v>566789897</v>
      </c>
      <c r="FR329" t="s">
        <v>1749</v>
      </c>
      <c r="FS329" s="1">
        <v>45925.665289351848</v>
      </c>
      <c r="FV329" t="s">
        <v>134</v>
      </c>
      <c r="FW329" t="s">
        <v>135</v>
      </c>
      <c r="FX329" t="s">
        <v>136</v>
      </c>
      <c r="FZ329">
        <v>270</v>
      </c>
    </row>
    <row r="330" spans="1:182" hidden="1" x14ac:dyDescent="0.3">
      <c r="A330" s="1">
        <v>45930.373121064818</v>
      </c>
      <c r="B330" s="1">
        <v>45930.932900856482</v>
      </c>
      <c r="D330" t="s">
        <v>84</v>
      </c>
      <c r="E330" t="s">
        <v>3876</v>
      </c>
      <c r="F330" t="s">
        <v>3124</v>
      </c>
      <c r="G330" t="s">
        <v>176</v>
      </c>
      <c r="H330" t="s">
        <v>4122</v>
      </c>
      <c r="I330" t="s">
        <v>3125</v>
      </c>
      <c r="J330" t="s">
        <v>3126</v>
      </c>
      <c r="K330" t="s">
        <v>90</v>
      </c>
      <c r="L330" t="s">
        <v>4050</v>
      </c>
      <c r="M330" t="s">
        <v>3127</v>
      </c>
      <c r="S330" t="s">
        <v>84</v>
      </c>
      <c r="T330" t="s">
        <v>94</v>
      </c>
      <c r="U330">
        <v>7</v>
      </c>
      <c r="V330" t="s">
        <v>302</v>
      </c>
      <c r="W330" t="s">
        <v>3128</v>
      </c>
      <c r="X330">
        <v>20</v>
      </c>
      <c r="Y330">
        <v>6</v>
      </c>
      <c r="Z330">
        <v>6</v>
      </c>
      <c r="AA330" t="s">
        <v>504</v>
      </c>
      <c r="AB330" t="s">
        <v>351</v>
      </c>
      <c r="AC330" t="s">
        <v>98</v>
      </c>
      <c r="AD330" t="s">
        <v>252</v>
      </c>
      <c r="AE330" t="s">
        <v>100</v>
      </c>
      <c r="AF330" t="s">
        <v>907</v>
      </c>
      <c r="AG330">
        <v>2000</v>
      </c>
      <c r="AH330" t="s">
        <v>3873</v>
      </c>
      <c r="AI330" t="s">
        <v>907</v>
      </c>
      <c r="AJ330" t="s">
        <v>907</v>
      </c>
      <c r="AK330" t="s">
        <v>318</v>
      </c>
      <c r="AL330" t="s">
        <v>907</v>
      </c>
      <c r="AM330" t="s">
        <v>3129</v>
      </c>
      <c r="AN330" t="s">
        <v>907</v>
      </c>
      <c r="AO330" t="s">
        <v>3130</v>
      </c>
      <c r="AP330" t="s">
        <v>3131</v>
      </c>
      <c r="AQ330" t="s">
        <v>3132</v>
      </c>
      <c r="AR330" t="s">
        <v>84</v>
      </c>
      <c r="AS330">
        <v>0</v>
      </c>
      <c r="AT330">
        <v>0</v>
      </c>
      <c r="AU330">
        <v>0</v>
      </c>
      <c r="AV330">
        <v>0</v>
      </c>
      <c r="AW330">
        <v>0</v>
      </c>
      <c r="AX330">
        <v>0</v>
      </c>
      <c r="AY330">
        <v>0</v>
      </c>
      <c r="AZ330" t="s">
        <v>106</v>
      </c>
      <c r="BA330" t="s">
        <v>95</v>
      </c>
      <c r="BB330" t="s">
        <v>154</v>
      </c>
      <c r="BC330" t="s">
        <v>907</v>
      </c>
      <c r="BD330" t="s">
        <v>107</v>
      </c>
      <c r="BE330" t="s">
        <v>363</v>
      </c>
      <c r="BF330" t="s">
        <v>3133</v>
      </c>
      <c r="BG330" t="s">
        <v>907</v>
      </c>
      <c r="BH330" t="s">
        <v>907</v>
      </c>
      <c r="BY330" t="s">
        <v>907</v>
      </c>
      <c r="BZ330" t="s">
        <v>907</v>
      </c>
      <c r="CA330" t="s">
        <v>907</v>
      </c>
      <c r="CB330" t="s">
        <v>907</v>
      </c>
      <c r="CC330" t="s">
        <v>907</v>
      </c>
      <c r="CD330" t="s">
        <v>907</v>
      </c>
      <c r="CE330" t="s">
        <v>907</v>
      </c>
      <c r="CF330" t="s">
        <v>907</v>
      </c>
      <c r="CG330" t="s">
        <v>907</v>
      </c>
      <c r="CH330" t="s">
        <v>907</v>
      </c>
      <c r="CI330" t="s">
        <v>907</v>
      </c>
      <c r="CJ330" t="s">
        <v>907</v>
      </c>
      <c r="CK330" t="s">
        <v>907</v>
      </c>
      <c r="CL330" t="s">
        <v>907</v>
      </c>
      <c r="CM330" t="s">
        <v>907</v>
      </c>
      <c r="CN330" t="s">
        <v>907</v>
      </c>
      <c r="CO330" t="s">
        <v>907</v>
      </c>
      <c r="CP330" t="s">
        <v>907</v>
      </c>
      <c r="CQ330" t="s">
        <v>907</v>
      </c>
      <c r="CR330" t="s">
        <v>95</v>
      </c>
      <c r="CS330" t="s">
        <v>907</v>
      </c>
      <c r="CT330" t="s">
        <v>907</v>
      </c>
      <c r="CU330" t="s">
        <v>907</v>
      </c>
      <c r="CV330" t="s">
        <v>812</v>
      </c>
      <c r="CW330" t="s">
        <v>495</v>
      </c>
      <c r="CX330" t="s">
        <v>907</v>
      </c>
      <c r="CY330" t="s">
        <v>907</v>
      </c>
      <c r="CZ330" t="s">
        <v>907</v>
      </c>
      <c r="DA330" t="s">
        <v>907</v>
      </c>
      <c r="DB330" t="s">
        <v>907</v>
      </c>
      <c r="DC330" t="s">
        <v>907</v>
      </c>
      <c r="DD330" t="s">
        <v>907</v>
      </c>
      <c r="DE330" t="s">
        <v>907</v>
      </c>
      <c r="DF330" t="s">
        <v>907</v>
      </c>
      <c r="DG330" t="s">
        <v>84</v>
      </c>
      <c r="DH330" t="s">
        <v>907</v>
      </c>
      <c r="DI330" t="s">
        <v>907</v>
      </c>
      <c r="DJ330" t="s">
        <v>907</v>
      </c>
      <c r="DK330" t="s">
        <v>907</v>
      </c>
      <c r="DL330" t="s">
        <v>907</v>
      </c>
      <c r="DM330" t="s">
        <v>291</v>
      </c>
      <c r="DN330" t="s">
        <v>907</v>
      </c>
      <c r="DO330" t="s">
        <v>907</v>
      </c>
      <c r="DP330" t="s">
        <v>907</v>
      </c>
      <c r="DQ330" t="s">
        <v>441</v>
      </c>
      <c r="DR330" t="s">
        <v>907</v>
      </c>
      <c r="DS330" t="s">
        <v>907</v>
      </c>
      <c r="DT330" t="s">
        <v>907</v>
      </c>
      <c r="DU330" t="s">
        <v>95</v>
      </c>
      <c r="DV330" t="s">
        <v>907</v>
      </c>
      <c r="DW330" t="s">
        <v>907</v>
      </c>
      <c r="DX330" t="s">
        <v>907</v>
      </c>
      <c r="FQ330">
        <v>570408149</v>
      </c>
      <c r="FR330" t="s">
        <v>3134</v>
      </c>
      <c r="FS330" s="1">
        <v>45930.850127314807</v>
      </c>
      <c r="FV330" t="s">
        <v>134</v>
      </c>
      <c r="FW330" t="s">
        <v>135</v>
      </c>
      <c r="FX330" t="s">
        <v>136</v>
      </c>
      <c r="FZ330">
        <v>592</v>
      </c>
    </row>
    <row r="331" spans="1:182" hidden="1" x14ac:dyDescent="0.3">
      <c r="A331" s="1">
        <v>45925.524964675933</v>
      </c>
      <c r="B331" s="1">
        <v>45925.529669895826</v>
      </c>
      <c r="D331" t="s">
        <v>84</v>
      </c>
      <c r="E331" t="s">
        <v>3878</v>
      </c>
      <c r="F331" t="s">
        <v>1813</v>
      </c>
      <c r="G331" t="s">
        <v>176</v>
      </c>
      <c r="H331" t="s">
        <v>4122</v>
      </c>
      <c r="I331" t="s">
        <v>1814</v>
      </c>
      <c r="J331" t="s">
        <v>1815</v>
      </c>
      <c r="K331" t="s">
        <v>90</v>
      </c>
      <c r="L331" t="s">
        <v>1816</v>
      </c>
      <c r="M331" t="s">
        <v>1731</v>
      </c>
      <c r="N331" t="s">
        <v>1817</v>
      </c>
      <c r="O331">
        <v>-15.2207217</v>
      </c>
      <c r="P331">
        <v>22.998276700000002</v>
      </c>
      <c r="Q331">
        <v>1007.1</v>
      </c>
      <c r="R331">
        <v>4.5999999999999996</v>
      </c>
      <c r="S331" t="s">
        <v>84</v>
      </c>
      <c r="T331" t="s">
        <v>94</v>
      </c>
      <c r="U331">
        <v>6</v>
      </c>
      <c r="V331" t="s">
        <v>95</v>
      </c>
      <c r="W331" t="s">
        <v>907</v>
      </c>
      <c r="X331">
        <v>25</v>
      </c>
      <c r="Y331">
        <v>2</v>
      </c>
      <c r="Z331">
        <v>2</v>
      </c>
      <c r="AA331" t="s">
        <v>251</v>
      </c>
      <c r="AB331" t="s">
        <v>351</v>
      </c>
      <c r="AC331" t="s">
        <v>98</v>
      </c>
      <c r="AD331" t="s">
        <v>252</v>
      </c>
      <c r="AE331" t="s">
        <v>100</v>
      </c>
      <c r="AF331" t="s">
        <v>907</v>
      </c>
      <c r="AG331">
        <v>3000</v>
      </c>
      <c r="AH331" t="s">
        <v>304</v>
      </c>
      <c r="AI331" t="s">
        <v>907</v>
      </c>
      <c r="AJ331" s="5">
        <v>400</v>
      </c>
      <c r="AK331" t="s">
        <v>304</v>
      </c>
      <c r="AL331" t="s">
        <v>907</v>
      </c>
      <c r="AM331" t="s">
        <v>907</v>
      </c>
      <c r="AN331" t="s">
        <v>907</v>
      </c>
      <c r="AQ331" t="s">
        <v>907</v>
      </c>
      <c r="AR331" t="s">
        <v>84</v>
      </c>
      <c r="AS331">
        <v>0</v>
      </c>
      <c r="AT331">
        <v>0</v>
      </c>
      <c r="AU331">
        <v>0</v>
      </c>
      <c r="AV331">
        <v>0</v>
      </c>
      <c r="AW331">
        <v>0</v>
      </c>
      <c r="AX331">
        <v>0</v>
      </c>
      <c r="AY331">
        <v>0</v>
      </c>
      <c r="AZ331" t="s">
        <v>106</v>
      </c>
      <c r="BA331" t="s">
        <v>907</v>
      </c>
      <c r="BB331" t="s">
        <v>308</v>
      </c>
      <c r="BC331" t="s">
        <v>907</v>
      </c>
      <c r="BD331" t="s">
        <v>907</v>
      </c>
      <c r="BE331" t="s">
        <v>907</v>
      </c>
      <c r="BF331" t="s">
        <v>907</v>
      </c>
      <c r="BG331" t="s">
        <v>310</v>
      </c>
      <c r="BH331" t="s">
        <v>907</v>
      </c>
      <c r="BY331" t="s">
        <v>907</v>
      </c>
      <c r="BZ331" t="s">
        <v>907</v>
      </c>
      <c r="CA331" t="s">
        <v>907</v>
      </c>
      <c r="CB331" t="s">
        <v>907</v>
      </c>
      <c r="CC331" t="s">
        <v>907</v>
      </c>
      <c r="CD331" t="s">
        <v>907</v>
      </c>
      <c r="CE331" t="s">
        <v>907</v>
      </c>
      <c r="CF331" t="s">
        <v>907</v>
      </c>
      <c r="CG331" t="s">
        <v>907</v>
      </c>
      <c r="CH331" t="s">
        <v>907</v>
      </c>
      <c r="CI331" t="s">
        <v>907</v>
      </c>
      <c r="CJ331" t="s">
        <v>907</v>
      </c>
      <c r="CK331" t="s">
        <v>907</v>
      </c>
      <c r="CL331" t="s">
        <v>907</v>
      </c>
      <c r="CM331" t="s">
        <v>907</v>
      </c>
      <c r="CN331" t="s">
        <v>907</v>
      </c>
      <c r="CO331" t="s">
        <v>907</v>
      </c>
      <c r="CP331" t="s">
        <v>907</v>
      </c>
      <c r="CQ331" t="s">
        <v>907</v>
      </c>
      <c r="CR331" t="s">
        <v>95</v>
      </c>
      <c r="CS331" t="s">
        <v>907</v>
      </c>
      <c r="CT331" t="s">
        <v>907</v>
      </c>
      <c r="CU331" t="s">
        <v>907</v>
      </c>
      <c r="CV331" t="s">
        <v>907</v>
      </c>
      <c r="CW331" t="s">
        <v>907</v>
      </c>
      <c r="CX331" t="s">
        <v>907</v>
      </c>
      <c r="CY331" t="s">
        <v>907</v>
      </c>
      <c r="CZ331" t="s">
        <v>907</v>
      </c>
      <c r="DA331" t="s">
        <v>907</v>
      </c>
      <c r="DB331" t="s">
        <v>907</v>
      </c>
      <c r="DC331" t="s">
        <v>907</v>
      </c>
      <c r="DD331" t="s">
        <v>907</v>
      </c>
      <c r="DE331" t="s">
        <v>907</v>
      </c>
      <c r="DF331" t="s">
        <v>907</v>
      </c>
      <c r="DG331" t="s">
        <v>95</v>
      </c>
      <c r="DH331" t="s">
        <v>95</v>
      </c>
      <c r="DI331" t="s">
        <v>907</v>
      </c>
      <c r="DJ331" t="s">
        <v>907</v>
      </c>
      <c r="DK331" t="s">
        <v>907</v>
      </c>
      <c r="DL331" t="s">
        <v>907</v>
      </c>
      <c r="DM331" t="s">
        <v>291</v>
      </c>
      <c r="DN331" t="s">
        <v>907</v>
      </c>
      <c r="DO331" t="s">
        <v>907</v>
      </c>
      <c r="DP331" t="s">
        <v>907</v>
      </c>
      <c r="DQ331" t="s">
        <v>441</v>
      </c>
      <c r="DR331" t="s">
        <v>907</v>
      </c>
      <c r="DS331" t="s">
        <v>172</v>
      </c>
      <c r="DT331" t="s">
        <v>863</v>
      </c>
      <c r="DU331" t="s">
        <v>95</v>
      </c>
      <c r="DV331" t="s">
        <v>907</v>
      </c>
      <c r="DW331" t="s">
        <v>907</v>
      </c>
      <c r="DX331" t="s">
        <v>907</v>
      </c>
      <c r="FQ331">
        <v>566789996</v>
      </c>
      <c r="FR331" t="s">
        <v>1818</v>
      </c>
      <c r="FS331" s="1">
        <v>45925.665370370371</v>
      </c>
      <c r="FV331" t="s">
        <v>134</v>
      </c>
      <c r="FW331" t="s">
        <v>135</v>
      </c>
      <c r="FX331" t="s">
        <v>136</v>
      </c>
      <c r="FZ331">
        <v>278</v>
      </c>
    </row>
    <row r="332" spans="1:182" hidden="1" x14ac:dyDescent="0.3">
      <c r="A332" s="1">
        <v>45925.382552048613</v>
      </c>
      <c r="B332" s="1">
        <v>45925.391348124998</v>
      </c>
      <c r="D332" t="s">
        <v>84</v>
      </c>
      <c r="E332" t="s">
        <v>3878</v>
      </c>
      <c r="F332" t="s">
        <v>1848</v>
      </c>
      <c r="G332" t="s">
        <v>176</v>
      </c>
      <c r="H332" t="s">
        <v>4122</v>
      </c>
      <c r="I332" t="s">
        <v>1849</v>
      </c>
      <c r="J332" t="s">
        <v>1850</v>
      </c>
      <c r="K332" t="s">
        <v>90</v>
      </c>
      <c r="L332" t="s">
        <v>1828</v>
      </c>
      <c r="M332" t="s">
        <v>1851</v>
      </c>
      <c r="N332" t="s">
        <v>1852</v>
      </c>
      <c r="O332">
        <v>-15.220841699999999</v>
      </c>
      <c r="P332">
        <v>22.998355</v>
      </c>
      <c r="Q332">
        <v>1030.5</v>
      </c>
      <c r="R332">
        <v>4.8330000000000002</v>
      </c>
      <c r="S332" t="s">
        <v>84</v>
      </c>
      <c r="T332" t="s">
        <v>94</v>
      </c>
      <c r="U332">
        <v>4</v>
      </c>
      <c r="V332" t="s">
        <v>95</v>
      </c>
      <c r="W332" t="s">
        <v>907</v>
      </c>
      <c r="X332">
        <v>5</v>
      </c>
      <c r="Y332">
        <v>6</v>
      </c>
      <c r="Z332">
        <v>1</v>
      </c>
      <c r="AA332" t="s">
        <v>251</v>
      </c>
      <c r="AB332" t="s">
        <v>97</v>
      </c>
      <c r="AC332" t="s">
        <v>98</v>
      </c>
      <c r="AD332" t="s">
        <v>99</v>
      </c>
      <c r="AE332" t="s">
        <v>100</v>
      </c>
      <c r="AF332" t="s">
        <v>907</v>
      </c>
      <c r="AG332">
        <v>3000</v>
      </c>
      <c r="AH332" t="s">
        <v>101</v>
      </c>
      <c r="AI332" t="s">
        <v>907</v>
      </c>
      <c r="AJ332" s="5">
        <v>5000</v>
      </c>
      <c r="AK332" t="s">
        <v>318</v>
      </c>
      <c r="AL332" t="s">
        <v>907</v>
      </c>
      <c r="AM332" t="s">
        <v>1853</v>
      </c>
      <c r="AN332" t="s">
        <v>1063</v>
      </c>
      <c r="AO332" t="s">
        <v>1854</v>
      </c>
      <c r="AP332" t="s">
        <v>1855</v>
      </c>
      <c r="AQ332" t="s">
        <v>1856</v>
      </c>
      <c r="AR332" t="s">
        <v>84</v>
      </c>
      <c r="AS332">
        <v>0</v>
      </c>
      <c r="AT332">
        <v>0</v>
      </c>
      <c r="AU332">
        <v>0</v>
      </c>
      <c r="AV332">
        <v>0</v>
      </c>
      <c r="AW332">
        <v>0</v>
      </c>
      <c r="AX332">
        <v>0</v>
      </c>
      <c r="AY332">
        <v>0</v>
      </c>
      <c r="AZ332" t="s">
        <v>929</v>
      </c>
      <c r="BA332" t="s">
        <v>95</v>
      </c>
      <c r="BB332" t="s">
        <v>154</v>
      </c>
      <c r="BC332" t="s">
        <v>907</v>
      </c>
      <c r="BD332" t="s">
        <v>257</v>
      </c>
      <c r="BE332" t="s">
        <v>363</v>
      </c>
      <c r="BF332" t="s">
        <v>1857</v>
      </c>
      <c r="BG332" t="s">
        <v>907</v>
      </c>
      <c r="BH332" t="s">
        <v>907</v>
      </c>
      <c r="BY332" t="s">
        <v>907</v>
      </c>
      <c r="BZ332" t="s">
        <v>907</v>
      </c>
      <c r="CA332" t="s">
        <v>907</v>
      </c>
      <c r="CB332" t="s">
        <v>907</v>
      </c>
      <c r="CC332" t="s">
        <v>907</v>
      </c>
      <c r="CD332" t="s">
        <v>907</v>
      </c>
      <c r="CE332" t="s">
        <v>907</v>
      </c>
      <c r="CF332" t="s">
        <v>907</v>
      </c>
      <c r="CG332" t="s">
        <v>907</v>
      </c>
      <c r="CH332" t="s">
        <v>907</v>
      </c>
      <c r="CI332" t="s">
        <v>907</v>
      </c>
      <c r="CJ332" t="s">
        <v>907</v>
      </c>
      <c r="CK332" t="s">
        <v>907</v>
      </c>
      <c r="CL332" t="s">
        <v>907</v>
      </c>
      <c r="CM332" t="s">
        <v>907</v>
      </c>
      <c r="CN332" t="s">
        <v>907</v>
      </c>
      <c r="CO332" t="s">
        <v>907</v>
      </c>
      <c r="CP332" t="s">
        <v>907</v>
      </c>
      <c r="CQ332" t="s">
        <v>907</v>
      </c>
      <c r="CR332" t="s">
        <v>95</v>
      </c>
      <c r="CS332" t="s">
        <v>907</v>
      </c>
      <c r="CT332" t="s">
        <v>907</v>
      </c>
      <c r="CU332" t="s">
        <v>907</v>
      </c>
      <c r="CV332" t="s">
        <v>812</v>
      </c>
      <c r="CW332" t="s">
        <v>495</v>
      </c>
      <c r="CX332" t="s">
        <v>907</v>
      </c>
      <c r="CY332" t="s">
        <v>907</v>
      </c>
      <c r="CZ332" t="s">
        <v>907</v>
      </c>
      <c r="DA332" t="s">
        <v>907</v>
      </c>
      <c r="DB332" t="s">
        <v>907</v>
      </c>
      <c r="DC332" t="s">
        <v>907</v>
      </c>
      <c r="DD332" t="s">
        <v>907</v>
      </c>
      <c r="DE332" t="s">
        <v>907</v>
      </c>
      <c r="DF332" t="s">
        <v>907</v>
      </c>
      <c r="DG332" t="s">
        <v>95</v>
      </c>
      <c r="DH332" t="s">
        <v>907</v>
      </c>
      <c r="DI332" t="s">
        <v>907</v>
      </c>
      <c r="DJ332" t="s">
        <v>907</v>
      </c>
      <c r="DK332" t="s">
        <v>907</v>
      </c>
      <c r="DL332" t="s">
        <v>907</v>
      </c>
      <c r="DM332" t="s">
        <v>291</v>
      </c>
      <c r="DN332" t="s">
        <v>907</v>
      </c>
      <c r="DO332" t="s">
        <v>907</v>
      </c>
      <c r="DP332" t="s">
        <v>907</v>
      </c>
      <c r="DQ332" t="s">
        <v>441</v>
      </c>
      <c r="DR332" t="s">
        <v>907</v>
      </c>
      <c r="DS332" t="s">
        <v>907</v>
      </c>
      <c r="DT332" t="s">
        <v>907</v>
      </c>
      <c r="DU332" t="s">
        <v>95</v>
      </c>
      <c r="DV332" t="s">
        <v>907</v>
      </c>
      <c r="DW332" t="s">
        <v>907</v>
      </c>
      <c r="DX332" t="s">
        <v>907</v>
      </c>
      <c r="FQ332">
        <v>566790059</v>
      </c>
      <c r="FR332" t="s">
        <v>1858</v>
      </c>
      <c r="FS332" s="1">
        <v>45925.66542824074</v>
      </c>
      <c r="FV332" t="s">
        <v>134</v>
      </c>
      <c r="FW332" t="s">
        <v>135</v>
      </c>
      <c r="FX332" t="s">
        <v>136</v>
      </c>
      <c r="FZ332">
        <v>283</v>
      </c>
    </row>
    <row r="333" spans="1:182" hidden="1" x14ac:dyDescent="0.3">
      <c r="A333" s="1">
        <v>45925.637841643518</v>
      </c>
      <c r="B333" s="1">
        <v>45925.655722210649</v>
      </c>
      <c r="D333" t="s">
        <v>84</v>
      </c>
      <c r="E333" t="s">
        <v>1397</v>
      </c>
      <c r="F333" t="s">
        <v>2197</v>
      </c>
      <c r="G333" t="s">
        <v>176</v>
      </c>
      <c r="H333" t="s">
        <v>4122</v>
      </c>
      <c r="I333" t="s">
        <v>2198</v>
      </c>
      <c r="J333" t="s">
        <v>2199</v>
      </c>
      <c r="K333" t="s">
        <v>90</v>
      </c>
      <c r="L333" t="s">
        <v>2200</v>
      </c>
      <c r="M333" t="s">
        <v>2201</v>
      </c>
      <c r="N333" t="s">
        <v>2202</v>
      </c>
      <c r="O333">
        <v>-15.233473999999999</v>
      </c>
      <c r="P333">
        <v>22.991833700000001</v>
      </c>
      <c r="Q333">
        <v>1034.421020507812</v>
      </c>
      <c r="R333">
        <v>4.0970000000000004</v>
      </c>
      <c r="S333" t="s">
        <v>84</v>
      </c>
      <c r="T333" t="s">
        <v>94</v>
      </c>
      <c r="U333">
        <v>5</v>
      </c>
      <c r="V333" t="s">
        <v>212</v>
      </c>
      <c r="W333" t="s">
        <v>2203</v>
      </c>
      <c r="X333">
        <v>30</v>
      </c>
      <c r="Y333" s="3">
        <v>3</v>
      </c>
      <c r="Z333">
        <v>1</v>
      </c>
      <c r="AA333" t="s">
        <v>251</v>
      </c>
      <c r="AB333" t="s">
        <v>351</v>
      </c>
      <c r="AC333" t="s">
        <v>98</v>
      </c>
      <c r="AD333" t="s">
        <v>252</v>
      </c>
      <c r="AE333" t="s">
        <v>100</v>
      </c>
      <c r="AF333" t="s">
        <v>907</v>
      </c>
      <c r="AG333">
        <v>5000</v>
      </c>
      <c r="AH333" t="s">
        <v>2126</v>
      </c>
      <c r="AI333" t="s">
        <v>1232</v>
      </c>
      <c r="AJ333" s="5">
        <v>3000</v>
      </c>
      <c r="AK333" t="s">
        <v>102</v>
      </c>
      <c r="AL333" t="s">
        <v>907</v>
      </c>
      <c r="AM333" t="s">
        <v>1853</v>
      </c>
      <c r="AN333" t="s">
        <v>1418</v>
      </c>
      <c r="AO333" t="s">
        <v>2204</v>
      </c>
      <c r="AP333" t="s">
        <v>2143</v>
      </c>
      <c r="AQ333" t="s">
        <v>928</v>
      </c>
      <c r="AR333" t="s">
        <v>84</v>
      </c>
      <c r="AS333">
        <v>2</v>
      </c>
      <c r="AT333">
        <v>0</v>
      </c>
      <c r="AU333">
        <v>0</v>
      </c>
      <c r="AV333">
        <v>10</v>
      </c>
      <c r="AW333">
        <v>0</v>
      </c>
      <c r="AX333">
        <v>0</v>
      </c>
      <c r="AY333">
        <v>0</v>
      </c>
      <c r="AZ333" t="s">
        <v>1003</v>
      </c>
      <c r="BA333" t="s">
        <v>452</v>
      </c>
      <c r="BB333" t="s">
        <v>154</v>
      </c>
      <c r="BC333" t="s">
        <v>907</v>
      </c>
      <c r="BD333" t="s">
        <v>257</v>
      </c>
      <c r="BE333" t="s">
        <v>258</v>
      </c>
      <c r="BF333" t="s">
        <v>3980</v>
      </c>
      <c r="BG333" t="s">
        <v>310</v>
      </c>
      <c r="BH333" t="s">
        <v>907</v>
      </c>
      <c r="BY333" t="s">
        <v>907</v>
      </c>
      <c r="BZ333" t="s">
        <v>907</v>
      </c>
      <c r="CA333" t="s">
        <v>907</v>
      </c>
      <c r="CB333" t="s">
        <v>907</v>
      </c>
      <c r="CC333" t="s">
        <v>907</v>
      </c>
      <c r="CD333" t="s">
        <v>907</v>
      </c>
      <c r="CE333" t="s">
        <v>907</v>
      </c>
      <c r="CF333" t="s">
        <v>907</v>
      </c>
      <c r="CG333" t="s">
        <v>907</v>
      </c>
      <c r="CH333" t="s">
        <v>907</v>
      </c>
      <c r="CI333" t="s">
        <v>907</v>
      </c>
      <c r="CJ333" t="s">
        <v>907</v>
      </c>
      <c r="CK333" t="s">
        <v>907</v>
      </c>
      <c r="CL333" t="s">
        <v>907</v>
      </c>
      <c r="CM333" t="s">
        <v>907</v>
      </c>
      <c r="CN333" t="s">
        <v>907</v>
      </c>
      <c r="CO333" t="s">
        <v>907</v>
      </c>
      <c r="CP333" t="s">
        <v>907</v>
      </c>
      <c r="CQ333" t="s">
        <v>907</v>
      </c>
      <c r="CR333" t="s">
        <v>84</v>
      </c>
      <c r="CS333" t="s">
        <v>117</v>
      </c>
      <c r="CT333" t="s">
        <v>264</v>
      </c>
      <c r="CU333" t="s">
        <v>3869</v>
      </c>
      <c r="CV333" t="s">
        <v>812</v>
      </c>
      <c r="CW333" t="s">
        <v>1137</v>
      </c>
      <c r="CX333" t="s">
        <v>907</v>
      </c>
      <c r="CY333" t="s">
        <v>907</v>
      </c>
      <c r="CZ333" t="s">
        <v>907</v>
      </c>
      <c r="DA333" t="s">
        <v>907</v>
      </c>
      <c r="DB333" t="s">
        <v>907</v>
      </c>
      <c r="DC333" t="s">
        <v>907</v>
      </c>
      <c r="DD333" t="s">
        <v>907</v>
      </c>
      <c r="DE333" t="s">
        <v>907</v>
      </c>
      <c r="DF333" t="s">
        <v>907</v>
      </c>
      <c r="DG333" t="s">
        <v>95</v>
      </c>
      <c r="DH333" t="s">
        <v>95</v>
      </c>
      <c r="DI333" t="s">
        <v>907</v>
      </c>
      <c r="DJ333" t="s">
        <v>907</v>
      </c>
      <c r="DK333" t="s">
        <v>907</v>
      </c>
      <c r="DL333" t="s">
        <v>907</v>
      </c>
      <c r="DM333" t="s">
        <v>291</v>
      </c>
      <c r="DN333" t="s">
        <v>907</v>
      </c>
      <c r="DO333" t="s">
        <v>907</v>
      </c>
      <c r="DP333" t="s">
        <v>907</v>
      </c>
      <c r="DQ333" t="s">
        <v>128</v>
      </c>
      <c r="DR333" t="s">
        <v>907</v>
      </c>
      <c r="DS333" t="s">
        <v>1362</v>
      </c>
      <c r="DT333" t="s">
        <v>2205</v>
      </c>
      <c r="DU333" t="s">
        <v>84</v>
      </c>
      <c r="DV333" t="s">
        <v>864</v>
      </c>
      <c r="DW333" t="s">
        <v>933</v>
      </c>
      <c r="DX333" t="s">
        <v>95</v>
      </c>
      <c r="FQ333">
        <v>566874450</v>
      </c>
      <c r="FR333" t="s">
        <v>2206</v>
      </c>
      <c r="FS333" s="1">
        <v>45925.742696759262</v>
      </c>
      <c r="FV333" t="s">
        <v>134</v>
      </c>
      <c r="FW333" t="s">
        <v>135</v>
      </c>
      <c r="FX333" t="s">
        <v>136</v>
      </c>
      <c r="FZ333">
        <v>313</v>
      </c>
    </row>
    <row r="334" spans="1:182" hidden="1" x14ac:dyDescent="0.3">
      <c r="A334" s="1">
        <v>45924.534424432873</v>
      </c>
      <c r="B334" s="1">
        <v>45924.540625208327</v>
      </c>
      <c r="D334" t="s">
        <v>84</v>
      </c>
      <c r="E334" t="s">
        <v>535</v>
      </c>
      <c r="F334" t="s">
        <v>731</v>
      </c>
      <c r="G334" t="s">
        <v>176</v>
      </c>
      <c r="H334" t="s">
        <v>4122</v>
      </c>
      <c r="I334" t="s">
        <v>732</v>
      </c>
      <c r="J334" t="s">
        <v>733</v>
      </c>
      <c r="K334" t="s">
        <v>90</v>
      </c>
      <c r="L334" t="s">
        <v>670</v>
      </c>
      <c r="M334" t="s">
        <v>141</v>
      </c>
      <c r="N334" t="s">
        <v>734</v>
      </c>
      <c r="O334">
        <v>-15.345677</v>
      </c>
      <c r="P334">
        <v>23.1288512</v>
      </c>
      <c r="Q334">
        <v>1044.706420898438</v>
      </c>
      <c r="R334">
        <v>4.4669999999999996</v>
      </c>
      <c r="S334" t="s">
        <v>84</v>
      </c>
      <c r="T334" t="s">
        <v>182</v>
      </c>
      <c r="U334">
        <v>5</v>
      </c>
      <c r="V334" t="s">
        <v>95</v>
      </c>
      <c r="W334" t="s">
        <v>907</v>
      </c>
      <c r="X334">
        <v>8</v>
      </c>
      <c r="Y334">
        <v>39</v>
      </c>
      <c r="Z334">
        <v>2</v>
      </c>
      <c r="AA334" t="s">
        <v>96</v>
      </c>
      <c r="AB334" t="s">
        <v>351</v>
      </c>
      <c r="AC334" t="s">
        <v>144</v>
      </c>
      <c r="AD334" t="s">
        <v>145</v>
      </c>
      <c r="AE334" t="s">
        <v>101</v>
      </c>
      <c r="AF334" t="s">
        <v>907</v>
      </c>
      <c r="AG334">
        <v>200</v>
      </c>
      <c r="AH334" t="s">
        <v>100</v>
      </c>
      <c r="AI334" t="s">
        <v>907</v>
      </c>
      <c r="AJ334" s="5">
        <v>0</v>
      </c>
      <c r="AK334" t="s">
        <v>318</v>
      </c>
      <c r="AL334" t="s">
        <v>907</v>
      </c>
      <c r="AM334" t="s">
        <v>466</v>
      </c>
      <c r="AN334" t="s">
        <v>907</v>
      </c>
      <c r="AO334">
        <v>0</v>
      </c>
      <c r="AP334">
        <v>0</v>
      </c>
      <c r="AQ334" t="s">
        <v>466</v>
      </c>
      <c r="AR334" t="s">
        <v>95</v>
      </c>
      <c r="AS334">
        <v>0</v>
      </c>
      <c r="AT334">
        <v>0</v>
      </c>
      <c r="AU334">
        <v>0</v>
      </c>
      <c r="AV334">
        <v>0</v>
      </c>
      <c r="AW334">
        <v>0</v>
      </c>
      <c r="AX334">
        <v>0</v>
      </c>
      <c r="AY334">
        <v>0</v>
      </c>
      <c r="AZ334" t="s">
        <v>106</v>
      </c>
      <c r="BA334" t="s">
        <v>95</v>
      </c>
      <c r="BB334" t="s">
        <v>154</v>
      </c>
      <c r="BC334" t="s">
        <v>907</v>
      </c>
      <c r="BD334" t="s">
        <v>107</v>
      </c>
      <c r="BE334" t="s">
        <v>108</v>
      </c>
      <c r="BF334" t="s">
        <v>544</v>
      </c>
      <c r="BG334" t="s">
        <v>907</v>
      </c>
      <c r="BH334" t="s">
        <v>907</v>
      </c>
      <c r="BY334" t="s">
        <v>907</v>
      </c>
      <c r="BZ334" t="s">
        <v>907</v>
      </c>
      <c r="CA334" t="s">
        <v>907</v>
      </c>
      <c r="CB334" t="s">
        <v>907</v>
      </c>
      <c r="CC334" t="s">
        <v>907</v>
      </c>
      <c r="CD334" t="s">
        <v>907</v>
      </c>
      <c r="CE334" t="s">
        <v>907</v>
      </c>
      <c r="CF334" t="s">
        <v>907</v>
      </c>
      <c r="CG334" t="s">
        <v>907</v>
      </c>
      <c r="CH334" t="s">
        <v>907</v>
      </c>
      <c r="CI334" t="s">
        <v>907</v>
      </c>
      <c r="CJ334" t="s">
        <v>907</v>
      </c>
      <c r="CK334" t="s">
        <v>907</v>
      </c>
      <c r="CL334" t="s">
        <v>907</v>
      </c>
      <c r="CM334" t="s">
        <v>907</v>
      </c>
      <c r="CN334" t="s">
        <v>907</v>
      </c>
      <c r="CO334" t="s">
        <v>907</v>
      </c>
      <c r="CP334" t="s">
        <v>907</v>
      </c>
      <c r="CQ334" t="s">
        <v>907</v>
      </c>
      <c r="CR334" t="s">
        <v>84</v>
      </c>
      <c r="CS334" t="s">
        <v>117</v>
      </c>
      <c r="CT334" t="s">
        <v>163</v>
      </c>
      <c r="CU334" t="s">
        <v>3869</v>
      </c>
      <c r="CV334" t="s">
        <v>119</v>
      </c>
      <c r="CW334" t="s">
        <v>559</v>
      </c>
      <c r="CX334" t="s">
        <v>907</v>
      </c>
      <c r="CY334" t="s">
        <v>907</v>
      </c>
      <c r="CZ334" t="s">
        <v>907</v>
      </c>
      <c r="DA334" t="s">
        <v>907</v>
      </c>
      <c r="DB334" t="s">
        <v>907</v>
      </c>
      <c r="DC334" t="s">
        <v>907</v>
      </c>
      <c r="DD334" t="s">
        <v>907</v>
      </c>
      <c r="DE334" t="s">
        <v>907</v>
      </c>
      <c r="DF334" t="s">
        <v>907</v>
      </c>
      <c r="DG334" t="s">
        <v>95</v>
      </c>
      <c r="DH334" t="s">
        <v>907</v>
      </c>
      <c r="DI334" t="s">
        <v>907</v>
      </c>
      <c r="DJ334" t="s">
        <v>907</v>
      </c>
      <c r="DK334" t="s">
        <v>907</v>
      </c>
      <c r="DL334" t="s">
        <v>907</v>
      </c>
      <c r="DM334" t="s">
        <v>125</v>
      </c>
      <c r="DN334" t="s">
        <v>2386</v>
      </c>
      <c r="DO334" t="s">
        <v>171</v>
      </c>
      <c r="DP334" t="s">
        <v>907</v>
      </c>
      <c r="DQ334" t="s">
        <v>128</v>
      </c>
      <c r="DR334" t="s">
        <v>907</v>
      </c>
      <c r="DS334" t="s">
        <v>907</v>
      </c>
      <c r="DT334" t="s">
        <v>907</v>
      </c>
      <c r="DU334" t="s">
        <v>95</v>
      </c>
      <c r="DV334" t="s">
        <v>907</v>
      </c>
      <c r="DW334" t="s">
        <v>907</v>
      </c>
      <c r="DX334" t="s">
        <v>907</v>
      </c>
      <c r="FQ334">
        <v>565909064</v>
      </c>
      <c r="FR334" t="s">
        <v>735</v>
      </c>
      <c r="FS334" s="1">
        <v>45924.644895833328</v>
      </c>
      <c r="FV334" t="s">
        <v>134</v>
      </c>
      <c r="FW334" t="s">
        <v>135</v>
      </c>
      <c r="FX334" t="s">
        <v>136</v>
      </c>
      <c r="FZ334">
        <v>163</v>
      </c>
    </row>
    <row r="335" spans="1:182" hidden="1" x14ac:dyDescent="0.3">
      <c r="A335" s="1">
        <v>45923.452361585652</v>
      </c>
      <c r="B335" s="1">
        <v>45923.462979537027</v>
      </c>
      <c r="D335" t="s">
        <v>84</v>
      </c>
      <c r="E335" t="s">
        <v>3876</v>
      </c>
      <c r="F335" t="s">
        <v>461</v>
      </c>
      <c r="G335" t="s">
        <v>87</v>
      </c>
      <c r="H335" t="s">
        <v>4122</v>
      </c>
      <c r="I335" t="s">
        <v>462</v>
      </c>
      <c r="J335" t="s">
        <v>463</v>
      </c>
      <c r="K335" t="s">
        <v>90</v>
      </c>
      <c r="L335" t="s">
        <v>429</v>
      </c>
      <c r="M335" t="s">
        <v>414</v>
      </c>
      <c r="N335" t="s">
        <v>464</v>
      </c>
      <c r="O335">
        <v>-15.440822199999999</v>
      </c>
      <c r="P335">
        <v>23.2167238</v>
      </c>
      <c r="Q335">
        <v>1032.091064453125</v>
      </c>
      <c r="R335">
        <v>4.5670000000000002</v>
      </c>
      <c r="S335" t="s">
        <v>84</v>
      </c>
      <c r="T335" t="s">
        <v>362</v>
      </c>
      <c r="U335">
        <v>6</v>
      </c>
      <c r="V335" t="s">
        <v>95</v>
      </c>
      <c r="W335" t="s">
        <v>907</v>
      </c>
      <c r="X335">
        <v>10</v>
      </c>
      <c r="Y335">
        <v>4</v>
      </c>
      <c r="Z335">
        <v>2</v>
      </c>
      <c r="AA335" t="s">
        <v>465</v>
      </c>
      <c r="AB335" t="s">
        <v>97</v>
      </c>
      <c r="AC335" t="s">
        <v>98</v>
      </c>
      <c r="AD335" t="s">
        <v>280</v>
      </c>
      <c r="AE335" t="s">
        <v>100</v>
      </c>
      <c r="AF335" t="s">
        <v>907</v>
      </c>
      <c r="AG335">
        <v>7000</v>
      </c>
      <c r="AH335" t="s">
        <v>431</v>
      </c>
      <c r="AI335" t="s">
        <v>907</v>
      </c>
      <c r="AJ335" s="5">
        <v>5000</v>
      </c>
      <c r="AK335" t="s">
        <v>318</v>
      </c>
      <c r="AL335" t="s">
        <v>907</v>
      </c>
      <c r="AM335" t="s">
        <v>466</v>
      </c>
      <c r="AN335" t="s">
        <v>907</v>
      </c>
      <c r="AO335" t="s">
        <v>467</v>
      </c>
      <c r="AP335" t="s">
        <v>468</v>
      </c>
      <c r="AQ335" t="s">
        <v>469</v>
      </c>
      <c r="AR335" t="s">
        <v>95</v>
      </c>
      <c r="AS335">
        <v>0</v>
      </c>
      <c r="AT335">
        <v>0</v>
      </c>
      <c r="AU335">
        <v>0</v>
      </c>
      <c r="AV335">
        <v>0</v>
      </c>
      <c r="AW335">
        <v>0</v>
      </c>
      <c r="AX335">
        <v>0</v>
      </c>
      <c r="AY335">
        <v>0</v>
      </c>
      <c r="AZ335" t="s">
        <v>284</v>
      </c>
      <c r="BA335" t="s">
        <v>95</v>
      </c>
      <c r="BB335" t="s">
        <v>154</v>
      </c>
      <c r="BC335" t="s">
        <v>907</v>
      </c>
      <c r="BD335" t="s">
        <v>257</v>
      </c>
      <c r="BE335" t="s">
        <v>470</v>
      </c>
      <c r="BF335" t="s">
        <v>471</v>
      </c>
      <c r="BG335" t="s">
        <v>907</v>
      </c>
      <c r="BH335" t="s">
        <v>907</v>
      </c>
      <c r="BY335" t="s">
        <v>907</v>
      </c>
      <c r="BZ335" t="s">
        <v>907</v>
      </c>
      <c r="CA335" t="s">
        <v>907</v>
      </c>
      <c r="CB335" t="s">
        <v>907</v>
      </c>
      <c r="CC335" t="s">
        <v>907</v>
      </c>
      <c r="CD335" t="s">
        <v>907</v>
      </c>
      <c r="CE335" t="s">
        <v>907</v>
      </c>
      <c r="CF335" t="s">
        <v>907</v>
      </c>
      <c r="CG335" t="s">
        <v>907</v>
      </c>
      <c r="CH335" t="s">
        <v>907</v>
      </c>
      <c r="CI335" t="s">
        <v>907</v>
      </c>
      <c r="CJ335" t="s">
        <v>907</v>
      </c>
      <c r="CK335" t="s">
        <v>907</v>
      </c>
      <c r="CL335" t="s">
        <v>907</v>
      </c>
      <c r="CM335" t="s">
        <v>907</v>
      </c>
      <c r="CN335" t="s">
        <v>907</v>
      </c>
      <c r="CO335" t="s">
        <v>907</v>
      </c>
      <c r="CP335" t="s">
        <v>907</v>
      </c>
      <c r="CQ335" t="s">
        <v>907</v>
      </c>
      <c r="CR335" t="s">
        <v>95</v>
      </c>
      <c r="CS335" t="s">
        <v>907</v>
      </c>
      <c r="CT335" t="s">
        <v>907</v>
      </c>
      <c r="CU335" t="s">
        <v>907</v>
      </c>
      <c r="CV335" t="s">
        <v>119</v>
      </c>
      <c r="CW335" t="s">
        <v>439</v>
      </c>
      <c r="CX335" t="s">
        <v>907</v>
      </c>
      <c r="CY335" t="s">
        <v>907</v>
      </c>
      <c r="CZ335" t="s">
        <v>907</v>
      </c>
      <c r="DA335" t="s">
        <v>907</v>
      </c>
      <c r="DB335" t="s">
        <v>907</v>
      </c>
      <c r="DC335" t="s">
        <v>907</v>
      </c>
      <c r="DD335" t="s">
        <v>907</v>
      </c>
      <c r="DE335" t="s">
        <v>907</v>
      </c>
      <c r="DF335" t="s">
        <v>907</v>
      </c>
      <c r="DG335" t="s">
        <v>84</v>
      </c>
      <c r="DH335" t="s">
        <v>907</v>
      </c>
      <c r="DI335" t="s">
        <v>907</v>
      </c>
      <c r="DJ335" t="s">
        <v>907</v>
      </c>
      <c r="DK335" t="s">
        <v>907</v>
      </c>
      <c r="DL335" t="s">
        <v>907</v>
      </c>
      <c r="DM335" t="s">
        <v>291</v>
      </c>
      <c r="DN335" t="s">
        <v>907</v>
      </c>
      <c r="DO335" t="s">
        <v>907</v>
      </c>
      <c r="DP335" t="s">
        <v>907</v>
      </c>
      <c r="DQ335" t="s">
        <v>441</v>
      </c>
      <c r="DR335" t="s">
        <v>907</v>
      </c>
      <c r="DS335" t="s">
        <v>907</v>
      </c>
      <c r="DT335" t="s">
        <v>907</v>
      </c>
      <c r="DU335" t="s">
        <v>95</v>
      </c>
      <c r="DV335" t="s">
        <v>907</v>
      </c>
      <c r="DW335" t="s">
        <v>907</v>
      </c>
      <c r="DX335" t="s">
        <v>907</v>
      </c>
      <c r="FQ335">
        <v>565242512</v>
      </c>
      <c r="FR335" t="s">
        <v>472</v>
      </c>
      <c r="FS335" s="1">
        <v>45923.830810185187</v>
      </c>
      <c r="FV335" t="s">
        <v>134</v>
      </c>
      <c r="FW335" t="s">
        <v>135</v>
      </c>
      <c r="FX335" t="s">
        <v>136</v>
      </c>
      <c r="FZ335">
        <v>128</v>
      </c>
    </row>
    <row r="336" spans="1:182" hidden="1" x14ac:dyDescent="0.3">
      <c r="A336" s="1">
        <v>45924.688792372683</v>
      </c>
      <c r="B336" s="1">
        <v>45924.773666006942</v>
      </c>
      <c r="D336" t="s">
        <v>84</v>
      </c>
      <c r="E336" t="s">
        <v>3876</v>
      </c>
      <c r="F336" t="s">
        <v>1216</v>
      </c>
      <c r="G336" t="s">
        <v>87</v>
      </c>
      <c r="H336" t="s">
        <v>4122</v>
      </c>
      <c r="I336" t="s">
        <v>1217</v>
      </c>
      <c r="J336" t="s">
        <v>1218</v>
      </c>
      <c r="K336" t="s">
        <v>90</v>
      </c>
      <c r="L336" t="s">
        <v>1219</v>
      </c>
      <c r="M336" t="s">
        <v>671</v>
      </c>
      <c r="S336" t="s">
        <v>84</v>
      </c>
      <c r="T336" t="s">
        <v>94</v>
      </c>
      <c r="U336">
        <v>6</v>
      </c>
      <c r="V336" t="s">
        <v>212</v>
      </c>
      <c r="W336" t="s">
        <v>232</v>
      </c>
      <c r="X336">
        <v>20</v>
      </c>
      <c r="Y336">
        <v>4</v>
      </c>
      <c r="Z336">
        <v>2</v>
      </c>
      <c r="AA336" t="s">
        <v>96</v>
      </c>
      <c r="AB336" t="s">
        <v>351</v>
      </c>
      <c r="AC336" t="s">
        <v>98</v>
      </c>
      <c r="AD336" t="s">
        <v>99</v>
      </c>
      <c r="AE336" t="s">
        <v>100</v>
      </c>
      <c r="AF336" t="s">
        <v>907</v>
      </c>
      <c r="AG336">
        <v>10000</v>
      </c>
      <c r="AH336" t="s">
        <v>100</v>
      </c>
      <c r="AI336" t="s">
        <v>907</v>
      </c>
      <c r="AJ336" s="5">
        <v>3500</v>
      </c>
      <c r="AK336" t="s">
        <v>318</v>
      </c>
      <c r="AL336" t="s">
        <v>907</v>
      </c>
      <c r="AM336" t="s">
        <v>1220</v>
      </c>
      <c r="AN336" t="s">
        <v>907</v>
      </c>
      <c r="AO336" t="s">
        <v>1221</v>
      </c>
      <c r="AP336" t="s">
        <v>1222</v>
      </c>
      <c r="AQ336" t="s">
        <v>1223</v>
      </c>
      <c r="AR336" t="s">
        <v>84</v>
      </c>
      <c r="AS336">
        <v>0</v>
      </c>
      <c r="AT336">
        <v>0</v>
      </c>
      <c r="AU336">
        <v>0</v>
      </c>
      <c r="AV336">
        <v>0</v>
      </c>
      <c r="AW336">
        <v>0</v>
      </c>
      <c r="AX336">
        <v>0</v>
      </c>
      <c r="AY336">
        <v>0</v>
      </c>
      <c r="AZ336" t="s">
        <v>629</v>
      </c>
      <c r="BA336" t="s">
        <v>95</v>
      </c>
      <c r="BB336" t="s">
        <v>3866</v>
      </c>
      <c r="BC336" t="s">
        <v>907</v>
      </c>
      <c r="BD336" t="s">
        <v>107</v>
      </c>
      <c r="BE336" t="s">
        <v>810</v>
      </c>
      <c r="BF336" t="s">
        <v>1224</v>
      </c>
      <c r="BG336" t="s">
        <v>907</v>
      </c>
      <c r="BH336" t="s">
        <v>907</v>
      </c>
      <c r="BY336" t="s">
        <v>907</v>
      </c>
      <c r="BZ336" t="s">
        <v>907</v>
      </c>
      <c r="CA336" t="s">
        <v>907</v>
      </c>
      <c r="CB336" t="s">
        <v>907</v>
      </c>
      <c r="CC336" t="s">
        <v>907</v>
      </c>
      <c r="CD336" t="s">
        <v>907</v>
      </c>
      <c r="CE336" t="s">
        <v>907</v>
      </c>
      <c r="CF336" t="s">
        <v>907</v>
      </c>
      <c r="CG336" t="s">
        <v>907</v>
      </c>
      <c r="CH336" t="s">
        <v>907</v>
      </c>
      <c r="CI336" t="s">
        <v>907</v>
      </c>
      <c r="CJ336" t="s">
        <v>907</v>
      </c>
      <c r="CK336" t="s">
        <v>907</v>
      </c>
      <c r="CL336" t="s">
        <v>907</v>
      </c>
      <c r="CM336" t="s">
        <v>907</v>
      </c>
      <c r="CN336" t="s">
        <v>907</v>
      </c>
      <c r="CO336" t="s">
        <v>907</v>
      </c>
      <c r="CP336" t="s">
        <v>907</v>
      </c>
      <c r="CQ336" t="s">
        <v>907</v>
      </c>
      <c r="CR336" t="s">
        <v>95</v>
      </c>
      <c r="CS336" t="s">
        <v>907</v>
      </c>
      <c r="CT336" t="s">
        <v>907</v>
      </c>
      <c r="CU336" t="s">
        <v>907</v>
      </c>
      <c r="CV336" t="s">
        <v>482</v>
      </c>
      <c r="CW336" t="s">
        <v>1137</v>
      </c>
      <c r="CX336" t="s">
        <v>907</v>
      </c>
      <c r="CY336" t="s">
        <v>907</v>
      </c>
      <c r="CZ336" t="s">
        <v>907</v>
      </c>
      <c r="DA336" t="s">
        <v>907</v>
      </c>
      <c r="DB336" t="s">
        <v>907</v>
      </c>
      <c r="DC336" t="s">
        <v>907</v>
      </c>
      <c r="DD336" t="s">
        <v>907</v>
      </c>
      <c r="DE336" t="s">
        <v>907</v>
      </c>
      <c r="DF336" t="s">
        <v>907</v>
      </c>
      <c r="DG336" t="s">
        <v>95</v>
      </c>
      <c r="DH336" t="s">
        <v>907</v>
      </c>
      <c r="DI336" t="s">
        <v>907</v>
      </c>
      <c r="DJ336" t="s">
        <v>907</v>
      </c>
      <c r="DK336" t="s">
        <v>907</v>
      </c>
      <c r="DL336" t="s">
        <v>907</v>
      </c>
      <c r="DM336" t="s">
        <v>291</v>
      </c>
      <c r="DN336" t="s">
        <v>907</v>
      </c>
      <c r="DO336" t="s">
        <v>907</v>
      </c>
      <c r="DP336" t="s">
        <v>907</v>
      </c>
      <c r="DQ336" t="s">
        <v>128</v>
      </c>
      <c r="DR336" t="s">
        <v>907</v>
      </c>
      <c r="DS336" t="s">
        <v>907</v>
      </c>
      <c r="DT336" t="s">
        <v>907</v>
      </c>
      <c r="DU336" t="s">
        <v>95</v>
      </c>
      <c r="DV336" t="s">
        <v>907</v>
      </c>
      <c r="DW336" t="s">
        <v>907</v>
      </c>
      <c r="DX336" t="s">
        <v>907</v>
      </c>
      <c r="FQ336">
        <v>565986575</v>
      </c>
      <c r="FR336" t="s">
        <v>1225</v>
      </c>
      <c r="FS336" s="1">
        <v>45924.707789351851</v>
      </c>
      <c r="FV336" t="s">
        <v>134</v>
      </c>
      <c r="FW336" t="s">
        <v>135</v>
      </c>
      <c r="FX336" t="s">
        <v>136</v>
      </c>
      <c r="FZ336">
        <v>207</v>
      </c>
    </row>
    <row r="337" spans="1:182" hidden="1" x14ac:dyDescent="0.3">
      <c r="A337" s="1">
        <v>45923.447940925929</v>
      </c>
      <c r="B337" s="1">
        <v>45923.460888182868</v>
      </c>
      <c r="D337" t="s">
        <v>84</v>
      </c>
      <c r="E337" t="s">
        <v>297</v>
      </c>
      <c r="F337" t="s">
        <v>385</v>
      </c>
      <c r="G337" t="s">
        <v>87</v>
      </c>
      <c r="H337" t="s">
        <v>4121</v>
      </c>
      <c r="I337" t="s">
        <v>386</v>
      </c>
      <c r="J337" t="s">
        <v>387</v>
      </c>
      <c r="K337" t="s">
        <v>90</v>
      </c>
      <c r="L337" t="s">
        <v>301</v>
      </c>
      <c r="M337" t="s">
        <v>277</v>
      </c>
      <c r="N337" t="s">
        <v>388</v>
      </c>
      <c r="O337">
        <v>-15.44083</v>
      </c>
      <c r="P337">
        <v>23.21698</v>
      </c>
      <c r="Q337">
        <v>1026.5</v>
      </c>
      <c r="R337">
        <v>4.9000000000000004</v>
      </c>
      <c r="S337" t="s">
        <v>84</v>
      </c>
      <c r="T337" t="s">
        <v>362</v>
      </c>
      <c r="U337">
        <v>3</v>
      </c>
      <c r="V337" t="s">
        <v>95</v>
      </c>
      <c r="W337" t="s">
        <v>907</v>
      </c>
      <c r="X337">
        <v>16</v>
      </c>
      <c r="Y337">
        <v>1.4</v>
      </c>
      <c r="Z337">
        <v>1.4</v>
      </c>
      <c r="AA337" t="s">
        <v>96</v>
      </c>
      <c r="AB337" t="s">
        <v>97</v>
      </c>
      <c r="AC337" t="s">
        <v>144</v>
      </c>
      <c r="AD337" t="s">
        <v>280</v>
      </c>
      <c r="AE337" t="s">
        <v>100</v>
      </c>
      <c r="AF337" t="s">
        <v>907</v>
      </c>
      <c r="AG337">
        <v>10000</v>
      </c>
      <c r="AH337" t="s">
        <v>3873</v>
      </c>
      <c r="AI337" t="s">
        <v>907</v>
      </c>
      <c r="AJ337" t="s">
        <v>907</v>
      </c>
      <c r="AK337" t="s">
        <v>318</v>
      </c>
      <c r="AL337" t="s">
        <v>907</v>
      </c>
      <c r="AM337" t="s">
        <v>253</v>
      </c>
      <c r="AN337" t="s">
        <v>907</v>
      </c>
      <c r="AO337" t="s">
        <v>389</v>
      </c>
      <c r="AP337" t="s">
        <v>390</v>
      </c>
      <c r="AQ337" t="s">
        <v>391</v>
      </c>
      <c r="AR337" t="s">
        <v>95</v>
      </c>
      <c r="AS337">
        <v>0</v>
      </c>
      <c r="AT337">
        <v>0</v>
      </c>
      <c r="AU337">
        <v>0</v>
      </c>
      <c r="AV337">
        <v>0</v>
      </c>
      <c r="AW337">
        <v>0</v>
      </c>
      <c r="AX337">
        <v>0</v>
      </c>
      <c r="AY337">
        <v>0</v>
      </c>
      <c r="AZ337" t="s">
        <v>256</v>
      </c>
      <c r="BA337" t="s">
        <v>95</v>
      </c>
      <c r="BB337" t="s">
        <v>154</v>
      </c>
      <c r="BC337" t="s">
        <v>907</v>
      </c>
      <c r="BD337" t="s">
        <v>257</v>
      </c>
      <c r="BE337" t="s">
        <v>258</v>
      </c>
      <c r="BF337" t="s">
        <v>392</v>
      </c>
      <c r="BG337" t="s">
        <v>907</v>
      </c>
      <c r="BH337" t="s">
        <v>907</v>
      </c>
      <c r="BY337" t="s">
        <v>907</v>
      </c>
      <c r="BZ337" t="s">
        <v>907</v>
      </c>
      <c r="CA337" t="s">
        <v>907</v>
      </c>
      <c r="CB337" t="s">
        <v>907</v>
      </c>
      <c r="CC337" t="s">
        <v>907</v>
      </c>
      <c r="CD337" t="s">
        <v>907</v>
      </c>
      <c r="CE337" t="s">
        <v>907</v>
      </c>
      <c r="CF337" t="s">
        <v>907</v>
      </c>
      <c r="CG337" t="s">
        <v>907</v>
      </c>
      <c r="CH337" t="s">
        <v>907</v>
      </c>
      <c r="CI337" t="s">
        <v>907</v>
      </c>
      <c r="CJ337" t="s">
        <v>907</v>
      </c>
      <c r="CK337" t="s">
        <v>907</v>
      </c>
      <c r="CL337" t="s">
        <v>907</v>
      </c>
      <c r="CM337" t="s">
        <v>907</v>
      </c>
      <c r="CN337" t="s">
        <v>907</v>
      </c>
      <c r="CO337" t="s">
        <v>907</v>
      </c>
      <c r="CP337" t="s">
        <v>907</v>
      </c>
      <c r="CQ337" t="s">
        <v>907</v>
      </c>
      <c r="CR337" t="s">
        <v>84</v>
      </c>
      <c r="CS337" t="s">
        <v>117</v>
      </c>
      <c r="CT337" t="s">
        <v>163</v>
      </c>
      <c r="CU337" t="s">
        <v>322</v>
      </c>
      <c r="CV337" t="s">
        <v>119</v>
      </c>
      <c r="CW337" t="s">
        <v>323</v>
      </c>
      <c r="CX337" t="s">
        <v>907</v>
      </c>
      <c r="CY337" t="s">
        <v>907</v>
      </c>
      <c r="CZ337" t="s">
        <v>907</v>
      </c>
      <c r="DA337" t="s">
        <v>907</v>
      </c>
      <c r="DB337" t="s">
        <v>907</v>
      </c>
      <c r="DC337" t="s">
        <v>907</v>
      </c>
      <c r="DD337" t="s">
        <v>907</v>
      </c>
      <c r="DE337" t="s">
        <v>907</v>
      </c>
      <c r="DF337" t="s">
        <v>907</v>
      </c>
      <c r="DG337" t="s">
        <v>95</v>
      </c>
      <c r="DH337" t="s">
        <v>907</v>
      </c>
      <c r="DI337" t="s">
        <v>907</v>
      </c>
      <c r="DJ337" t="s">
        <v>907</v>
      </c>
      <c r="DK337" t="s">
        <v>907</v>
      </c>
      <c r="DL337" t="s">
        <v>907</v>
      </c>
      <c r="DM337" t="s">
        <v>291</v>
      </c>
      <c r="DN337" t="s">
        <v>907</v>
      </c>
      <c r="DO337" t="s">
        <v>907</v>
      </c>
      <c r="DP337" t="s">
        <v>907</v>
      </c>
      <c r="DQ337" t="s">
        <v>128</v>
      </c>
      <c r="DR337" t="s">
        <v>907</v>
      </c>
      <c r="DS337" t="s">
        <v>907</v>
      </c>
      <c r="DT337" t="s">
        <v>907</v>
      </c>
      <c r="DU337" t="s">
        <v>95</v>
      </c>
      <c r="DV337" t="s">
        <v>907</v>
      </c>
      <c r="DW337" t="s">
        <v>907</v>
      </c>
      <c r="DX337" t="s">
        <v>907</v>
      </c>
      <c r="FQ337">
        <v>565241813</v>
      </c>
      <c r="FR337" t="s">
        <v>393</v>
      </c>
      <c r="FS337" s="1">
        <v>45923.82980324074</v>
      </c>
      <c r="FV337" t="s">
        <v>134</v>
      </c>
      <c r="FW337" t="s">
        <v>135</v>
      </c>
      <c r="FX337" t="s">
        <v>136</v>
      </c>
      <c r="FZ337">
        <v>123</v>
      </c>
    </row>
    <row r="338" spans="1:182" hidden="1" x14ac:dyDescent="0.3">
      <c r="A338" s="1">
        <v>45924.470190844913</v>
      </c>
      <c r="B338" s="1">
        <v>45924.772368425933</v>
      </c>
      <c r="D338" t="s">
        <v>84</v>
      </c>
      <c r="E338" t="s">
        <v>3876</v>
      </c>
      <c r="F338" t="s">
        <v>1082</v>
      </c>
      <c r="G338" t="s">
        <v>176</v>
      </c>
      <c r="H338" t="s">
        <v>4122</v>
      </c>
      <c r="I338" t="s">
        <v>1083</v>
      </c>
      <c r="J338" t="s">
        <v>1084</v>
      </c>
      <c r="K338" t="s">
        <v>90</v>
      </c>
      <c r="L338" t="s">
        <v>1060</v>
      </c>
      <c r="M338" t="s">
        <v>1085</v>
      </c>
      <c r="S338" t="s">
        <v>84</v>
      </c>
      <c r="T338" t="s">
        <v>94</v>
      </c>
      <c r="U338">
        <v>4</v>
      </c>
      <c r="V338" t="s">
        <v>95</v>
      </c>
      <c r="W338" t="s">
        <v>907</v>
      </c>
      <c r="X338">
        <v>10</v>
      </c>
      <c r="Y338">
        <v>2</v>
      </c>
      <c r="Z338">
        <v>2</v>
      </c>
      <c r="AA338" t="s">
        <v>251</v>
      </c>
      <c r="AB338" t="s">
        <v>351</v>
      </c>
      <c r="AC338" t="s">
        <v>98</v>
      </c>
      <c r="AD338" t="s">
        <v>280</v>
      </c>
      <c r="AE338" t="s">
        <v>100</v>
      </c>
      <c r="AF338" t="s">
        <v>907</v>
      </c>
      <c r="AG338">
        <v>12000</v>
      </c>
      <c r="AH338" t="s">
        <v>3873</v>
      </c>
      <c r="AI338" t="s">
        <v>907</v>
      </c>
      <c r="AJ338" t="s">
        <v>907</v>
      </c>
      <c r="AK338" t="s">
        <v>318</v>
      </c>
      <c r="AL338" t="s">
        <v>907</v>
      </c>
      <c r="AM338" t="s">
        <v>1086</v>
      </c>
      <c r="AN338" t="s">
        <v>907</v>
      </c>
      <c r="AO338" t="s">
        <v>1087</v>
      </c>
      <c r="AP338" t="s">
        <v>3914</v>
      </c>
      <c r="AQ338" t="s">
        <v>909</v>
      </c>
      <c r="AR338" t="s">
        <v>84</v>
      </c>
      <c r="AS338">
        <v>0</v>
      </c>
      <c r="AT338">
        <v>0</v>
      </c>
      <c r="AU338">
        <v>0</v>
      </c>
      <c r="AV338">
        <v>0</v>
      </c>
      <c r="AW338">
        <v>0</v>
      </c>
      <c r="AX338">
        <v>0</v>
      </c>
      <c r="AY338">
        <v>0</v>
      </c>
      <c r="AZ338" t="s">
        <v>929</v>
      </c>
      <c r="BA338" t="s">
        <v>95</v>
      </c>
      <c r="BB338" t="s">
        <v>154</v>
      </c>
      <c r="BC338" t="s">
        <v>907</v>
      </c>
      <c r="BD338" t="s">
        <v>107</v>
      </c>
      <c r="BE338" t="s">
        <v>810</v>
      </c>
      <c r="BF338" t="s">
        <v>1088</v>
      </c>
      <c r="BG338" t="s">
        <v>907</v>
      </c>
      <c r="BH338" t="s">
        <v>907</v>
      </c>
      <c r="BY338" t="s">
        <v>907</v>
      </c>
      <c r="BZ338" t="s">
        <v>907</v>
      </c>
      <c r="CA338" t="s">
        <v>907</v>
      </c>
      <c r="CB338" t="s">
        <v>907</v>
      </c>
      <c r="CC338" t="s">
        <v>907</v>
      </c>
      <c r="CD338" t="s">
        <v>907</v>
      </c>
      <c r="CE338" t="s">
        <v>907</v>
      </c>
      <c r="CF338" t="s">
        <v>907</v>
      </c>
      <c r="CG338" t="s">
        <v>907</v>
      </c>
      <c r="CH338" t="s">
        <v>907</v>
      </c>
      <c r="CI338" t="s">
        <v>907</v>
      </c>
      <c r="CJ338" t="s">
        <v>907</v>
      </c>
      <c r="CK338" t="s">
        <v>907</v>
      </c>
      <c r="CL338" t="s">
        <v>907</v>
      </c>
      <c r="CM338" t="s">
        <v>907</v>
      </c>
      <c r="CN338" t="s">
        <v>907</v>
      </c>
      <c r="CO338" t="s">
        <v>907</v>
      </c>
      <c r="CP338" t="s">
        <v>907</v>
      </c>
      <c r="CQ338" t="s">
        <v>907</v>
      </c>
      <c r="CR338" t="s">
        <v>95</v>
      </c>
      <c r="CS338" t="s">
        <v>907</v>
      </c>
      <c r="CT338" t="s">
        <v>907</v>
      </c>
      <c r="CU338" t="s">
        <v>907</v>
      </c>
      <c r="CV338" t="s">
        <v>119</v>
      </c>
      <c r="CW338" t="s">
        <v>483</v>
      </c>
      <c r="CX338" t="s">
        <v>907</v>
      </c>
      <c r="CY338" t="s">
        <v>907</v>
      </c>
      <c r="CZ338" t="s">
        <v>907</v>
      </c>
      <c r="DA338" t="s">
        <v>907</v>
      </c>
      <c r="DB338" t="s">
        <v>907</v>
      </c>
      <c r="DC338" t="s">
        <v>907</v>
      </c>
      <c r="DD338" t="s">
        <v>907</v>
      </c>
      <c r="DE338" t="s">
        <v>907</v>
      </c>
      <c r="DF338" t="s">
        <v>907</v>
      </c>
      <c r="DG338" t="s">
        <v>84</v>
      </c>
      <c r="DH338" t="s">
        <v>907</v>
      </c>
      <c r="DI338" t="s">
        <v>907</v>
      </c>
      <c r="DJ338" t="s">
        <v>907</v>
      </c>
      <c r="DK338" t="s">
        <v>907</v>
      </c>
      <c r="DL338" t="s">
        <v>907</v>
      </c>
      <c r="DM338" t="s">
        <v>291</v>
      </c>
      <c r="DN338" t="s">
        <v>907</v>
      </c>
      <c r="DO338" t="s">
        <v>907</v>
      </c>
      <c r="DP338" t="s">
        <v>907</v>
      </c>
      <c r="DQ338" t="s">
        <v>441</v>
      </c>
      <c r="DR338" t="s">
        <v>907</v>
      </c>
      <c r="DS338" t="s">
        <v>907</v>
      </c>
      <c r="DT338" t="s">
        <v>907</v>
      </c>
      <c r="DU338" t="s">
        <v>84</v>
      </c>
      <c r="DV338" t="s">
        <v>294</v>
      </c>
      <c r="DW338" t="s">
        <v>1089</v>
      </c>
      <c r="DX338" t="s">
        <v>84</v>
      </c>
      <c r="FQ338">
        <v>565986422</v>
      </c>
      <c r="FR338" t="s">
        <v>1090</v>
      </c>
      <c r="FS338" s="1">
        <v>45924.707662037043</v>
      </c>
      <c r="FV338" t="s">
        <v>134</v>
      </c>
      <c r="FW338" t="s">
        <v>135</v>
      </c>
      <c r="FX338" t="s">
        <v>136</v>
      </c>
      <c r="FZ338">
        <v>193</v>
      </c>
    </row>
    <row r="339" spans="1:182" hidden="1" x14ac:dyDescent="0.3">
      <c r="A339" s="1">
        <v>45924.49610178241</v>
      </c>
      <c r="B339" s="1">
        <v>45924.772693356477</v>
      </c>
      <c r="D339" t="s">
        <v>84</v>
      </c>
      <c r="E339" t="s">
        <v>3876</v>
      </c>
      <c r="F339" t="s">
        <v>1098</v>
      </c>
      <c r="G339" t="s">
        <v>176</v>
      </c>
      <c r="H339" t="s">
        <v>4121</v>
      </c>
      <c r="I339" t="s">
        <v>1099</v>
      </c>
      <c r="J339" t="s">
        <v>1100</v>
      </c>
      <c r="K339" t="s">
        <v>90</v>
      </c>
      <c r="L339" t="s">
        <v>1101</v>
      </c>
      <c r="M339" t="s">
        <v>671</v>
      </c>
      <c r="S339" t="s">
        <v>84</v>
      </c>
      <c r="T339" t="s">
        <v>94</v>
      </c>
      <c r="U339">
        <v>7</v>
      </c>
      <c r="V339" t="s">
        <v>95</v>
      </c>
      <c r="W339" t="s">
        <v>907</v>
      </c>
      <c r="X339">
        <v>4</v>
      </c>
      <c r="Y339">
        <v>1</v>
      </c>
      <c r="Z339">
        <v>1</v>
      </c>
      <c r="AA339" t="s">
        <v>504</v>
      </c>
      <c r="AB339" t="s">
        <v>351</v>
      </c>
      <c r="AC339" t="s">
        <v>98</v>
      </c>
      <c r="AD339" t="s">
        <v>252</v>
      </c>
      <c r="AE339" t="s">
        <v>100</v>
      </c>
      <c r="AF339" t="s">
        <v>907</v>
      </c>
      <c r="AG339">
        <v>30000</v>
      </c>
      <c r="AH339" t="s">
        <v>3873</v>
      </c>
      <c r="AI339" t="s">
        <v>907</v>
      </c>
      <c r="AJ339" t="s">
        <v>907</v>
      </c>
      <c r="AK339" t="s">
        <v>318</v>
      </c>
      <c r="AL339" t="s">
        <v>907</v>
      </c>
      <c r="AM339" t="s">
        <v>333</v>
      </c>
      <c r="AN339" t="s">
        <v>1102</v>
      </c>
      <c r="AO339" t="s">
        <v>267</v>
      </c>
      <c r="AP339" t="s">
        <v>1103</v>
      </c>
      <c r="AQ339" t="s">
        <v>1104</v>
      </c>
      <c r="AR339" t="s">
        <v>95</v>
      </c>
      <c r="AS339">
        <v>0</v>
      </c>
      <c r="AT339">
        <v>0</v>
      </c>
      <c r="AU339">
        <v>0</v>
      </c>
      <c r="AV339">
        <v>0</v>
      </c>
      <c r="AW339">
        <v>0</v>
      </c>
      <c r="AX339">
        <v>0</v>
      </c>
      <c r="AY339">
        <v>0</v>
      </c>
      <c r="AZ339" t="s">
        <v>929</v>
      </c>
      <c r="BA339" t="s">
        <v>95</v>
      </c>
      <c r="BB339" t="s">
        <v>154</v>
      </c>
      <c r="BC339" t="s">
        <v>907</v>
      </c>
      <c r="BD339" t="s">
        <v>107</v>
      </c>
      <c r="BE339" t="s">
        <v>258</v>
      </c>
      <c r="BF339" t="s">
        <v>1105</v>
      </c>
      <c r="BG339" t="s">
        <v>907</v>
      </c>
      <c r="BH339" t="s">
        <v>907</v>
      </c>
      <c r="BY339" t="s">
        <v>907</v>
      </c>
      <c r="BZ339" t="s">
        <v>907</v>
      </c>
      <c r="CA339" t="s">
        <v>907</v>
      </c>
      <c r="CB339" t="s">
        <v>907</v>
      </c>
      <c r="CC339" t="s">
        <v>907</v>
      </c>
      <c r="CD339" t="s">
        <v>907</v>
      </c>
      <c r="CE339" t="s">
        <v>907</v>
      </c>
      <c r="CF339" t="s">
        <v>907</v>
      </c>
      <c r="CG339" t="s">
        <v>907</v>
      </c>
      <c r="CH339" t="s">
        <v>907</v>
      </c>
      <c r="CI339" t="s">
        <v>907</v>
      </c>
      <c r="CJ339" t="s">
        <v>907</v>
      </c>
      <c r="CK339" t="s">
        <v>907</v>
      </c>
      <c r="CL339" t="s">
        <v>907</v>
      </c>
      <c r="CM339" t="s">
        <v>907</v>
      </c>
      <c r="CN339" t="s">
        <v>907</v>
      </c>
      <c r="CO339" t="s">
        <v>907</v>
      </c>
      <c r="CP339" t="s">
        <v>907</v>
      </c>
      <c r="CQ339" t="s">
        <v>907</v>
      </c>
      <c r="CR339" t="s">
        <v>95</v>
      </c>
      <c r="CS339" t="s">
        <v>907</v>
      </c>
      <c r="CT339" t="s">
        <v>907</v>
      </c>
      <c r="CU339" t="s">
        <v>907</v>
      </c>
      <c r="CV339" t="s">
        <v>119</v>
      </c>
      <c r="CW339" t="s">
        <v>1106</v>
      </c>
      <c r="CX339" t="s">
        <v>907</v>
      </c>
      <c r="CY339" t="s">
        <v>907</v>
      </c>
      <c r="CZ339" t="s">
        <v>907</v>
      </c>
      <c r="DA339" t="s">
        <v>907</v>
      </c>
      <c r="DB339" t="s">
        <v>907</v>
      </c>
      <c r="DC339" t="s">
        <v>907</v>
      </c>
      <c r="DD339" t="s">
        <v>907</v>
      </c>
      <c r="DE339" t="s">
        <v>907</v>
      </c>
      <c r="DF339" t="s">
        <v>907</v>
      </c>
      <c r="DG339" t="s">
        <v>84</v>
      </c>
      <c r="DH339" t="s">
        <v>907</v>
      </c>
      <c r="DI339" t="s">
        <v>907</v>
      </c>
      <c r="DJ339" t="s">
        <v>907</v>
      </c>
      <c r="DK339" t="s">
        <v>907</v>
      </c>
      <c r="DL339" t="s">
        <v>907</v>
      </c>
      <c r="DM339" t="s">
        <v>291</v>
      </c>
      <c r="DN339" t="s">
        <v>907</v>
      </c>
      <c r="DO339" t="s">
        <v>907</v>
      </c>
      <c r="DP339" t="s">
        <v>907</v>
      </c>
      <c r="DQ339" t="s">
        <v>441</v>
      </c>
      <c r="DR339" t="s">
        <v>907</v>
      </c>
      <c r="DS339" t="s">
        <v>907</v>
      </c>
      <c r="DT339" t="s">
        <v>907</v>
      </c>
      <c r="DU339" t="s">
        <v>84</v>
      </c>
      <c r="DV339" t="s">
        <v>294</v>
      </c>
      <c r="DW339" t="s">
        <v>1107</v>
      </c>
      <c r="DX339" t="s">
        <v>95</v>
      </c>
      <c r="FQ339">
        <v>565986442</v>
      </c>
      <c r="FR339" t="s">
        <v>1108</v>
      </c>
      <c r="FS339" s="1">
        <v>45924.707673611112</v>
      </c>
      <c r="FV339" t="s">
        <v>134</v>
      </c>
      <c r="FW339" t="s">
        <v>135</v>
      </c>
      <c r="FX339" t="s">
        <v>136</v>
      </c>
      <c r="FZ339">
        <v>195</v>
      </c>
    </row>
    <row r="340" spans="1:182" hidden="1" x14ac:dyDescent="0.3">
      <c r="A340" s="1">
        <v>45923.447990717592</v>
      </c>
      <c r="B340" s="1">
        <v>45923.460841770837</v>
      </c>
      <c r="D340" t="s">
        <v>84</v>
      </c>
      <c r="E340" t="s">
        <v>297</v>
      </c>
      <c r="F340" t="s">
        <v>312</v>
      </c>
      <c r="G340" t="s">
        <v>176</v>
      </c>
      <c r="H340" t="s">
        <v>4122</v>
      </c>
      <c r="I340" t="s">
        <v>313</v>
      </c>
      <c r="J340" t="s">
        <v>314</v>
      </c>
      <c r="K340" t="s">
        <v>90</v>
      </c>
      <c r="L340" t="s">
        <v>315</v>
      </c>
      <c r="M340" t="s">
        <v>316</v>
      </c>
      <c r="N340" t="s">
        <v>278</v>
      </c>
      <c r="O340">
        <v>-15.4403767</v>
      </c>
      <c r="P340">
        <v>23.216996699999999</v>
      </c>
      <c r="S340" t="s">
        <v>84</v>
      </c>
      <c r="T340" t="s">
        <v>94</v>
      </c>
      <c r="U340">
        <v>11</v>
      </c>
      <c r="V340" t="s">
        <v>302</v>
      </c>
      <c r="W340" t="s">
        <v>317</v>
      </c>
      <c r="X340">
        <v>30</v>
      </c>
      <c r="Y340">
        <v>1</v>
      </c>
      <c r="Z340">
        <v>1</v>
      </c>
      <c r="AA340" t="s">
        <v>96</v>
      </c>
      <c r="AB340" t="s">
        <v>97</v>
      </c>
      <c r="AC340" t="s">
        <v>144</v>
      </c>
      <c r="AD340" t="s">
        <v>280</v>
      </c>
      <c r="AE340" t="s">
        <v>100</v>
      </c>
      <c r="AF340" t="s">
        <v>907</v>
      </c>
      <c r="AG340">
        <v>30000</v>
      </c>
      <c r="AH340" t="s">
        <v>3873</v>
      </c>
      <c r="AI340" t="s">
        <v>907</v>
      </c>
      <c r="AJ340" t="s">
        <v>907</v>
      </c>
      <c r="AK340" t="s">
        <v>318</v>
      </c>
      <c r="AL340" t="s">
        <v>907</v>
      </c>
      <c r="AM340" t="s">
        <v>253</v>
      </c>
      <c r="AN340" t="s">
        <v>907</v>
      </c>
      <c r="AO340" t="s">
        <v>267</v>
      </c>
      <c r="AP340" t="s">
        <v>319</v>
      </c>
      <c r="AQ340" t="s">
        <v>320</v>
      </c>
      <c r="AR340" t="s">
        <v>95</v>
      </c>
      <c r="AS340">
        <v>0</v>
      </c>
      <c r="AT340">
        <v>0</v>
      </c>
      <c r="AU340">
        <v>0</v>
      </c>
      <c r="AV340">
        <v>0</v>
      </c>
      <c r="AW340">
        <v>0</v>
      </c>
      <c r="AX340">
        <v>0</v>
      </c>
      <c r="AY340">
        <v>0</v>
      </c>
      <c r="AZ340" t="s">
        <v>284</v>
      </c>
      <c r="BA340" t="s">
        <v>95</v>
      </c>
      <c r="BB340" t="s">
        <v>308</v>
      </c>
      <c r="BC340" t="s">
        <v>907</v>
      </c>
      <c r="BD340" t="s">
        <v>107</v>
      </c>
      <c r="BE340" t="s">
        <v>258</v>
      </c>
      <c r="BF340" t="s">
        <v>321</v>
      </c>
      <c r="BG340" t="s">
        <v>907</v>
      </c>
      <c r="BH340" t="s">
        <v>907</v>
      </c>
      <c r="BY340" t="s">
        <v>907</v>
      </c>
      <c r="BZ340" t="s">
        <v>907</v>
      </c>
      <c r="CA340" t="s">
        <v>907</v>
      </c>
      <c r="CB340" t="s">
        <v>907</v>
      </c>
      <c r="CC340" t="s">
        <v>907</v>
      </c>
      <c r="CD340" t="s">
        <v>907</v>
      </c>
      <c r="CE340" t="s">
        <v>907</v>
      </c>
      <c r="CF340" t="s">
        <v>907</v>
      </c>
      <c r="CG340" t="s">
        <v>907</v>
      </c>
      <c r="CH340" t="s">
        <v>907</v>
      </c>
      <c r="CI340" t="s">
        <v>907</v>
      </c>
      <c r="CJ340" t="s">
        <v>907</v>
      </c>
      <c r="CK340" t="s">
        <v>907</v>
      </c>
      <c r="CL340" t="s">
        <v>907</v>
      </c>
      <c r="CM340" t="s">
        <v>907</v>
      </c>
      <c r="CN340" t="s">
        <v>907</v>
      </c>
      <c r="CO340" t="s">
        <v>907</v>
      </c>
      <c r="CP340" t="s">
        <v>907</v>
      </c>
      <c r="CQ340" t="s">
        <v>907</v>
      </c>
      <c r="CR340" t="s">
        <v>84</v>
      </c>
      <c r="CS340" t="s">
        <v>117</v>
      </c>
      <c r="CT340" t="s">
        <v>163</v>
      </c>
      <c r="CU340" t="s">
        <v>322</v>
      </c>
      <c r="CV340" t="s">
        <v>119</v>
      </c>
      <c r="CW340" t="s">
        <v>323</v>
      </c>
      <c r="CX340" t="s">
        <v>907</v>
      </c>
      <c r="CY340" t="s">
        <v>907</v>
      </c>
      <c r="CZ340" t="s">
        <v>907</v>
      </c>
      <c r="DA340" t="s">
        <v>907</v>
      </c>
      <c r="DB340" t="s">
        <v>907</v>
      </c>
      <c r="DC340" t="s">
        <v>907</v>
      </c>
      <c r="DD340" t="s">
        <v>907</v>
      </c>
      <c r="DE340" t="s">
        <v>907</v>
      </c>
      <c r="DF340" t="s">
        <v>907</v>
      </c>
      <c r="DG340" t="s">
        <v>95</v>
      </c>
      <c r="DH340" t="s">
        <v>907</v>
      </c>
      <c r="DI340" t="s">
        <v>907</v>
      </c>
      <c r="DJ340" t="s">
        <v>907</v>
      </c>
      <c r="DK340" t="s">
        <v>907</v>
      </c>
      <c r="DL340" t="s">
        <v>907</v>
      </c>
      <c r="DM340" t="s">
        <v>125</v>
      </c>
      <c r="DN340" t="s">
        <v>2386</v>
      </c>
      <c r="DO340" t="s">
        <v>324</v>
      </c>
      <c r="DP340" t="s">
        <v>907</v>
      </c>
      <c r="DQ340" t="s">
        <v>128</v>
      </c>
      <c r="DR340" t="s">
        <v>907</v>
      </c>
      <c r="DS340" t="s">
        <v>907</v>
      </c>
      <c r="DT340" t="s">
        <v>907</v>
      </c>
      <c r="DU340" t="s">
        <v>95</v>
      </c>
      <c r="DV340" t="s">
        <v>907</v>
      </c>
      <c r="DW340" t="s">
        <v>907</v>
      </c>
      <c r="DX340" t="s">
        <v>907</v>
      </c>
      <c r="FQ340">
        <v>565200888</v>
      </c>
      <c r="FR340" t="s">
        <v>325</v>
      </c>
      <c r="FS340" s="1">
        <v>45923.772997685177</v>
      </c>
      <c r="FV340" t="s">
        <v>134</v>
      </c>
      <c r="FW340" t="s">
        <v>135</v>
      </c>
      <c r="FX340" t="s">
        <v>136</v>
      </c>
      <c r="FZ340">
        <v>97</v>
      </c>
    </row>
    <row r="341" spans="1:182" hidden="1" x14ac:dyDescent="0.3">
      <c r="A341" s="1">
        <v>45923.463320497693</v>
      </c>
      <c r="B341" s="1">
        <v>45923.474108379633</v>
      </c>
      <c r="D341" t="s">
        <v>84</v>
      </c>
      <c r="E341" t="s">
        <v>3876</v>
      </c>
      <c r="F341" t="s">
        <v>473</v>
      </c>
      <c r="G341" t="s">
        <v>4122</v>
      </c>
      <c r="H341" t="s">
        <v>4122</v>
      </c>
      <c r="I341" t="s">
        <v>474</v>
      </c>
      <c r="J341" t="s">
        <v>475</v>
      </c>
      <c r="K341" t="s">
        <v>90</v>
      </c>
      <c r="L341" t="s">
        <v>429</v>
      </c>
      <c r="M341" t="s">
        <v>414</v>
      </c>
      <c r="N341" t="s">
        <v>476</v>
      </c>
      <c r="O341">
        <v>-15.440823099999999</v>
      </c>
      <c r="P341">
        <v>23.216742799999999</v>
      </c>
      <c r="Q341">
        <v>1025.048095703125</v>
      </c>
      <c r="R341">
        <v>4.7450000000000001</v>
      </c>
      <c r="S341" t="s">
        <v>84</v>
      </c>
      <c r="T341" t="s">
        <v>182</v>
      </c>
      <c r="U341">
        <v>9</v>
      </c>
      <c r="V341" t="s">
        <v>95</v>
      </c>
      <c r="W341" t="s">
        <v>907</v>
      </c>
      <c r="X341">
        <v>41</v>
      </c>
      <c r="Y341">
        <v>9</v>
      </c>
      <c r="Z341">
        <v>5</v>
      </c>
      <c r="AA341" t="s">
        <v>96</v>
      </c>
      <c r="AB341" t="s">
        <v>97</v>
      </c>
      <c r="AC341" t="s">
        <v>98</v>
      </c>
      <c r="AD341" t="s">
        <v>252</v>
      </c>
      <c r="AE341" t="s">
        <v>100</v>
      </c>
      <c r="AF341" t="s">
        <v>907</v>
      </c>
      <c r="AG341">
        <v>57400</v>
      </c>
      <c r="AH341" t="s">
        <v>304</v>
      </c>
      <c r="AI341" t="s">
        <v>907</v>
      </c>
      <c r="AJ341" s="5">
        <v>7000</v>
      </c>
      <c r="AK341" t="s">
        <v>318</v>
      </c>
      <c r="AL341" t="s">
        <v>907</v>
      </c>
      <c r="AM341" t="s">
        <v>477</v>
      </c>
      <c r="AN341" t="s">
        <v>907</v>
      </c>
      <c r="AO341" t="s">
        <v>478</v>
      </c>
      <c r="AP341" t="s">
        <v>479</v>
      </c>
      <c r="AQ341" t="s">
        <v>480</v>
      </c>
      <c r="AR341" t="s">
        <v>95</v>
      </c>
      <c r="AS341">
        <v>0</v>
      </c>
      <c r="AT341">
        <v>0</v>
      </c>
      <c r="AU341">
        <v>0</v>
      </c>
      <c r="AV341">
        <v>0</v>
      </c>
      <c r="AW341">
        <v>0</v>
      </c>
      <c r="AX341">
        <v>0</v>
      </c>
      <c r="AY341">
        <v>0</v>
      </c>
      <c r="AZ341" t="s">
        <v>106</v>
      </c>
      <c r="BA341" t="s">
        <v>95</v>
      </c>
      <c r="BB341" t="s">
        <v>154</v>
      </c>
      <c r="BC341" t="s">
        <v>907</v>
      </c>
      <c r="BD341" t="s">
        <v>107</v>
      </c>
      <c r="BE341" t="s">
        <v>258</v>
      </c>
      <c r="BF341" t="s">
        <v>481</v>
      </c>
      <c r="BG341" t="s">
        <v>907</v>
      </c>
      <c r="BH341" t="s">
        <v>907</v>
      </c>
      <c r="BY341" t="s">
        <v>907</v>
      </c>
      <c r="BZ341" t="s">
        <v>907</v>
      </c>
      <c r="CA341" t="s">
        <v>907</v>
      </c>
      <c r="CB341" t="s">
        <v>907</v>
      </c>
      <c r="CC341" t="s">
        <v>907</v>
      </c>
      <c r="CD341" t="s">
        <v>907</v>
      </c>
      <c r="CE341" t="s">
        <v>907</v>
      </c>
      <c r="CF341" t="s">
        <v>907</v>
      </c>
      <c r="CG341" t="s">
        <v>907</v>
      </c>
      <c r="CH341" t="s">
        <v>907</v>
      </c>
      <c r="CI341" t="s">
        <v>907</v>
      </c>
      <c r="CJ341" t="s">
        <v>907</v>
      </c>
      <c r="CK341" t="s">
        <v>907</v>
      </c>
      <c r="CL341" t="s">
        <v>907</v>
      </c>
      <c r="CM341" t="s">
        <v>907</v>
      </c>
      <c r="CN341" t="s">
        <v>907</v>
      </c>
      <c r="CO341" t="s">
        <v>907</v>
      </c>
      <c r="CP341" t="s">
        <v>907</v>
      </c>
      <c r="CQ341" t="s">
        <v>907</v>
      </c>
      <c r="CR341" t="s">
        <v>95</v>
      </c>
      <c r="CS341" t="s">
        <v>907</v>
      </c>
      <c r="CT341" t="s">
        <v>907</v>
      </c>
      <c r="CU341" t="s">
        <v>907</v>
      </c>
      <c r="CV341" t="s">
        <v>482</v>
      </c>
      <c r="CW341" t="s">
        <v>483</v>
      </c>
      <c r="CX341" t="s">
        <v>907</v>
      </c>
      <c r="CY341" t="s">
        <v>907</v>
      </c>
      <c r="CZ341" t="s">
        <v>907</v>
      </c>
      <c r="DA341" t="s">
        <v>907</v>
      </c>
      <c r="DB341" t="s">
        <v>907</v>
      </c>
      <c r="DC341" t="s">
        <v>907</v>
      </c>
      <c r="DD341" t="s">
        <v>907</v>
      </c>
      <c r="DE341" t="s">
        <v>907</v>
      </c>
      <c r="DF341" t="s">
        <v>907</v>
      </c>
      <c r="DG341" t="s">
        <v>84</v>
      </c>
      <c r="DH341" t="s">
        <v>907</v>
      </c>
      <c r="DI341" t="s">
        <v>907</v>
      </c>
      <c r="DJ341" t="s">
        <v>907</v>
      </c>
      <c r="DK341" t="s">
        <v>907</v>
      </c>
      <c r="DL341" t="s">
        <v>907</v>
      </c>
      <c r="DM341" t="s">
        <v>291</v>
      </c>
      <c r="DN341" t="s">
        <v>907</v>
      </c>
      <c r="DO341" t="s">
        <v>907</v>
      </c>
      <c r="DP341" t="s">
        <v>907</v>
      </c>
      <c r="DQ341" t="s">
        <v>441</v>
      </c>
      <c r="DR341" t="s">
        <v>907</v>
      </c>
      <c r="DS341" t="s">
        <v>907</v>
      </c>
      <c r="DT341" t="s">
        <v>907</v>
      </c>
      <c r="DU341" t="s">
        <v>95</v>
      </c>
      <c r="DV341" t="s">
        <v>907</v>
      </c>
      <c r="DW341" t="s">
        <v>907</v>
      </c>
      <c r="DX341" t="s">
        <v>907</v>
      </c>
      <c r="FQ341">
        <v>565242518</v>
      </c>
      <c r="FR341" t="s">
        <v>484</v>
      </c>
      <c r="FS341" s="1">
        <v>45923.830821759257</v>
      </c>
      <c r="FV341" t="s">
        <v>134</v>
      </c>
      <c r="FW341" t="s">
        <v>135</v>
      </c>
      <c r="FX341" t="s">
        <v>136</v>
      </c>
      <c r="FZ341">
        <v>129</v>
      </c>
    </row>
    <row r="342" spans="1:182" hidden="1" x14ac:dyDescent="0.3">
      <c r="A342" s="1">
        <v>45924.569750104158</v>
      </c>
      <c r="B342" s="1">
        <v>45924.613014039351</v>
      </c>
      <c r="D342" t="s">
        <v>84</v>
      </c>
      <c r="E342" t="s">
        <v>1226</v>
      </c>
      <c r="F342" t="s">
        <v>1320</v>
      </c>
      <c r="G342" t="s">
        <v>176</v>
      </c>
      <c r="H342" t="s">
        <v>4122</v>
      </c>
      <c r="I342" t="s">
        <v>1321</v>
      </c>
      <c r="J342" t="s">
        <v>1322</v>
      </c>
      <c r="K342" t="s">
        <v>90</v>
      </c>
      <c r="L342" t="s">
        <v>1323</v>
      </c>
      <c r="M342" t="s">
        <v>1324</v>
      </c>
      <c r="N342" t="s">
        <v>1325</v>
      </c>
      <c r="O342">
        <v>-15.3386183</v>
      </c>
      <c r="P342">
        <v>23.033296700000001</v>
      </c>
      <c r="Q342">
        <v>1042</v>
      </c>
      <c r="R342">
        <v>4.2830000000000004</v>
      </c>
      <c r="S342" t="s">
        <v>84</v>
      </c>
      <c r="T342" t="s">
        <v>94</v>
      </c>
      <c r="U342">
        <v>6</v>
      </c>
      <c r="V342" t="s">
        <v>212</v>
      </c>
      <c r="W342" t="s">
        <v>1326</v>
      </c>
      <c r="X342">
        <v>10</v>
      </c>
      <c r="Y342">
        <v>2500</v>
      </c>
      <c r="Z342">
        <v>4</v>
      </c>
      <c r="AA342" t="s">
        <v>251</v>
      </c>
      <c r="AB342" t="s">
        <v>351</v>
      </c>
      <c r="AC342" t="s">
        <v>98</v>
      </c>
      <c r="AD342" t="s">
        <v>99</v>
      </c>
      <c r="AE342" t="s">
        <v>101</v>
      </c>
      <c r="AF342" t="s">
        <v>907</v>
      </c>
      <c r="AG342">
        <v>1500</v>
      </c>
      <c r="AH342" t="s">
        <v>147</v>
      </c>
      <c r="AI342" t="s">
        <v>907</v>
      </c>
      <c r="AJ342" s="5">
        <v>1000</v>
      </c>
      <c r="AK342" t="s">
        <v>102</v>
      </c>
      <c r="AL342" t="s">
        <v>907</v>
      </c>
      <c r="AM342" t="s">
        <v>909</v>
      </c>
      <c r="AN342" t="s">
        <v>907</v>
      </c>
      <c r="AO342" t="s">
        <v>1327</v>
      </c>
      <c r="AP342" t="s">
        <v>1328</v>
      </c>
      <c r="AQ342" t="s">
        <v>909</v>
      </c>
      <c r="AR342" t="s">
        <v>95</v>
      </c>
      <c r="AS342">
        <v>0</v>
      </c>
      <c r="AT342">
        <v>0</v>
      </c>
      <c r="AU342">
        <v>0</v>
      </c>
      <c r="AV342">
        <v>10</v>
      </c>
      <c r="AW342">
        <v>0</v>
      </c>
      <c r="AX342">
        <v>0</v>
      </c>
      <c r="AY342">
        <v>0</v>
      </c>
      <c r="AZ342" t="s">
        <v>284</v>
      </c>
      <c r="BA342" t="s">
        <v>452</v>
      </c>
      <c r="BB342" t="s">
        <v>154</v>
      </c>
      <c r="BC342" t="s">
        <v>907</v>
      </c>
      <c r="BD342" t="s">
        <v>107</v>
      </c>
      <c r="BE342" t="s">
        <v>470</v>
      </c>
      <c r="BF342" t="s">
        <v>3925</v>
      </c>
      <c r="BG342" t="s">
        <v>1329</v>
      </c>
      <c r="BH342" t="s">
        <v>907</v>
      </c>
      <c r="BY342" t="s">
        <v>907</v>
      </c>
      <c r="BZ342" t="s">
        <v>907</v>
      </c>
      <c r="CA342" t="s">
        <v>907</v>
      </c>
      <c r="CB342" t="s">
        <v>907</v>
      </c>
      <c r="CC342" t="s">
        <v>907</v>
      </c>
      <c r="CD342" t="s">
        <v>907</v>
      </c>
      <c r="CE342" t="s">
        <v>907</v>
      </c>
      <c r="CF342" t="s">
        <v>907</v>
      </c>
      <c r="CG342" t="s">
        <v>907</v>
      </c>
      <c r="CH342" t="s">
        <v>907</v>
      </c>
      <c r="CI342" t="s">
        <v>907</v>
      </c>
      <c r="CJ342" t="s">
        <v>907</v>
      </c>
      <c r="CK342" t="s">
        <v>907</v>
      </c>
      <c r="CL342" t="s">
        <v>907</v>
      </c>
      <c r="CM342" t="s">
        <v>907</v>
      </c>
      <c r="CN342" t="s">
        <v>907</v>
      </c>
      <c r="CO342" t="s">
        <v>907</v>
      </c>
      <c r="CP342" t="s">
        <v>907</v>
      </c>
      <c r="CQ342" t="s">
        <v>907</v>
      </c>
      <c r="CR342" t="s">
        <v>95</v>
      </c>
      <c r="CS342" t="s">
        <v>907</v>
      </c>
      <c r="CT342" t="s">
        <v>907</v>
      </c>
      <c r="CU342" t="s">
        <v>907</v>
      </c>
      <c r="CV342" t="s">
        <v>812</v>
      </c>
      <c r="CW342" t="s">
        <v>495</v>
      </c>
      <c r="CX342" t="s">
        <v>907</v>
      </c>
      <c r="CY342" t="s">
        <v>907</v>
      </c>
      <c r="CZ342" t="s">
        <v>907</v>
      </c>
      <c r="DA342" t="s">
        <v>907</v>
      </c>
      <c r="DB342" t="s">
        <v>907</v>
      </c>
      <c r="DC342" t="s">
        <v>907</v>
      </c>
      <c r="DD342" t="s">
        <v>907</v>
      </c>
      <c r="DE342" t="s">
        <v>907</v>
      </c>
      <c r="DF342" t="s">
        <v>907</v>
      </c>
      <c r="DG342" t="s">
        <v>95</v>
      </c>
      <c r="DH342" t="s">
        <v>95</v>
      </c>
      <c r="DI342" t="s">
        <v>907</v>
      </c>
      <c r="DJ342" t="s">
        <v>907</v>
      </c>
      <c r="DK342" t="s">
        <v>907</v>
      </c>
      <c r="DL342" t="s">
        <v>907</v>
      </c>
      <c r="DM342" t="s">
        <v>291</v>
      </c>
      <c r="DN342" t="s">
        <v>907</v>
      </c>
      <c r="DO342" t="s">
        <v>907</v>
      </c>
      <c r="DP342" t="s">
        <v>907</v>
      </c>
      <c r="DQ342" t="s">
        <v>128</v>
      </c>
      <c r="DR342" t="s">
        <v>907</v>
      </c>
      <c r="DS342" t="s">
        <v>1330</v>
      </c>
      <c r="DT342" t="s">
        <v>1288</v>
      </c>
      <c r="DU342" t="s">
        <v>84</v>
      </c>
      <c r="DV342" t="s">
        <v>1318</v>
      </c>
      <c r="DW342" t="s">
        <v>1331</v>
      </c>
      <c r="DX342" t="s">
        <v>84</v>
      </c>
      <c r="FQ342">
        <v>566012970</v>
      </c>
      <c r="FR342" t="s">
        <v>1332</v>
      </c>
      <c r="FS342" s="1">
        <v>45924.733993055554</v>
      </c>
      <c r="FV342" t="s">
        <v>134</v>
      </c>
      <c r="FW342" t="s">
        <v>135</v>
      </c>
      <c r="FX342" t="s">
        <v>136</v>
      </c>
      <c r="FZ342">
        <v>214</v>
      </c>
    </row>
    <row r="368" spans="18:18" x14ac:dyDescent="0.3">
      <c r="R368" s="11" t="s">
        <v>17</v>
      </c>
    </row>
    <row r="369" spans="18:18" x14ac:dyDescent="0.3">
      <c r="R369" t="s">
        <v>84</v>
      </c>
    </row>
    <row r="370" spans="18:18" x14ac:dyDescent="0.3">
      <c r="R370" t="s">
        <v>95</v>
      </c>
    </row>
  </sheetData>
  <autoFilter ref="A1:FZ342" xr:uid="{069CE82D-6649-4F55-B62F-86A71319FA7D}">
    <filterColumn colId="89">
      <customFilters>
        <customFilter val="*foot*"/>
      </customFilters>
    </filterColumn>
    <sortState xmlns:xlrd2="http://schemas.microsoft.com/office/spreadsheetml/2017/richdata2" ref="A9:FZ305">
      <sortCondition ref="CL1:CL34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FEEC-737D-4969-A27C-CF137E67B851}">
  <dimension ref="A1:R61"/>
  <sheetViews>
    <sheetView zoomScale="59" workbookViewId="0">
      <selection activeCell="V65" sqref="V65"/>
    </sheetView>
  </sheetViews>
  <sheetFormatPr defaultRowHeight="14.4" x14ac:dyDescent="0.3"/>
  <sheetData>
    <row r="1" spans="1:18" x14ac:dyDescent="0.3">
      <c r="A1" s="13" t="s">
        <v>4214</v>
      </c>
    </row>
    <row r="2" spans="1:18" ht="16.8" customHeight="1" x14ac:dyDescent="0.3">
      <c r="A2" t="s">
        <v>4215</v>
      </c>
      <c r="B2">
        <v>13</v>
      </c>
      <c r="I2" s="2" t="s">
        <v>53</v>
      </c>
    </row>
    <row r="3" spans="1:18" x14ac:dyDescent="0.3">
      <c r="A3" t="s">
        <v>4216</v>
      </c>
      <c r="B3">
        <v>73</v>
      </c>
      <c r="I3" t="s">
        <v>4224</v>
      </c>
      <c r="J3">
        <v>6</v>
      </c>
    </row>
    <row r="4" spans="1:18" ht="28.8" x14ac:dyDescent="0.3">
      <c r="A4" t="s">
        <v>4217</v>
      </c>
      <c r="B4">
        <v>123</v>
      </c>
      <c r="I4" s="22" t="s">
        <v>4223</v>
      </c>
      <c r="J4">
        <v>8</v>
      </c>
      <c r="Q4" t="s">
        <v>4225</v>
      </c>
    </row>
    <row r="5" spans="1:18" x14ac:dyDescent="0.3">
      <c r="A5" t="s">
        <v>287</v>
      </c>
      <c r="B5">
        <v>252</v>
      </c>
      <c r="I5" t="s">
        <v>4222</v>
      </c>
      <c r="J5">
        <v>9</v>
      </c>
      <c r="Q5" t="s">
        <v>4229</v>
      </c>
      <c r="R5">
        <v>14</v>
      </c>
    </row>
    <row r="6" spans="1:18" x14ac:dyDescent="0.3">
      <c r="A6" t="s">
        <v>365</v>
      </c>
      <c r="B6">
        <v>276</v>
      </c>
      <c r="D6" t="s">
        <v>4218</v>
      </c>
      <c r="E6">
        <v>0</v>
      </c>
      <c r="I6" t="s">
        <v>4221</v>
      </c>
      <c r="J6">
        <v>18</v>
      </c>
      <c r="Q6" t="s">
        <v>4227</v>
      </c>
      <c r="R6">
        <v>24</v>
      </c>
    </row>
    <row r="7" spans="1:18" x14ac:dyDescent="0.3">
      <c r="I7" s="21" t="s">
        <v>4220</v>
      </c>
      <c r="J7">
        <v>54</v>
      </c>
      <c r="Q7" t="s">
        <v>4231</v>
      </c>
      <c r="R7">
        <v>33</v>
      </c>
    </row>
    <row r="8" spans="1:18" x14ac:dyDescent="0.3">
      <c r="I8" s="21" t="s">
        <v>4219</v>
      </c>
      <c r="J8">
        <v>68</v>
      </c>
      <c r="Q8" t="s">
        <v>4228</v>
      </c>
      <c r="R8">
        <v>34</v>
      </c>
    </row>
    <row r="9" spans="1:18" x14ac:dyDescent="0.3">
      <c r="Q9" t="s">
        <v>4230</v>
      </c>
      <c r="R9">
        <v>35</v>
      </c>
    </row>
    <row r="10" spans="1:18" x14ac:dyDescent="0.3">
      <c r="Q10" t="s">
        <v>4226</v>
      </c>
      <c r="R10">
        <v>83</v>
      </c>
    </row>
    <row r="11" spans="1:18" x14ac:dyDescent="0.3">
      <c r="Q11" t="s">
        <v>4232</v>
      </c>
    </row>
    <row r="12" spans="1:18" x14ac:dyDescent="0.3">
      <c r="B12">
        <f>SUM(A1:A5)</f>
        <v>0</v>
      </c>
    </row>
    <row r="17" spans="2:18" ht="57.6" x14ac:dyDescent="0.3">
      <c r="Q17" s="2" t="s">
        <v>52</v>
      </c>
    </row>
    <row r="18" spans="2:18" ht="18" customHeight="1" x14ac:dyDescent="0.3">
      <c r="I18" t="s">
        <v>51</v>
      </c>
      <c r="Q18" s="2" t="s">
        <v>52</v>
      </c>
    </row>
    <row r="19" spans="2:18" ht="18.600000000000001" customHeight="1" x14ac:dyDescent="0.3">
      <c r="B19" s="2" t="s">
        <v>37</v>
      </c>
      <c r="I19" t="s">
        <v>897</v>
      </c>
      <c r="J19">
        <v>2</v>
      </c>
      <c r="Q19" s="15" t="s">
        <v>121</v>
      </c>
      <c r="R19">
        <v>19</v>
      </c>
    </row>
    <row r="20" spans="2:18" ht="22.8" customHeight="1" x14ac:dyDescent="0.3">
      <c r="B20" t="s">
        <v>4233</v>
      </c>
      <c r="C20">
        <v>173</v>
      </c>
      <c r="I20" t="s">
        <v>1495</v>
      </c>
      <c r="J20">
        <v>2</v>
      </c>
      <c r="Q20" s="2" t="s">
        <v>4237</v>
      </c>
      <c r="R20">
        <v>11</v>
      </c>
    </row>
    <row r="21" spans="2:18" ht="15" customHeight="1" x14ac:dyDescent="0.3">
      <c r="B21" t="s">
        <v>4234</v>
      </c>
      <c r="C21">
        <v>137</v>
      </c>
      <c r="I21" s="13" t="s">
        <v>4236</v>
      </c>
      <c r="J21">
        <v>6</v>
      </c>
      <c r="Q21" s="15" t="s">
        <v>167</v>
      </c>
      <c r="R21">
        <v>131</v>
      </c>
    </row>
    <row r="22" spans="2:18" x14ac:dyDescent="0.3">
      <c r="I22" t="s">
        <v>119</v>
      </c>
      <c r="J22">
        <v>17</v>
      </c>
    </row>
    <row r="23" spans="2:18" x14ac:dyDescent="0.3">
      <c r="I23" t="s">
        <v>166</v>
      </c>
      <c r="J23">
        <v>141</v>
      </c>
    </row>
    <row r="27" spans="2:18" ht="17.399999999999999" customHeight="1" x14ac:dyDescent="0.3">
      <c r="C27" t="s">
        <v>4238</v>
      </c>
      <c r="I27" s="23" t="s">
        <v>4246</v>
      </c>
    </row>
    <row r="28" spans="2:18" ht="17.399999999999999" customHeight="1" x14ac:dyDescent="0.3">
      <c r="C28" t="s">
        <v>4245</v>
      </c>
      <c r="D28">
        <v>4</v>
      </c>
      <c r="I28" t="s">
        <v>4253</v>
      </c>
      <c r="J28">
        <v>1</v>
      </c>
      <c r="Q28" s="15" t="s">
        <v>45</v>
      </c>
    </row>
    <row r="29" spans="2:18" ht="17.399999999999999" customHeight="1" x14ac:dyDescent="0.3">
      <c r="C29" t="s">
        <v>4244</v>
      </c>
      <c r="D29">
        <v>18</v>
      </c>
      <c r="I29" s="2" t="s">
        <v>4247</v>
      </c>
      <c r="J29">
        <v>10</v>
      </c>
      <c r="Q29" t="s">
        <v>84</v>
      </c>
      <c r="R29">
        <v>7</v>
      </c>
    </row>
    <row r="30" spans="2:18" x14ac:dyDescent="0.3">
      <c r="C30" t="s">
        <v>4243</v>
      </c>
      <c r="D30">
        <v>29</v>
      </c>
      <c r="I30" t="s">
        <v>1998</v>
      </c>
      <c r="J30">
        <v>26</v>
      </c>
      <c r="Q30" t="s">
        <v>95</v>
      </c>
      <c r="R30">
        <v>303</v>
      </c>
    </row>
    <row r="31" spans="2:18" x14ac:dyDescent="0.3">
      <c r="C31" t="s">
        <v>4239</v>
      </c>
      <c r="D31">
        <v>37</v>
      </c>
      <c r="I31" t="s">
        <v>4248</v>
      </c>
      <c r="J31">
        <v>39</v>
      </c>
    </row>
    <row r="32" spans="2:18" x14ac:dyDescent="0.3">
      <c r="C32" s="21" t="s">
        <v>4240</v>
      </c>
      <c r="D32">
        <v>60</v>
      </c>
      <c r="I32" t="s">
        <v>4252</v>
      </c>
      <c r="J32">
        <v>40</v>
      </c>
    </row>
    <row r="33" spans="2:18" x14ac:dyDescent="0.3">
      <c r="C33" t="s">
        <v>4242</v>
      </c>
      <c r="D33">
        <v>66</v>
      </c>
      <c r="I33" t="s">
        <v>4249</v>
      </c>
      <c r="J33">
        <v>45</v>
      </c>
    </row>
    <row r="34" spans="2:18" x14ac:dyDescent="0.3">
      <c r="C34" t="s">
        <v>4241</v>
      </c>
      <c r="D34">
        <v>96</v>
      </c>
      <c r="I34" t="s">
        <v>4251</v>
      </c>
      <c r="J34">
        <v>87</v>
      </c>
    </row>
    <row r="35" spans="2:18" x14ac:dyDescent="0.3">
      <c r="I35" t="s">
        <v>4250</v>
      </c>
      <c r="J35">
        <v>111</v>
      </c>
    </row>
    <row r="42" spans="2:18" ht="86.4" x14ac:dyDescent="0.3">
      <c r="B42" s="2" t="s">
        <v>4254</v>
      </c>
      <c r="I42" t="s">
        <v>4257</v>
      </c>
      <c r="Q42" t="s">
        <v>43</v>
      </c>
    </row>
    <row r="43" spans="2:18" x14ac:dyDescent="0.3">
      <c r="B43" t="s">
        <v>4255</v>
      </c>
      <c r="C43">
        <v>1</v>
      </c>
      <c r="I43" t="s">
        <v>336</v>
      </c>
      <c r="J43">
        <v>17</v>
      </c>
      <c r="Q43" t="s">
        <v>84</v>
      </c>
      <c r="R43">
        <v>308</v>
      </c>
    </row>
    <row r="44" spans="2:18" x14ac:dyDescent="0.3">
      <c r="B44" s="13" t="s">
        <v>4256</v>
      </c>
      <c r="C44">
        <v>1</v>
      </c>
      <c r="I44" s="13" t="s">
        <v>405</v>
      </c>
      <c r="J44">
        <v>23</v>
      </c>
      <c r="Q44" s="2" t="s">
        <v>95</v>
      </c>
      <c r="R44">
        <v>3</v>
      </c>
    </row>
    <row r="45" spans="2:18" x14ac:dyDescent="0.3">
      <c r="B45" t="s">
        <v>123</v>
      </c>
      <c r="C45">
        <v>2</v>
      </c>
      <c r="I45" t="s">
        <v>4260</v>
      </c>
      <c r="J45">
        <v>23</v>
      </c>
    </row>
    <row r="46" spans="2:18" x14ac:dyDescent="0.3">
      <c r="B46" t="s">
        <v>466</v>
      </c>
      <c r="C46">
        <v>3</v>
      </c>
      <c r="I46" t="s">
        <v>160</v>
      </c>
      <c r="J46">
        <v>31</v>
      </c>
    </row>
    <row r="47" spans="2:18" x14ac:dyDescent="0.3">
      <c r="B47" t="s">
        <v>355</v>
      </c>
      <c r="C47">
        <v>4</v>
      </c>
      <c r="I47" s="13" t="s">
        <v>4259</v>
      </c>
      <c r="J47">
        <v>84</v>
      </c>
    </row>
    <row r="53" spans="2:11" x14ac:dyDescent="0.3">
      <c r="B53" s="13"/>
    </row>
    <row r="54" spans="2:11" ht="37.799999999999997" customHeight="1" x14ac:dyDescent="0.3">
      <c r="B54" t="s">
        <v>4261</v>
      </c>
    </row>
    <row r="55" spans="2:11" ht="16.2" customHeight="1" x14ac:dyDescent="0.3"/>
    <row r="56" spans="2:11" x14ac:dyDescent="0.3">
      <c r="B56" t="s">
        <v>2483</v>
      </c>
      <c r="C56">
        <v>20</v>
      </c>
      <c r="J56" t="s">
        <v>4266</v>
      </c>
    </row>
    <row r="57" spans="2:11" x14ac:dyDescent="0.3">
      <c r="B57" t="s">
        <v>4263</v>
      </c>
      <c r="C57">
        <v>29</v>
      </c>
      <c r="J57" t="s">
        <v>84</v>
      </c>
      <c r="K57">
        <v>281</v>
      </c>
    </row>
    <row r="58" spans="2:11" x14ac:dyDescent="0.3">
      <c r="B58" t="s">
        <v>4262</v>
      </c>
      <c r="C58">
        <v>61</v>
      </c>
      <c r="J58" t="s">
        <v>95</v>
      </c>
      <c r="K58">
        <v>29</v>
      </c>
    </row>
    <row r="59" spans="2:11" x14ac:dyDescent="0.3">
      <c r="B59" t="s">
        <v>4265</v>
      </c>
      <c r="C59">
        <v>75</v>
      </c>
    </row>
    <row r="60" spans="2:11" x14ac:dyDescent="0.3">
      <c r="B60" t="s">
        <v>4264</v>
      </c>
      <c r="C60">
        <v>95</v>
      </c>
    </row>
    <row r="61" spans="2:11" x14ac:dyDescent="0.3">
      <c r="B61" t="s">
        <v>263</v>
      </c>
      <c r="C61">
        <v>233</v>
      </c>
    </row>
  </sheetData>
  <sortState xmlns:xlrd2="http://schemas.microsoft.com/office/spreadsheetml/2017/richdata2" ref="I3:J8">
    <sortCondition ref="I2:I8"/>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6846-1D13-4D2B-B278-C49CBFB1FDE4}">
  <dimension ref="B1:L23"/>
  <sheetViews>
    <sheetView tabSelected="1" zoomScale="119" workbookViewId="0">
      <selection activeCell="H19" sqref="H19"/>
    </sheetView>
  </sheetViews>
  <sheetFormatPr defaultRowHeight="14.4" x14ac:dyDescent="0.3"/>
  <sheetData>
    <row r="1" spans="2:12" ht="18" x14ac:dyDescent="0.3">
      <c r="J1" s="14" t="s">
        <v>4207</v>
      </c>
      <c r="K1" s="12"/>
      <c r="L1" s="12"/>
    </row>
    <row r="2" spans="2:12" x14ac:dyDescent="0.3">
      <c r="J2" s="16" t="s">
        <v>4209</v>
      </c>
      <c r="K2" s="12">
        <v>22</v>
      </c>
      <c r="L2" s="12"/>
    </row>
    <row r="3" spans="2:12" ht="28.8" x14ac:dyDescent="0.3">
      <c r="B3" s="15" t="s">
        <v>2352</v>
      </c>
      <c r="C3">
        <v>1</v>
      </c>
      <c r="D3" s="14" t="s">
        <v>4203</v>
      </c>
      <c r="J3" s="16" t="s">
        <v>4208</v>
      </c>
      <c r="K3" s="12">
        <v>26</v>
      </c>
      <c r="L3" s="12"/>
    </row>
    <row r="4" spans="2:12" ht="28.8" x14ac:dyDescent="0.3">
      <c r="B4" s="15" t="s">
        <v>3695</v>
      </c>
      <c r="C4">
        <v>1</v>
      </c>
      <c r="J4" s="16" t="s">
        <v>4210</v>
      </c>
      <c r="K4" s="12">
        <v>45</v>
      </c>
      <c r="L4" s="12"/>
    </row>
    <row r="5" spans="2:12" ht="10.199999999999999" customHeight="1" x14ac:dyDescent="0.3">
      <c r="B5" s="15" t="s">
        <v>4205</v>
      </c>
      <c r="C5">
        <v>1</v>
      </c>
      <c r="J5" s="16" t="s">
        <v>1958</v>
      </c>
      <c r="K5" s="12">
        <v>67</v>
      </c>
      <c r="L5" s="12"/>
    </row>
    <row r="6" spans="2:12" ht="14.4" customHeight="1" x14ac:dyDescent="0.3">
      <c r="B6" s="15" t="s">
        <v>482</v>
      </c>
      <c r="C6">
        <v>5</v>
      </c>
      <c r="J6" s="16" t="s">
        <v>4211</v>
      </c>
      <c r="K6" s="12">
        <v>132</v>
      </c>
      <c r="L6" s="12"/>
    </row>
    <row r="7" spans="2:12" ht="16.2" customHeight="1" x14ac:dyDescent="0.3">
      <c r="B7" t="s">
        <v>4204</v>
      </c>
      <c r="C7">
        <v>11</v>
      </c>
      <c r="J7" s="16" t="s">
        <v>457</v>
      </c>
      <c r="K7" s="12">
        <v>141</v>
      </c>
      <c r="L7" s="12"/>
    </row>
    <row r="8" spans="2:12" ht="21.6" customHeight="1" x14ac:dyDescent="0.3">
      <c r="B8" s="15" t="s">
        <v>119</v>
      </c>
      <c r="C8">
        <v>151</v>
      </c>
      <c r="J8" s="16" t="s">
        <v>439</v>
      </c>
      <c r="K8" s="12">
        <v>241</v>
      </c>
      <c r="L8" s="12"/>
    </row>
    <row r="9" spans="2:12" ht="15.6" customHeight="1" x14ac:dyDescent="0.3">
      <c r="B9" s="2" t="s">
        <v>4206</v>
      </c>
      <c r="C9">
        <v>151</v>
      </c>
      <c r="L9" s="12"/>
    </row>
    <row r="15" spans="2:12" x14ac:dyDescent="0.3">
      <c r="F15" s="17"/>
    </row>
    <row r="16" spans="2:12" x14ac:dyDescent="0.3">
      <c r="C16" s="13"/>
      <c r="F16" s="18"/>
    </row>
    <row r="17" spans="3:7" x14ac:dyDescent="0.3">
      <c r="C17" s="13"/>
      <c r="F17" s="18"/>
    </row>
    <row r="20" spans="3:7" x14ac:dyDescent="0.3">
      <c r="C20" s="19"/>
      <c r="D20" s="20"/>
    </row>
    <row r="21" spans="3:7" x14ac:dyDescent="0.3">
      <c r="C21" s="5"/>
      <c r="D21" s="5"/>
      <c r="G21" s="13"/>
    </row>
    <row r="22" spans="3:7" x14ac:dyDescent="0.3">
      <c r="C22" s="20"/>
      <c r="D22" s="19"/>
    </row>
    <row r="23" spans="3:7" x14ac:dyDescent="0.3">
      <c r="C23" s="19"/>
      <c r="D23" s="19"/>
    </row>
  </sheetData>
  <autoFilter ref="J1:K8" xr:uid="{90036846-1D13-4D2B-B278-C49CBFB1FDE4}">
    <sortState xmlns:xlrd2="http://schemas.microsoft.com/office/spreadsheetml/2017/richdata2" ref="J2:K8">
      <sortCondition ref="K1:K8"/>
    </sortState>
  </autoFilter>
  <sortState xmlns:xlrd2="http://schemas.microsoft.com/office/spreadsheetml/2017/richdata2" ref="B3:C10">
    <sortCondition ref="B3:B10"/>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A46A-0464-432E-B2D5-0A4CDE349481}">
  <dimension ref="C1:D3"/>
  <sheetViews>
    <sheetView zoomScale="133" workbookViewId="0">
      <selection activeCell="F18" sqref="F18"/>
    </sheetView>
  </sheetViews>
  <sheetFormatPr defaultRowHeight="14.4" x14ac:dyDescent="0.3"/>
  <sheetData>
    <row r="1" spans="3:4" x14ac:dyDescent="0.3">
      <c r="C1" t="s">
        <v>4212</v>
      </c>
    </row>
    <row r="2" spans="3:4" x14ac:dyDescent="0.3">
      <c r="C2" t="s">
        <v>95</v>
      </c>
      <c r="D2">
        <v>169</v>
      </c>
    </row>
    <row r="3" spans="3:4" x14ac:dyDescent="0.3">
      <c r="C3" t="s">
        <v>84</v>
      </c>
      <c r="D3">
        <v>57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1AD23-68E5-43A2-8A07-1DE8CA4EB258}">
  <dimension ref="B2:AD56"/>
  <sheetViews>
    <sheetView topLeftCell="A5" zoomScale="94" zoomScaleNormal="62" workbookViewId="0">
      <selection activeCell="O73" sqref="O73"/>
    </sheetView>
  </sheetViews>
  <sheetFormatPr defaultRowHeight="14.4" x14ac:dyDescent="0.3"/>
  <sheetData>
    <row r="2" spans="2:18" x14ac:dyDescent="0.3">
      <c r="B2" t="s">
        <v>176</v>
      </c>
      <c r="C2">
        <v>315</v>
      </c>
      <c r="J2" t="s">
        <v>4153</v>
      </c>
    </row>
    <row r="3" spans="2:18" x14ac:dyDescent="0.3">
      <c r="B3" t="s">
        <v>87</v>
      </c>
      <c r="C3">
        <v>26</v>
      </c>
      <c r="J3" t="s">
        <v>4121</v>
      </c>
      <c r="K3">
        <v>63</v>
      </c>
      <c r="Q3" s="11" t="s">
        <v>17</v>
      </c>
    </row>
    <row r="4" spans="2:18" x14ac:dyDescent="0.3">
      <c r="J4" t="s">
        <v>4122</v>
      </c>
      <c r="K4">
        <v>278</v>
      </c>
      <c r="Q4" t="s">
        <v>84</v>
      </c>
      <c r="R4">
        <v>273</v>
      </c>
    </row>
    <row r="5" spans="2:18" x14ac:dyDescent="0.3">
      <c r="Q5" t="s">
        <v>95</v>
      </c>
      <c r="R5">
        <v>5</v>
      </c>
    </row>
    <row r="17" spans="2:30" x14ac:dyDescent="0.3">
      <c r="I17" s="8" t="s">
        <v>3808</v>
      </c>
    </row>
    <row r="18" spans="2:30" x14ac:dyDescent="0.3">
      <c r="B18" s="8" t="s">
        <v>18</v>
      </c>
      <c r="I18" t="s">
        <v>351</v>
      </c>
      <c r="J18">
        <v>179</v>
      </c>
      <c r="Y18" s="12" t="s">
        <v>4165</v>
      </c>
      <c r="Z18" s="12"/>
      <c r="AA18" s="12"/>
      <c r="AB18" s="12"/>
      <c r="AC18" s="12"/>
      <c r="AD18" s="12"/>
    </row>
    <row r="19" spans="2:30" x14ac:dyDescent="0.3">
      <c r="B19" t="s">
        <v>94</v>
      </c>
      <c r="C19">
        <v>158</v>
      </c>
      <c r="I19" t="s">
        <v>97</v>
      </c>
      <c r="J19">
        <v>126</v>
      </c>
      <c r="Q19" t="s">
        <v>4155</v>
      </c>
      <c r="R19">
        <v>0</v>
      </c>
      <c r="S19" t="e">
        <f>H17/$H$28*100</f>
        <v>#DIV/0!</v>
      </c>
      <c r="Y19" s="12" t="s">
        <v>100</v>
      </c>
      <c r="Z19" s="12"/>
      <c r="AA19" s="12"/>
      <c r="AB19" s="12"/>
      <c r="AC19" s="12"/>
      <c r="AD19" s="12"/>
    </row>
    <row r="20" spans="2:30" x14ac:dyDescent="0.3">
      <c r="B20" t="s">
        <v>182</v>
      </c>
      <c r="C20">
        <v>159</v>
      </c>
      <c r="I20" t="s">
        <v>4154</v>
      </c>
      <c r="J20">
        <v>8</v>
      </c>
      <c r="Q20" t="s">
        <v>4156</v>
      </c>
      <c r="R20">
        <v>40</v>
      </c>
      <c r="Y20" s="12" t="s">
        <v>304</v>
      </c>
      <c r="Z20" s="12"/>
      <c r="AA20" s="12"/>
      <c r="AB20" s="12"/>
      <c r="AC20" s="12"/>
      <c r="AD20" s="12"/>
    </row>
    <row r="21" spans="2:30" x14ac:dyDescent="0.3">
      <c r="B21" t="s">
        <v>362</v>
      </c>
      <c r="C21">
        <v>12</v>
      </c>
      <c r="I21" t="s">
        <v>489</v>
      </c>
      <c r="J21">
        <v>28</v>
      </c>
      <c r="Q21" t="s">
        <v>4157</v>
      </c>
      <c r="R21">
        <v>51</v>
      </c>
      <c r="Y21" s="12" t="s">
        <v>4166</v>
      </c>
      <c r="Z21" s="12"/>
      <c r="AA21" s="12"/>
      <c r="AB21" s="12"/>
      <c r="AC21" s="12"/>
      <c r="AD21" s="12"/>
    </row>
    <row r="22" spans="2:30" x14ac:dyDescent="0.3">
      <c r="B22" s="12" t="s">
        <v>907</v>
      </c>
      <c r="C22">
        <v>12</v>
      </c>
      <c r="Q22" t="s">
        <v>4158</v>
      </c>
      <c r="R22">
        <v>44</v>
      </c>
      <c r="Y22" s="12" t="s">
        <v>4167</v>
      </c>
      <c r="Z22" s="12"/>
      <c r="AA22" s="12"/>
      <c r="AB22" s="12"/>
      <c r="AC22" s="12"/>
      <c r="AD22" s="12"/>
    </row>
    <row r="23" spans="2:30" x14ac:dyDescent="0.3">
      <c r="Q23" t="s">
        <v>4159</v>
      </c>
      <c r="R23">
        <v>55</v>
      </c>
      <c r="Y23" s="12" t="s">
        <v>102</v>
      </c>
      <c r="Z23" s="12"/>
      <c r="AA23" s="12"/>
      <c r="AB23" s="12"/>
      <c r="AC23" s="12"/>
      <c r="AD23" s="12"/>
    </row>
    <row r="24" spans="2:30" x14ac:dyDescent="0.3">
      <c r="Q24" t="s">
        <v>4160</v>
      </c>
      <c r="R24">
        <v>41</v>
      </c>
      <c r="Y24" s="12"/>
      <c r="Z24" s="12"/>
      <c r="AA24" s="12"/>
      <c r="AB24" s="12"/>
      <c r="AC24" s="12"/>
      <c r="AD24" s="12"/>
    </row>
    <row r="25" spans="2:30" x14ac:dyDescent="0.3">
      <c r="Q25" t="s">
        <v>4161</v>
      </c>
      <c r="R25">
        <v>52</v>
      </c>
    </row>
    <row r="26" spans="2:30" x14ac:dyDescent="0.3">
      <c r="Q26" t="s">
        <v>4162</v>
      </c>
      <c r="R26">
        <v>17</v>
      </c>
    </row>
    <row r="27" spans="2:30" x14ac:dyDescent="0.3">
      <c r="Q27" t="s">
        <v>4163</v>
      </c>
      <c r="R27">
        <v>20</v>
      </c>
    </row>
    <row r="28" spans="2:30" x14ac:dyDescent="0.3">
      <c r="Q28" t="s">
        <v>4164</v>
      </c>
      <c r="R28">
        <v>38</v>
      </c>
    </row>
    <row r="29" spans="2:30" x14ac:dyDescent="0.3">
      <c r="R29">
        <f>SUM(R19/R28)</f>
        <v>0</v>
      </c>
    </row>
    <row r="32" spans="2:30" ht="18" x14ac:dyDescent="0.3">
      <c r="I32" s="14"/>
      <c r="Q32" t="s">
        <v>4187</v>
      </c>
    </row>
    <row r="33" spans="2:28" ht="18" x14ac:dyDescent="0.3">
      <c r="L33" s="14" t="s">
        <v>4182</v>
      </c>
      <c r="Q33" t="s">
        <v>4188</v>
      </c>
      <c r="R33">
        <v>94</v>
      </c>
      <c r="Z33" s="14" t="s">
        <v>4176</v>
      </c>
    </row>
    <row r="34" spans="2:28" x14ac:dyDescent="0.3">
      <c r="B34" t="s">
        <v>4168</v>
      </c>
      <c r="J34" t="s">
        <v>84</v>
      </c>
      <c r="K34">
        <v>53</v>
      </c>
      <c r="Q34" t="s">
        <v>146</v>
      </c>
      <c r="R34">
        <v>5</v>
      </c>
      <c r="Y34" t="s">
        <v>4177</v>
      </c>
    </row>
    <row r="35" spans="2:28" x14ac:dyDescent="0.3">
      <c r="B35" s="13" t="s">
        <v>4169</v>
      </c>
      <c r="C35">
        <v>20</v>
      </c>
      <c r="J35" t="s">
        <v>95</v>
      </c>
      <c r="K35">
        <v>288</v>
      </c>
      <c r="Q35" t="s">
        <v>146</v>
      </c>
      <c r="R35">
        <v>1</v>
      </c>
      <c r="Y35" t="s">
        <v>465</v>
      </c>
      <c r="Z35">
        <v>8</v>
      </c>
    </row>
    <row r="36" spans="2:28" x14ac:dyDescent="0.3">
      <c r="B36" s="13" t="s">
        <v>4170</v>
      </c>
      <c r="C36">
        <v>108</v>
      </c>
      <c r="Q36" t="s">
        <v>304</v>
      </c>
      <c r="R36">
        <v>80</v>
      </c>
      <c r="Y36" t="s">
        <v>4178</v>
      </c>
    </row>
    <row r="37" spans="2:28" x14ac:dyDescent="0.3">
      <c r="B37" s="13" t="s">
        <v>4171</v>
      </c>
      <c r="C37">
        <v>76</v>
      </c>
      <c r="Q37" t="s">
        <v>304</v>
      </c>
      <c r="R37">
        <v>1</v>
      </c>
      <c r="Y37" t="s">
        <v>4179</v>
      </c>
    </row>
    <row r="38" spans="2:28" x14ac:dyDescent="0.3">
      <c r="B38" s="13" t="s">
        <v>4172</v>
      </c>
      <c r="C38">
        <v>36</v>
      </c>
      <c r="Q38" t="s">
        <v>100</v>
      </c>
      <c r="R38">
        <v>137</v>
      </c>
      <c r="Y38" t="s">
        <v>4180</v>
      </c>
    </row>
    <row r="39" spans="2:28" x14ac:dyDescent="0.3">
      <c r="B39" s="13" t="s">
        <v>4173</v>
      </c>
      <c r="C39">
        <v>25</v>
      </c>
      <c r="Y39" t="s">
        <v>4181</v>
      </c>
    </row>
    <row r="40" spans="2:28" x14ac:dyDescent="0.3">
      <c r="B40" s="13" t="s">
        <v>4174</v>
      </c>
      <c r="C40">
        <v>41</v>
      </c>
    </row>
    <row r="41" spans="2:28" x14ac:dyDescent="0.3">
      <c r="B41" s="13" t="s">
        <v>4175</v>
      </c>
      <c r="C41">
        <v>35</v>
      </c>
    </row>
    <row r="43" spans="2:28" ht="18" x14ac:dyDescent="0.3">
      <c r="AB43" s="14" t="s">
        <v>4183</v>
      </c>
    </row>
    <row r="44" spans="2:28" x14ac:dyDescent="0.3">
      <c r="Z44" t="s">
        <v>4184</v>
      </c>
    </row>
    <row r="45" spans="2:28" x14ac:dyDescent="0.3">
      <c r="Z45" t="s">
        <v>4185</v>
      </c>
    </row>
    <row r="46" spans="2:28" x14ac:dyDescent="0.3">
      <c r="Z46" t="s">
        <v>4186</v>
      </c>
    </row>
    <row r="49" spans="2:29" ht="18" x14ac:dyDescent="0.3">
      <c r="E49" s="14" t="s">
        <v>4189</v>
      </c>
      <c r="AC49" s="14" t="s">
        <v>4196</v>
      </c>
    </row>
    <row r="50" spans="2:29" x14ac:dyDescent="0.3">
      <c r="B50" t="s">
        <v>4190</v>
      </c>
      <c r="C50">
        <v>66</v>
      </c>
      <c r="Y50" t="s">
        <v>4197</v>
      </c>
    </row>
    <row r="51" spans="2:29" x14ac:dyDescent="0.3">
      <c r="B51" t="s">
        <v>4191</v>
      </c>
      <c r="C51">
        <v>17</v>
      </c>
      <c r="Y51" t="s">
        <v>431</v>
      </c>
    </row>
    <row r="52" spans="2:29" x14ac:dyDescent="0.3">
      <c r="B52" t="s">
        <v>4192</v>
      </c>
      <c r="C52">
        <v>21</v>
      </c>
      <c r="J52" t="s">
        <v>4201</v>
      </c>
      <c r="Y52" t="s">
        <v>4198</v>
      </c>
    </row>
    <row r="53" spans="2:29" x14ac:dyDescent="0.3">
      <c r="B53" t="s">
        <v>4193</v>
      </c>
      <c r="C53">
        <v>13</v>
      </c>
      <c r="J53" t="s">
        <v>4200</v>
      </c>
      <c r="K53">
        <v>145</v>
      </c>
    </row>
    <row r="54" spans="2:29" x14ac:dyDescent="0.3">
      <c r="B54" t="s">
        <v>4194</v>
      </c>
      <c r="C54">
        <v>6</v>
      </c>
      <c r="J54" t="s">
        <v>4199</v>
      </c>
      <c r="K54">
        <v>78</v>
      </c>
    </row>
    <row r="55" spans="2:29" x14ac:dyDescent="0.3">
      <c r="B55" t="s">
        <v>4195</v>
      </c>
      <c r="C55">
        <v>14</v>
      </c>
      <c r="J55" t="s">
        <v>4202</v>
      </c>
      <c r="K55">
        <v>97</v>
      </c>
    </row>
    <row r="56" spans="2:29" x14ac:dyDescent="0.3">
      <c r="J56" t="s">
        <v>280</v>
      </c>
      <c r="K56">
        <v>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Livestock</vt:lpstr>
      <vt:lpstr>CROP PRODUCTION</vt:lpstr>
      <vt:lpstr>Rangeland Practices</vt:lpstr>
      <vt:lpstr>DEMOGRAPHICS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Bwalya</dc:creator>
  <cp:lastModifiedBy>David Bwalya</cp:lastModifiedBy>
  <dcterms:created xsi:type="dcterms:W3CDTF">2025-10-27T09:17:30Z</dcterms:created>
  <dcterms:modified xsi:type="dcterms:W3CDTF">2025-11-08T12:29:25Z</dcterms:modified>
</cp:coreProperties>
</file>